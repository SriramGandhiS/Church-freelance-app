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5" yWindow="735" windowWidth="20370" windowHeight="8940"/>
  </bookViews>
  <sheets>
    <sheet name="All Details for ACID Pastor" sheetId="1" r:id="rId1"/>
    <sheet name="D.O.S" sheetId="3" r:id="rId2"/>
    <sheet name="Marriage Registration" sheetId="4" r:id="rId3"/>
    <sheet name="Sheet1" sheetId="5" r:id="rId4"/>
  </sheets>
  <definedNames>
    <definedName name="_xlnm._FilterDatabase" localSheetId="0" hidden="1">'All Details for ACID Pastor'!$A$1:$BB$728</definedName>
    <definedName name="_xlnm.Print_Titles" localSheetId="0">'All Details for ACID Pastor'!$1:$1</definedName>
  </definedNames>
  <calcPr calcId="124519"/>
</workbook>
</file>

<file path=xl/calcChain.xml><?xml version="1.0" encoding="utf-8"?>
<calcChain xmlns="http://schemas.openxmlformats.org/spreadsheetml/2006/main">
  <c r="O54" i="4"/>
  <c r="N54"/>
  <c r="M54"/>
  <c r="L54"/>
  <c r="K54"/>
  <c r="J54"/>
  <c r="BF672" i="1"/>
  <c r="BF668"/>
  <c r="BF666"/>
  <c r="BF665"/>
  <c r="BF664"/>
  <c r="BF653"/>
  <c r="BF650"/>
  <c r="BF649"/>
  <c r="BF648"/>
  <c r="BF647"/>
  <c r="BF646"/>
  <c r="BF640"/>
  <c r="BF638"/>
  <c r="BF637"/>
  <c r="BF634"/>
  <c r="BF633"/>
  <c r="BF632"/>
  <c r="BF626"/>
  <c r="BF625"/>
  <c r="BF624"/>
  <c r="BF622"/>
  <c r="BF621"/>
  <c r="BF620"/>
  <c r="BF619"/>
  <c r="BF618"/>
  <c r="BF617"/>
  <c r="BF616"/>
  <c r="BF614"/>
  <c r="AV614"/>
  <c r="AV610"/>
  <c r="AV609"/>
  <c r="AV608"/>
  <c r="AV607"/>
  <c r="AV606"/>
  <c r="AV605"/>
  <c r="BF604"/>
  <c r="AV604"/>
  <c r="AV603"/>
  <c r="BF602"/>
  <c r="AV602"/>
  <c r="BF601"/>
  <c r="AV601"/>
  <c r="AV600"/>
  <c r="BF599"/>
  <c r="AV599"/>
  <c r="AV598"/>
  <c r="AV597"/>
  <c r="BF596"/>
  <c r="AV596"/>
  <c r="AV593"/>
  <c r="AV592"/>
  <c r="AV591"/>
  <c r="AV590"/>
  <c r="BF589"/>
  <c r="AV589"/>
  <c r="BF588"/>
  <c r="AV588"/>
  <c r="BF587"/>
  <c r="AV587"/>
  <c r="AV586"/>
  <c r="BF585"/>
  <c r="AV585"/>
  <c r="BF584"/>
  <c r="AV584"/>
  <c r="AU583"/>
  <c r="AU582"/>
  <c r="BF581"/>
  <c r="AU581"/>
  <c r="BF580"/>
  <c r="AU580"/>
  <c r="BF579"/>
  <c r="AU579"/>
  <c r="BF578"/>
  <c r="AU578"/>
  <c r="AU577"/>
  <c r="BF575"/>
  <c r="AU575"/>
  <c r="BF574"/>
  <c r="AU574"/>
  <c r="BF573"/>
  <c r="AU573"/>
  <c r="AU572"/>
  <c r="BF571"/>
  <c r="AU571"/>
  <c r="AU570"/>
  <c r="BF569"/>
  <c r="AU569"/>
  <c r="BF568"/>
  <c r="AU568"/>
  <c r="BF567"/>
  <c r="AU567"/>
  <c r="BF566"/>
  <c r="AU566"/>
  <c r="BF565"/>
  <c r="AT565"/>
  <c r="BF564"/>
  <c r="AT564"/>
  <c r="BF563"/>
  <c r="AT562"/>
  <c r="BF561"/>
  <c r="AT561"/>
  <c r="AT559"/>
  <c r="BF558"/>
  <c r="AT558"/>
  <c r="BF557"/>
  <c r="AT557"/>
  <c r="AS556"/>
  <c r="AS555"/>
  <c r="BF554"/>
  <c r="AS554"/>
  <c r="BF553"/>
  <c r="AS553"/>
  <c r="BF552"/>
  <c r="AS552"/>
  <c r="BF551"/>
  <c r="AS551"/>
  <c r="BF550"/>
  <c r="AS550"/>
  <c r="AS549"/>
  <c r="BF548"/>
  <c r="AS548"/>
  <c r="BF547"/>
  <c r="AS547"/>
  <c r="BF544"/>
  <c r="AS544"/>
  <c r="AS541"/>
  <c r="AS540"/>
  <c r="BF539"/>
  <c r="AS539"/>
  <c r="BF537"/>
  <c r="AR537"/>
  <c r="BF536"/>
  <c r="AR536"/>
  <c r="AR535"/>
  <c r="AR534"/>
  <c r="AR533"/>
  <c r="AR531"/>
  <c r="AR530"/>
  <c r="BF529"/>
  <c r="AR529"/>
  <c r="BF528"/>
  <c r="AR528"/>
  <c r="BF527"/>
  <c r="AR527"/>
  <c r="BF526"/>
  <c r="AR526"/>
  <c r="BF525"/>
  <c r="AR525"/>
  <c r="BF524"/>
  <c r="AQ524"/>
  <c r="BF523"/>
  <c r="AQ523"/>
  <c r="BF522"/>
  <c r="AQ522"/>
  <c r="BF521"/>
  <c r="AQ521"/>
  <c r="BF520"/>
  <c r="AQ520"/>
  <c r="BF519"/>
  <c r="AQ519"/>
  <c r="BF518"/>
  <c r="AQ518"/>
  <c r="AQ517"/>
  <c r="BF516"/>
  <c r="AQ516"/>
  <c r="BF515"/>
  <c r="AQ515"/>
  <c r="BF514"/>
  <c r="AQ514"/>
  <c r="BF513"/>
  <c r="AQ513"/>
  <c r="BF512"/>
  <c r="AQ512"/>
  <c r="BF511"/>
  <c r="AQ511"/>
  <c r="AQ510"/>
  <c r="BF509"/>
  <c r="AQ509"/>
  <c r="BF508"/>
  <c r="AQ508"/>
  <c r="BF507"/>
  <c r="AQ507"/>
  <c r="AQ506"/>
  <c r="AQ505"/>
  <c r="BF503"/>
  <c r="AQ503"/>
  <c r="BF502"/>
  <c r="AP502"/>
  <c r="BF501"/>
  <c r="AP501"/>
  <c r="BF500"/>
  <c r="AP500"/>
  <c r="BF499"/>
  <c r="AP499"/>
  <c r="BF498"/>
  <c r="AP498"/>
  <c r="BF497"/>
  <c r="AP497"/>
  <c r="BF496"/>
  <c r="AP496"/>
  <c r="BF495"/>
  <c r="AP495"/>
  <c r="AP494"/>
  <c r="BF493"/>
  <c r="AP493"/>
  <c r="AP492"/>
  <c r="BF491"/>
  <c r="AP491"/>
  <c r="AP490"/>
  <c r="AP489"/>
  <c r="BF488"/>
  <c r="AO488"/>
  <c r="BF487"/>
  <c r="AO487"/>
  <c r="BF486"/>
  <c r="AO486"/>
  <c r="BF485"/>
  <c r="AO485"/>
  <c r="BF484"/>
  <c r="AO484"/>
  <c r="BF483"/>
  <c r="AO483"/>
  <c r="AO482"/>
  <c r="BF481"/>
  <c r="AO481"/>
  <c r="BF480"/>
  <c r="AO480"/>
  <c r="BF479"/>
  <c r="AO479"/>
  <c r="BF478"/>
  <c r="AO478"/>
  <c r="BF477"/>
  <c r="AO477"/>
  <c r="BF476"/>
  <c r="AO476"/>
  <c r="BF475"/>
  <c r="AO475"/>
  <c r="BF474"/>
  <c r="AO474"/>
  <c r="BF473"/>
  <c r="AO473"/>
  <c r="BF472"/>
  <c r="AO472"/>
  <c r="BF471"/>
  <c r="AO471"/>
  <c r="BF470"/>
  <c r="AO470"/>
  <c r="BF469"/>
  <c r="AO469"/>
  <c r="BF468"/>
  <c r="AO468"/>
  <c r="BF467"/>
  <c r="AO467"/>
  <c r="BF466"/>
  <c r="AO466"/>
  <c r="BF465"/>
  <c r="AO465"/>
  <c r="AO464"/>
  <c r="BF463"/>
  <c r="AO463"/>
  <c r="BF462"/>
  <c r="AN462"/>
  <c r="AN461"/>
  <c r="BF460"/>
  <c r="AN460"/>
  <c r="BF458"/>
  <c r="AN458"/>
  <c r="BF457"/>
  <c r="AN457"/>
  <c r="BF456"/>
  <c r="AN456"/>
  <c r="BF455"/>
  <c r="AN455"/>
  <c r="BF453"/>
  <c r="AN453"/>
  <c r="BF452"/>
  <c r="AN452"/>
  <c r="AN451"/>
  <c r="AN449"/>
  <c r="BF448"/>
  <c r="AN448"/>
  <c r="BF447"/>
  <c r="AN447"/>
  <c r="AM446"/>
  <c r="BF445"/>
  <c r="AM445"/>
  <c r="BF444"/>
  <c r="AM444"/>
  <c r="BF443"/>
  <c r="AM443"/>
  <c r="BF442"/>
  <c r="AM442"/>
  <c r="BF441"/>
  <c r="AM441"/>
  <c r="BF440"/>
  <c r="AM440"/>
  <c r="BF439"/>
  <c r="AM439"/>
  <c r="BF438"/>
  <c r="AM438"/>
  <c r="BF437"/>
  <c r="AM437"/>
  <c r="BF436"/>
  <c r="AM436"/>
  <c r="BF434"/>
  <c r="AM434"/>
  <c r="BF432"/>
  <c r="AM432"/>
  <c r="BF431"/>
  <c r="AM431"/>
  <c r="BF430"/>
  <c r="AM430"/>
  <c r="BF429"/>
  <c r="AU429"/>
  <c r="AT429"/>
  <c r="BF428"/>
  <c r="AM428"/>
  <c r="BF427"/>
  <c r="AM427"/>
  <c r="BF426"/>
  <c r="AM426"/>
  <c r="BF425"/>
  <c r="AM425"/>
  <c r="BF424"/>
  <c r="AM424"/>
  <c r="BF423"/>
  <c r="AM423"/>
  <c r="BF422"/>
  <c r="AM422"/>
  <c r="BF421"/>
  <c r="AM421"/>
  <c r="BF420"/>
  <c r="AM420"/>
  <c r="BF419"/>
  <c r="AM419"/>
  <c r="BF418"/>
  <c r="AM418"/>
  <c r="BF417"/>
  <c r="AM417"/>
  <c r="BF416"/>
  <c r="AM416"/>
  <c r="BF415"/>
  <c r="AM415"/>
  <c r="BF414"/>
  <c r="AM414"/>
  <c r="BF413"/>
  <c r="AM413"/>
  <c r="BF412"/>
  <c r="AM412"/>
  <c r="BF410"/>
  <c r="AU410"/>
  <c r="AT410"/>
  <c r="BF407"/>
  <c r="AM407"/>
  <c r="BF406"/>
  <c r="AM406"/>
  <c r="BF405"/>
  <c r="AM405"/>
  <c r="BF404"/>
  <c r="AM404"/>
  <c r="BF403"/>
  <c r="AM403"/>
  <c r="BF402"/>
  <c r="AM402"/>
  <c r="BF401"/>
  <c r="AU401"/>
  <c r="AT401"/>
  <c r="BF400"/>
  <c r="AU400"/>
  <c r="AT400"/>
  <c r="BF399"/>
  <c r="AM399"/>
  <c r="BF398"/>
  <c r="AM398"/>
  <c r="BF397"/>
  <c r="AU397"/>
  <c r="AT397"/>
  <c r="BF396"/>
  <c r="AM396"/>
  <c r="BF395"/>
  <c r="AM395"/>
  <c r="BF394"/>
  <c r="AL394"/>
  <c r="BF393"/>
  <c r="AL393"/>
  <c r="AL391"/>
  <c r="AL390"/>
  <c r="AL389"/>
  <c r="BF388"/>
  <c r="AL388"/>
  <c r="BF387"/>
  <c r="AL387"/>
  <c r="BF386"/>
  <c r="AL386"/>
  <c r="BF385"/>
  <c r="AL385"/>
  <c r="BF384"/>
  <c r="AL384"/>
  <c r="BF383"/>
  <c r="AL383"/>
  <c r="BF382"/>
  <c r="AL382"/>
  <c r="BF381"/>
  <c r="AL381"/>
  <c r="BF380"/>
  <c r="AL380"/>
  <c r="BF379"/>
  <c r="AL379"/>
  <c r="BF378"/>
  <c r="AL378"/>
  <c r="BF377"/>
  <c r="AL377"/>
  <c r="BF376"/>
  <c r="AL376"/>
  <c r="AL374"/>
  <c r="BF373"/>
  <c r="AL373"/>
  <c r="BF372"/>
  <c r="AL372"/>
  <c r="BF371"/>
  <c r="AL371"/>
  <c r="BF370"/>
  <c r="AL370"/>
  <c r="BF369"/>
  <c r="AL369"/>
  <c r="BF368"/>
  <c r="AL368"/>
  <c r="BF367"/>
  <c r="AK367"/>
  <c r="BF366"/>
  <c r="AK366"/>
  <c r="BF365"/>
  <c r="AK365"/>
  <c r="BF364"/>
  <c r="AK364"/>
  <c r="BF363"/>
  <c r="AK363"/>
  <c r="BF362"/>
  <c r="AK362"/>
  <c r="BF361"/>
  <c r="AK361"/>
  <c r="BF360"/>
  <c r="AK360"/>
  <c r="BF359"/>
  <c r="AK359"/>
  <c r="BF358"/>
  <c r="AK358"/>
  <c r="BF357"/>
  <c r="AK357"/>
  <c r="BF356"/>
  <c r="AK356"/>
  <c r="BF355"/>
  <c r="AK355"/>
  <c r="BF354"/>
  <c r="AK354"/>
  <c r="BF353"/>
  <c r="AK353"/>
  <c r="BF352"/>
  <c r="AK352"/>
  <c r="BF351"/>
  <c r="AK351"/>
  <c r="BF350"/>
  <c r="AK350"/>
  <c r="BF349"/>
  <c r="AK349"/>
  <c r="AK348"/>
  <c r="BF347"/>
  <c r="AK347"/>
  <c r="AK346"/>
  <c r="BF345"/>
  <c r="AK345"/>
  <c r="BF344"/>
  <c r="AK344"/>
  <c r="BF343"/>
  <c r="AK343"/>
  <c r="BF342"/>
  <c r="AK342"/>
  <c r="BF341"/>
  <c r="AK341"/>
  <c r="BF340"/>
  <c r="AK340"/>
  <c r="BF339"/>
  <c r="BF338"/>
  <c r="AK338"/>
  <c r="BF337"/>
  <c r="AK337"/>
  <c r="BF336"/>
  <c r="AK336"/>
  <c r="BF335"/>
  <c r="AK335"/>
  <c r="BF334"/>
  <c r="AK334"/>
  <c r="BF333"/>
  <c r="BF332"/>
  <c r="AK332"/>
  <c r="BF331"/>
  <c r="AK331"/>
  <c r="BF330"/>
  <c r="AK330"/>
  <c r="BF329"/>
  <c r="AK329"/>
  <c r="BF328"/>
  <c r="AK328"/>
  <c r="BF327"/>
  <c r="AK327"/>
  <c r="BF326"/>
  <c r="AK326"/>
  <c r="BF325"/>
  <c r="AK325"/>
  <c r="BF324"/>
  <c r="AK324"/>
  <c r="BF323"/>
  <c r="AK323"/>
  <c r="BF322"/>
  <c r="AK322"/>
  <c r="BF321"/>
  <c r="AJ321"/>
  <c r="BF320"/>
  <c r="AJ320"/>
  <c r="BF319"/>
  <c r="AJ319"/>
  <c r="BF318"/>
  <c r="AJ318"/>
  <c r="BF317"/>
  <c r="AJ317"/>
  <c r="BF316"/>
  <c r="AJ316"/>
  <c r="BF315"/>
  <c r="AJ315"/>
  <c r="BF314"/>
  <c r="AJ314"/>
  <c r="BF313"/>
  <c r="AJ313"/>
  <c r="BF312"/>
  <c r="AJ312"/>
  <c r="BF311"/>
  <c r="AJ311"/>
  <c r="BF310"/>
  <c r="AJ310"/>
  <c r="BF309"/>
  <c r="AJ309"/>
  <c r="BF308"/>
  <c r="AJ308"/>
  <c r="BF307"/>
  <c r="AJ307"/>
  <c r="BF306"/>
  <c r="AJ306"/>
  <c r="BF305"/>
  <c r="AJ305"/>
  <c r="BF304"/>
  <c r="AJ304"/>
  <c r="BF303"/>
  <c r="AJ303"/>
  <c r="BF302"/>
  <c r="AJ302"/>
  <c r="BF301"/>
  <c r="AJ301"/>
  <c r="BF300"/>
  <c r="AJ300"/>
  <c r="AJ299"/>
  <c r="BF298"/>
  <c r="AJ298"/>
  <c r="BF297"/>
  <c r="AJ297"/>
  <c r="BF296"/>
  <c r="AJ296"/>
  <c r="BF295"/>
  <c r="AJ295"/>
  <c r="BF294"/>
  <c r="AJ294"/>
  <c r="BF293"/>
  <c r="AJ293"/>
  <c r="BF292"/>
  <c r="AJ292"/>
  <c r="BF291"/>
  <c r="AJ291"/>
  <c r="BF290"/>
  <c r="AJ290"/>
  <c r="BF289"/>
  <c r="AJ289"/>
  <c r="BF288"/>
  <c r="AJ288"/>
  <c r="BF287"/>
  <c r="AJ287"/>
  <c r="BF286"/>
  <c r="AJ286"/>
  <c r="BF285"/>
  <c r="AJ285"/>
  <c r="BF284"/>
  <c r="AJ284"/>
  <c r="BF283"/>
  <c r="AJ283"/>
  <c r="BF282"/>
  <c r="AJ282"/>
  <c r="BF281"/>
  <c r="AJ281"/>
  <c r="BF280"/>
  <c r="AJ280"/>
  <c r="BF279"/>
  <c r="AJ279"/>
  <c r="AJ278"/>
  <c r="BF277"/>
  <c r="AJ277"/>
  <c r="BF276"/>
  <c r="AJ276"/>
  <c r="BF275"/>
  <c r="AJ275"/>
  <c r="BF274"/>
  <c r="AJ274"/>
  <c r="BF273"/>
  <c r="AJ273"/>
  <c r="BF272"/>
  <c r="AJ272"/>
  <c r="BF271"/>
  <c r="AJ271"/>
  <c r="BF270"/>
  <c r="AJ270"/>
  <c r="BF269"/>
  <c r="AJ269"/>
  <c r="BF268"/>
  <c r="AJ268"/>
  <c r="BF267"/>
  <c r="AJ267"/>
  <c r="BF266"/>
  <c r="AJ266"/>
  <c r="BF265"/>
  <c r="AJ265"/>
  <c r="BF264"/>
  <c r="AJ264"/>
  <c r="BF263"/>
  <c r="AJ263"/>
  <c r="BF262"/>
  <c r="AJ262"/>
  <c r="BF261"/>
  <c r="AJ261"/>
  <c r="BF260"/>
  <c r="AJ260"/>
  <c r="BF259"/>
  <c r="AJ259"/>
  <c r="AJ258"/>
  <c r="BF257"/>
  <c r="AJ257"/>
  <c r="BF256"/>
  <c r="AJ256"/>
  <c r="BF255"/>
  <c r="AJ255"/>
  <c r="BF254"/>
  <c r="AI254"/>
  <c r="BF253"/>
  <c r="AI253"/>
  <c r="BF252"/>
  <c r="AI252"/>
  <c r="BF251"/>
  <c r="AI251"/>
  <c r="BF250"/>
  <c r="AI250"/>
  <c r="BF249"/>
  <c r="AI249"/>
  <c r="BF248"/>
  <c r="AI248"/>
  <c r="BF247"/>
  <c r="AI247"/>
  <c r="BF246"/>
  <c r="AI246"/>
  <c r="BF245"/>
  <c r="AI245"/>
  <c r="BF244"/>
  <c r="AI244"/>
  <c r="BF243"/>
  <c r="AI243"/>
  <c r="BF242"/>
  <c r="AI242"/>
  <c r="BF241"/>
  <c r="AI241"/>
  <c r="BF240"/>
  <c r="AI240"/>
  <c r="BF239"/>
  <c r="AI239"/>
  <c r="BF238"/>
  <c r="AI238"/>
  <c r="BF237"/>
  <c r="AI237"/>
  <c r="BF236"/>
  <c r="AI236"/>
  <c r="BF235"/>
  <c r="AI235"/>
  <c r="BF234"/>
  <c r="AI234"/>
  <c r="BF233"/>
  <c r="AI233"/>
  <c r="BF232"/>
  <c r="AI232"/>
  <c r="BF231"/>
  <c r="AI231"/>
  <c r="BF230"/>
  <c r="AI230"/>
  <c r="BF229"/>
  <c r="AI229"/>
  <c r="BF228"/>
  <c r="AI228"/>
  <c r="BF227"/>
  <c r="AI227"/>
  <c r="BF226"/>
  <c r="AI226"/>
  <c r="AI225"/>
  <c r="BF224"/>
  <c r="AI224"/>
  <c r="BF223"/>
  <c r="AI223"/>
  <c r="BF222"/>
  <c r="AI222"/>
  <c r="BF221"/>
  <c r="AI221"/>
  <c r="BF220"/>
  <c r="AI220"/>
  <c r="BF219"/>
  <c r="AI219"/>
  <c r="BF218"/>
  <c r="AI218"/>
  <c r="BF217"/>
  <c r="AI217"/>
  <c r="BF216"/>
  <c r="AI216"/>
  <c r="BF215"/>
  <c r="AI215"/>
  <c r="BF214"/>
  <c r="AI214"/>
  <c r="BF213"/>
  <c r="AI213"/>
  <c r="BF212"/>
  <c r="AI212"/>
  <c r="BF211"/>
  <c r="AI211"/>
  <c r="BF210"/>
  <c r="AI210"/>
  <c r="BF209"/>
  <c r="AI209"/>
  <c r="BF208"/>
  <c r="AI208"/>
  <c r="AI207"/>
  <c r="BF206"/>
  <c r="AI206"/>
  <c r="BF205"/>
  <c r="AI205"/>
  <c r="BF204"/>
  <c r="AI204"/>
  <c r="BF203"/>
  <c r="AI203"/>
  <c r="BF202"/>
  <c r="AI202"/>
  <c r="BF201"/>
  <c r="AI201"/>
  <c r="BF200"/>
  <c r="AI200"/>
  <c r="BF199"/>
  <c r="AI199"/>
  <c r="BF198"/>
  <c r="AI198"/>
  <c r="BF197"/>
  <c r="AI197"/>
  <c r="BF196"/>
  <c r="AI196"/>
  <c r="BF195"/>
  <c r="AI195"/>
  <c r="BF194"/>
  <c r="AI194"/>
  <c r="BF193"/>
  <c r="AI193"/>
  <c r="BF192"/>
  <c r="AI192"/>
  <c r="BF191"/>
  <c r="AI191"/>
  <c r="BF190"/>
  <c r="AI190"/>
  <c r="AI189"/>
  <c r="AI188"/>
  <c r="BF187"/>
  <c r="AI187"/>
  <c r="BF186"/>
  <c r="AI186"/>
  <c r="BF185"/>
  <c r="AI185"/>
  <c r="BF184"/>
  <c r="AI184"/>
  <c r="BF183"/>
  <c r="AI183"/>
  <c r="BF182"/>
  <c r="AI182"/>
  <c r="BF181"/>
  <c r="BF180"/>
  <c r="AI180"/>
  <c r="BF179"/>
  <c r="AI179"/>
  <c r="BF178"/>
  <c r="AI178"/>
  <c r="BF177"/>
  <c r="AI177"/>
  <c r="BF176"/>
  <c r="AI176"/>
  <c r="BF175"/>
  <c r="AI175"/>
  <c r="BF174"/>
  <c r="AI174"/>
  <c r="BF173"/>
  <c r="AI173"/>
  <c r="BF172"/>
  <c r="AI172"/>
  <c r="BF171"/>
  <c r="AI171"/>
  <c r="BF170"/>
  <c r="AI170"/>
  <c r="BF169"/>
  <c r="AI169"/>
  <c r="BF168"/>
  <c r="AI168"/>
  <c r="BF167"/>
  <c r="AI167"/>
  <c r="BF166"/>
  <c r="AI166"/>
  <c r="BF165"/>
  <c r="AI165"/>
  <c r="BF164"/>
  <c r="AI164"/>
  <c r="BF163"/>
  <c r="AI163"/>
  <c r="BF162"/>
  <c r="AI162"/>
  <c r="BF161"/>
  <c r="AI161"/>
  <c r="BF160"/>
  <c r="AI160"/>
  <c r="BF159"/>
  <c r="AH159"/>
  <c r="BF158"/>
  <c r="AH158"/>
  <c r="BF157"/>
  <c r="AH157"/>
  <c r="BF156"/>
  <c r="AH156"/>
  <c r="BF155"/>
  <c r="AH155"/>
  <c r="BF154"/>
  <c r="AH154"/>
  <c r="BF153"/>
  <c r="AH153"/>
  <c r="BF152"/>
  <c r="AH152"/>
  <c r="BF151"/>
  <c r="AH151"/>
  <c r="BF150"/>
  <c r="AH150"/>
  <c r="BF149"/>
  <c r="AH149"/>
  <c r="BF148"/>
  <c r="AH148"/>
  <c r="AH147"/>
  <c r="BF146"/>
  <c r="AH146"/>
  <c r="BF145"/>
  <c r="AH145"/>
  <c r="BF144"/>
  <c r="AH144"/>
  <c r="BF143"/>
  <c r="AH143"/>
  <c r="BF142"/>
  <c r="AH142"/>
  <c r="BF141"/>
  <c r="AH141"/>
  <c r="BF140"/>
  <c r="AH140"/>
  <c r="BF139"/>
  <c r="AH139"/>
  <c r="BF138"/>
  <c r="AH138"/>
  <c r="BF137"/>
  <c r="AH137"/>
  <c r="BF136"/>
  <c r="AH136"/>
  <c r="BF135"/>
  <c r="AH135"/>
  <c r="BF134"/>
  <c r="AH134"/>
  <c r="BF133"/>
  <c r="AH133"/>
  <c r="BF132"/>
  <c r="AH132"/>
  <c r="BF131"/>
  <c r="AH131"/>
  <c r="BF130"/>
  <c r="AH130"/>
  <c r="BF129"/>
  <c r="AH129"/>
  <c r="BF128"/>
  <c r="AH128"/>
  <c r="BF127"/>
  <c r="AH127"/>
  <c r="BF126"/>
  <c r="AH126"/>
  <c r="BF125"/>
  <c r="AH125"/>
  <c r="BF124"/>
  <c r="AH124"/>
  <c r="BF123"/>
  <c r="AH123"/>
  <c r="BF122"/>
  <c r="AH122"/>
  <c r="BF121"/>
  <c r="AH121"/>
  <c r="BF120"/>
  <c r="AH120"/>
  <c r="BF119"/>
  <c r="AH119"/>
  <c r="BF118"/>
  <c r="AH118"/>
  <c r="BF117"/>
  <c r="AH117"/>
  <c r="BF116"/>
  <c r="AH116"/>
  <c r="BF115"/>
  <c r="AH115"/>
  <c r="BF114"/>
  <c r="AH114"/>
  <c r="BF113"/>
  <c r="AG113"/>
  <c r="BF112"/>
  <c r="AG112"/>
  <c r="BF111"/>
  <c r="AG111"/>
  <c r="BF110"/>
  <c r="AG110"/>
  <c r="BF109"/>
  <c r="AG109"/>
  <c r="BF108"/>
  <c r="AG108"/>
  <c r="BF107"/>
  <c r="AG107"/>
  <c r="BF106"/>
  <c r="AG106"/>
  <c r="BF105"/>
  <c r="AG105"/>
  <c r="BF104"/>
  <c r="AG104"/>
  <c r="BF103"/>
  <c r="AG103"/>
  <c r="BF102"/>
  <c r="AG102"/>
  <c r="BF101"/>
  <c r="AG101"/>
  <c r="BF100"/>
  <c r="AG100"/>
  <c r="BF99"/>
  <c r="AG99"/>
  <c r="BF98"/>
  <c r="AG98"/>
  <c r="BF97"/>
  <c r="AG97"/>
  <c r="BF96"/>
  <c r="AG96"/>
  <c r="BF95"/>
  <c r="AG95"/>
  <c r="BF94"/>
  <c r="AG94"/>
  <c r="BF93"/>
  <c r="AG93"/>
  <c r="BF92"/>
  <c r="AG92"/>
  <c r="BF91"/>
  <c r="AG91"/>
  <c r="BF90"/>
  <c r="AG90"/>
  <c r="BF89"/>
  <c r="AG89"/>
  <c r="BF88"/>
  <c r="AG88"/>
  <c r="AG87"/>
  <c r="BF86"/>
  <c r="AG86"/>
  <c r="BF85"/>
  <c r="AG85"/>
  <c r="BF84"/>
  <c r="AG84"/>
  <c r="BF83"/>
  <c r="AG83"/>
  <c r="BF82"/>
  <c r="AG82"/>
  <c r="BF81"/>
  <c r="AG81"/>
  <c r="BF80"/>
  <c r="AG80"/>
  <c r="BF79"/>
  <c r="AG79"/>
  <c r="BF78"/>
  <c r="AG78"/>
  <c r="BF77"/>
  <c r="AG77"/>
  <c r="BF76"/>
  <c r="AG76"/>
  <c r="BF75"/>
  <c r="AG75"/>
  <c r="BF74"/>
  <c r="AG74"/>
  <c r="BF72"/>
  <c r="AG72"/>
  <c r="BF71"/>
  <c r="AG71"/>
  <c r="BF70"/>
  <c r="AG70"/>
  <c r="BF69"/>
  <c r="AG69"/>
  <c r="AG68"/>
  <c r="BF67"/>
  <c r="AG67"/>
  <c r="BF66"/>
  <c r="AG66"/>
  <c r="BF65"/>
  <c r="AG65"/>
  <c r="AG64"/>
  <c r="BF63"/>
  <c r="AG63"/>
  <c r="BF62"/>
  <c r="AG62"/>
  <c r="BF61"/>
  <c r="AG61"/>
  <c r="BF60"/>
  <c r="AG60"/>
  <c r="BF59"/>
  <c r="AG59"/>
  <c r="BF58"/>
  <c r="AG58"/>
  <c r="BF57"/>
  <c r="AG57"/>
  <c r="BF56"/>
  <c r="AG56"/>
  <c r="BF55"/>
  <c r="AG55"/>
  <c r="BF54"/>
  <c r="AG54"/>
  <c r="BF53"/>
  <c r="AG53"/>
  <c r="BF52"/>
  <c r="AF52"/>
  <c r="BF51"/>
  <c r="AF51"/>
  <c r="BF50"/>
  <c r="AF50"/>
  <c r="BF49"/>
  <c r="AF49"/>
  <c r="BF48"/>
  <c r="AF48"/>
  <c r="BF47"/>
  <c r="AF47"/>
  <c r="BF46"/>
  <c r="AF46"/>
  <c r="BF45"/>
  <c r="AF45"/>
  <c r="BF44"/>
  <c r="AF44"/>
  <c r="BF43"/>
  <c r="AF43"/>
  <c r="BF42"/>
  <c r="AF42"/>
  <c r="BF41"/>
  <c r="AF41"/>
  <c r="BF40"/>
  <c r="AF40"/>
  <c r="BF39"/>
  <c r="AF39"/>
  <c r="AF38"/>
  <c r="BF37"/>
  <c r="AF37"/>
  <c r="BF36"/>
  <c r="AF36"/>
  <c r="BF35"/>
  <c r="AF35"/>
  <c r="BF34"/>
  <c r="AF34"/>
  <c r="BF33"/>
  <c r="AF33"/>
  <c r="BF32"/>
  <c r="AF32"/>
  <c r="BF31"/>
  <c r="AF31"/>
  <c r="BF30"/>
  <c r="AF30"/>
  <c r="BF29"/>
  <c r="AF29"/>
  <c r="BF28"/>
  <c r="AF28"/>
  <c r="BF27"/>
  <c r="AF27"/>
  <c r="BF26"/>
  <c r="AF26"/>
  <c r="BF25"/>
  <c r="AF25"/>
  <c r="BF24"/>
  <c r="AF24"/>
  <c r="BF23"/>
  <c r="AF23"/>
  <c r="AF22"/>
  <c r="BF21"/>
  <c r="AF21"/>
  <c r="BF20"/>
  <c r="AF20"/>
  <c r="BF19"/>
  <c r="AF19"/>
  <c r="BF18"/>
  <c r="AF18"/>
  <c r="BF17"/>
  <c r="AF17"/>
  <c r="BF16"/>
  <c r="AF16"/>
  <c r="BF15"/>
  <c r="AF15"/>
  <c r="BF14"/>
  <c r="AF14"/>
  <c r="BF13"/>
  <c r="AF13"/>
  <c r="BF12"/>
  <c r="AF12"/>
  <c r="BF11"/>
  <c r="AF11"/>
  <c r="BF10"/>
  <c r="AF10"/>
  <c r="BF8"/>
  <c r="AF8"/>
  <c r="BF7"/>
  <c r="AF7"/>
  <c r="AF6"/>
  <c r="BF5"/>
  <c r="AF5"/>
  <c r="BF4"/>
  <c r="AF4"/>
  <c r="BF3"/>
  <c r="AF3"/>
</calcChain>
</file>

<file path=xl/comments1.xml><?xml version="1.0" encoding="utf-8"?>
<comments xmlns="http://schemas.openxmlformats.org/spreadsheetml/2006/main">
  <authors>
    <author/>
  </authors>
  <commentList>
    <comment ref="I28" authorId="0">
      <text>
        <r>
          <rPr>
            <sz val="11"/>
            <color theme="1"/>
            <rFont val="Calibri"/>
            <family val="2"/>
            <scheme val="minor"/>
          </rPr>
          <t>ARUN45:
25.2.2020</t>
        </r>
      </text>
    </comment>
    <comment ref="I40" authorId="0">
      <text>
        <r>
          <rPr>
            <sz val="11"/>
            <color theme="1"/>
            <rFont val="Calibri"/>
            <family val="2"/>
            <scheme val="minor"/>
          </rPr>
          <t>ARUN45:
25.02.2020</t>
        </r>
      </text>
    </comment>
    <comment ref="I43" authorId="0">
      <text>
        <r>
          <rPr>
            <sz val="11"/>
            <color theme="1"/>
            <rFont val="Calibri"/>
            <family val="2"/>
            <scheme val="minor"/>
          </rPr>
          <t>ARUN45:
25.02.2020</t>
        </r>
      </text>
    </comment>
  </commentList>
</comments>
</file>

<file path=xl/sharedStrings.xml><?xml version="1.0" encoding="utf-8"?>
<sst xmlns="http://schemas.openxmlformats.org/spreadsheetml/2006/main" count="11262" uniqueCount="4394">
  <si>
    <t>S.No</t>
  </si>
  <si>
    <t>Reg.No</t>
  </si>
  <si>
    <t>Name</t>
  </si>
  <si>
    <t>Designation</t>
  </si>
  <si>
    <t>Office</t>
  </si>
  <si>
    <t>Educational Qualification</t>
  </si>
  <si>
    <t>Marital Status</t>
  </si>
  <si>
    <t>Spouse Name</t>
  </si>
  <si>
    <t>Citizen</t>
  </si>
  <si>
    <t>Referred By</t>
  </si>
  <si>
    <t>D.O.B</t>
  </si>
  <si>
    <t>Contact Address</t>
  </si>
  <si>
    <t>Church Name</t>
  </si>
  <si>
    <t>District</t>
  </si>
  <si>
    <t>Phone No.</t>
  </si>
  <si>
    <t>Date of Ordination</t>
  </si>
  <si>
    <t>Status</t>
  </si>
  <si>
    <t>No. of Renewal O1</t>
  </si>
  <si>
    <t>No. of Renewal O2</t>
  </si>
  <si>
    <t>No. of Renewal O3</t>
  </si>
  <si>
    <t>No. of Renewal O4</t>
  </si>
  <si>
    <t>No. of Renewal O5</t>
  </si>
  <si>
    <t>No. of Renewal O6</t>
  </si>
  <si>
    <t>No. of Renewal O7</t>
  </si>
  <si>
    <t>No. of Renewal O8</t>
  </si>
  <si>
    <t>No. of Renewal O9</t>
  </si>
  <si>
    <t>No. of Renewal O10</t>
  </si>
  <si>
    <t>No. of Renewal O11</t>
  </si>
  <si>
    <t>No. of Renewal O12</t>
  </si>
  <si>
    <t>No. of Renewal O13</t>
  </si>
  <si>
    <t>No. of Renewal O14</t>
  </si>
  <si>
    <t>No. of Renewal O15</t>
  </si>
  <si>
    <t>No. of Renewal O16</t>
  </si>
  <si>
    <t>No. of Renewal O17</t>
  </si>
  <si>
    <t>No. of Renewal O18</t>
  </si>
  <si>
    <t>No. of Renewal O19</t>
  </si>
  <si>
    <t>No. of Renewal O20</t>
  </si>
  <si>
    <t xml:space="preserve">No. Of                         Renewal 021   </t>
  </si>
  <si>
    <t>Total</t>
  </si>
  <si>
    <t>TN0001</t>
  </si>
  <si>
    <t>Rt.Rev. S. Johnson Durai</t>
  </si>
  <si>
    <t>Synod Member</t>
  </si>
  <si>
    <t>Bishop</t>
  </si>
  <si>
    <t>10.06.1966</t>
  </si>
  <si>
    <t>revjohnsondurai@gmail.com</t>
  </si>
  <si>
    <t>7-1-18B 2/1, Thiyaki Alagarsamy Street,  Anna Nagar, Batlagundu, Dindigul - 624202.</t>
  </si>
  <si>
    <t>Power In The Word Church</t>
  </si>
  <si>
    <t>Dindigul</t>
  </si>
  <si>
    <t>Tamil Nadu</t>
  </si>
  <si>
    <t>Active</t>
  </si>
  <si>
    <t>-</t>
  </si>
  <si>
    <t>TN0003</t>
  </si>
  <si>
    <t>Rev. T. Anandaraj</t>
  </si>
  <si>
    <t>Member</t>
  </si>
  <si>
    <t>Pastor</t>
  </si>
  <si>
    <t>Rt. Rev. S. Johnson Durai</t>
  </si>
  <si>
    <t>11.07.1970</t>
  </si>
  <si>
    <t>anand@fficc.org.in</t>
  </si>
  <si>
    <t xml:space="preserve">
Shalom, 25  RR Gardens,  Edayarpalayam, 
Coimbatore – 641 012, Tamil Nadu. 
</t>
  </si>
  <si>
    <t xml:space="preserve">Faith Family International  Christian Center </t>
  </si>
  <si>
    <t>Coimbatore</t>
  </si>
  <si>
    <t>+91 9244836354</t>
  </si>
  <si>
    <t>10.10.2013 O1</t>
  </si>
  <si>
    <t>TN0004</t>
  </si>
  <si>
    <t>Chennai</t>
  </si>
  <si>
    <t>Left</t>
  </si>
  <si>
    <t>TN0005</t>
  </si>
  <si>
    <t xml:space="preserve">Rev. R. John Durai </t>
  </si>
  <si>
    <t>Evangelist</t>
  </si>
  <si>
    <t>06.08.1958</t>
  </si>
  <si>
    <t>rjdwonder@yahoo.com</t>
  </si>
  <si>
    <t xml:space="preserve">Plot No. 4, Anbu Nagar 2nd Street,
Opp. Ellis Nagar Telephone Exchange, 
Madurai – 625 010, Tamil Nadu.
</t>
  </si>
  <si>
    <t>Wonder Word Ministries</t>
  </si>
  <si>
    <t>Madurai</t>
  </si>
  <si>
    <t>+91 9842115753</t>
  </si>
  <si>
    <t>16.10.2014</t>
  </si>
  <si>
    <t>TN0006</t>
  </si>
  <si>
    <t>12.10.2016</t>
  </si>
  <si>
    <t>16.10.2018</t>
  </si>
  <si>
    <t>15.10.2019</t>
  </si>
  <si>
    <t>TN0007</t>
  </si>
  <si>
    <t xml:space="preserve">Rev. A. Pounraj </t>
  </si>
  <si>
    <t>Trustee</t>
  </si>
  <si>
    <t>10.11.1973</t>
  </si>
  <si>
    <t xml:space="preserve">
No:135, Kaloor Road, Appasamy Nagar, 
Tindivanam – 604 002, Tamil Nadu. 
</t>
  </si>
  <si>
    <t>Apostolic Fellowship Tabernacle</t>
  </si>
  <si>
    <t>Villupuram</t>
  </si>
  <si>
    <t xml:space="preserve">+91 9894961442 </t>
  </si>
  <si>
    <t>TN0008</t>
  </si>
  <si>
    <t xml:space="preserve">Rev. K. Daniel Hagin </t>
  </si>
  <si>
    <t>15.05.1976</t>
  </si>
  <si>
    <t>danielhagin@gmail.com</t>
  </si>
  <si>
    <t xml:space="preserve"> 2/32, Fathima TheaterRoad,
Anna Nagar, Allinagaram  – 625 531,           Theni (Dt),Tamil Nadu.
</t>
  </si>
  <si>
    <t>God’s Word Church</t>
  </si>
  <si>
    <t>Theni</t>
  </si>
  <si>
    <t>+91 99941 80893</t>
  </si>
  <si>
    <t>12.02.2015</t>
  </si>
  <si>
    <t>12.10.2015</t>
  </si>
  <si>
    <t>12.10.2017</t>
  </si>
  <si>
    <t>13/10/2021</t>
  </si>
  <si>
    <t>Visited</t>
  </si>
  <si>
    <t>TN0009</t>
  </si>
  <si>
    <t>Rev. A. Vanjinathan</t>
  </si>
  <si>
    <t>Rev.M. R. Davidraj</t>
  </si>
  <si>
    <t>07.06.1974</t>
  </si>
  <si>
    <t>ifmtrust@gmail.com</t>
  </si>
  <si>
    <t xml:space="preserve">
No.5 Chakkaravarthi School, Mamarathupatti Road,Usilampatti - 625532, Theni [Dt],
Tamil Nadu. 
</t>
  </si>
  <si>
    <t>Apostolic Fellowship Tabernacle Church</t>
  </si>
  <si>
    <t>+91 9940835781</t>
  </si>
  <si>
    <t>24.01.2018</t>
  </si>
  <si>
    <t>11.04.2019</t>
  </si>
  <si>
    <t>TN0010</t>
  </si>
  <si>
    <t xml:space="preserve">Rev. M. Samuel </t>
  </si>
  <si>
    <t>Rev. R. Gnanainbavanan</t>
  </si>
  <si>
    <t>09.05.1974</t>
  </si>
  <si>
    <t>samsatheeshmaha224@gmail.com</t>
  </si>
  <si>
    <t xml:space="preserve">Plot No.28, Alagu Nagar,         Eb Colony, Sornamahal Plot, Batlagundu – 624 202,Dindigul (Dt), Tamil Nadu. 
</t>
  </si>
  <si>
    <t>Meetpar Church</t>
  </si>
  <si>
    <t xml:space="preserve">91 98659 46224 </t>
  </si>
  <si>
    <t>16.10.2015</t>
  </si>
  <si>
    <t>08.11.2016</t>
  </si>
  <si>
    <t>02.11.2019</t>
  </si>
  <si>
    <t>TN0011</t>
  </si>
  <si>
    <t xml:space="preserve">Rev. I. Thilipkumar </t>
  </si>
  <si>
    <t>03.02.1961</t>
  </si>
  <si>
    <t>revthilipncm@gmail.com</t>
  </si>
  <si>
    <t>2 - 420 (1/2/3) I, Kurinji Nagar, Gandhi Nagar, Batlagundu (Po), Dindigul, Tamil Nadu  - 624202.</t>
  </si>
  <si>
    <t>New Covenant Ministries Church</t>
  </si>
  <si>
    <t xml:space="preserve">91 98652 78962 </t>
  </si>
  <si>
    <t>12.04.2023</t>
  </si>
  <si>
    <t>TN0012</t>
  </si>
  <si>
    <t>Rev. R. Gnana Inbavanan</t>
  </si>
  <si>
    <t>D.O.S</t>
  </si>
  <si>
    <t>John Peter</t>
  </si>
  <si>
    <t>07.05.1959</t>
  </si>
  <si>
    <t xml:space="preserve">Blessed Hope Fellowship Church,
Gandhi Nagar Main Road, Batlagundu – 624202.
Dindigul District. Tamil Nadu. 
</t>
  </si>
  <si>
    <t>Blessed Hope Fellowship Church</t>
  </si>
  <si>
    <t>+91 9787023637</t>
  </si>
  <si>
    <t>TN0013</t>
  </si>
  <si>
    <t>In active</t>
  </si>
  <si>
    <t>TN0014</t>
  </si>
  <si>
    <t xml:space="preserve">Rev. R. Elisha Anbu  </t>
  </si>
  <si>
    <t>Apostle Pastor</t>
  </si>
  <si>
    <t>01.01.1977</t>
  </si>
  <si>
    <t>pastorelishaanbu@gmail.com</t>
  </si>
  <si>
    <t xml:space="preserve">Foundation On The Holy Word Church,
Kakkanji Nagar, E.Pudukodai,  Periyakulam (Tk), 
Theni – 625 605, Tamil Nadu. 
</t>
  </si>
  <si>
    <t>Foundation On The Holy Word Church</t>
  </si>
  <si>
    <t>+91 90472 76721</t>
  </si>
  <si>
    <t>04.11.2014</t>
  </si>
  <si>
    <t>25.02.2020</t>
  </si>
  <si>
    <t>Active      No response</t>
  </si>
  <si>
    <t>TN0015</t>
  </si>
  <si>
    <t xml:space="preserve">Rev. M. Paul  David </t>
  </si>
  <si>
    <t>25.05.1978</t>
  </si>
  <si>
    <t>pauldd@gmail.com</t>
  </si>
  <si>
    <t xml:space="preserve">50-1, Avin Nagar, 
Vandiyur – 625 020,Madurai (Dt), Tamil Nadu.
</t>
  </si>
  <si>
    <t>Living Light Church</t>
  </si>
  <si>
    <t>+91 99522 00361</t>
  </si>
  <si>
    <t>TN0016</t>
  </si>
  <si>
    <t>Rev. A. Epsebai</t>
  </si>
  <si>
    <t>Associate Pastor</t>
  </si>
  <si>
    <t>24.03.1964</t>
  </si>
  <si>
    <t xml:space="preserve">7/1/18B2/1, Thiyaki Anlagarsamy St,
Annanagar,Batlagundu-624202, Dindigul[Dt]
Tamilnadu.
</t>
  </si>
  <si>
    <t>91 9486907064</t>
  </si>
  <si>
    <t>24.10.2015</t>
  </si>
  <si>
    <t>12.04.2022</t>
  </si>
  <si>
    <t>Kanniyakumari</t>
  </si>
  <si>
    <t>TN0018</t>
  </si>
  <si>
    <t>Mrs. A. Helen Ruth</t>
  </si>
  <si>
    <t>31.03.1970</t>
  </si>
  <si>
    <t>helen@fficc.org.in</t>
  </si>
  <si>
    <t xml:space="preserve">Faith Family International Christian Center, 
Shalom, 25, RR Gardens, Edayarpalayam, 
Coimbatore   – 641 012. Tamil Nadu.
</t>
  </si>
  <si>
    <t>Faith Family International Christian Center</t>
  </si>
  <si>
    <t>91 9150185391</t>
  </si>
  <si>
    <t>30.05.2015</t>
  </si>
  <si>
    <t>15.01.2016</t>
  </si>
  <si>
    <t>Worship Leader</t>
  </si>
  <si>
    <t>TN0021</t>
  </si>
  <si>
    <t>TN0022</t>
  </si>
  <si>
    <t xml:space="preserve">Rev. Daniel  A. Swaminathan </t>
  </si>
  <si>
    <t>01.01.1959</t>
  </si>
  <si>
    <t xml:space="preserve">Jesus The Way Grace Ministries,
PTR Nagar, Kalmedu, Sakkimangalam  – 625 201
Madurai (Dt), Tamil Nadu.
</t>
  </si>
  <si>
    <t>Jesus The Way Grace Ministries</t>
  </si>
  <si>
    <t>+91 96552 10719</t>
  </si>
  <si>
    <t>12.04.2018</t>
  </si>
  <si>
    <t>TN0023</t>
  </si>
  <si>
    <t xml:space="preserve">Rev. B. Sesan George </t>
  </si>
  <si>
    <t>06.09.1971</t>
  </si>
  <si>
    <t xml:space="preserve">Church Of God, 
Mohan Nagar 1st Street,Sugar Factory (Opp),
Pugalur. – 639 113.Karur [Dt], Tamil Nadu.
</t>
  </si>
  <si>
    <t>Church Of God</t>
  </si>
  <si>
    <t>Karur</t>
  </si>
  <si>
    <t>89258 01073</t>
  </si>
  <si>
    <t>16.10.2019</t>
  </si>
  <si>
    <t>TN0024</t>
  </si>
  <si>
    <t xml:space="preserve">Rev. S. Stephen Nagappan </t>
  </si>
  <si>
    <t>18.08.1970</t>
  </si>
  <si>
    <t xml:space="preserve"> 2/1102a, State Bank Colony, Satchiyapuram, Sivakasi – 626 124,Virudhunagar [Dt], Tamil Nadu. 
</t>
  </si>
  <si>
    <t>Word Of God Prayer House</t>
  </si>
  <si>
    <t>Viruthunagar</t>
  </si>
  <si>
    <t>+91 9944413575</t>
  </si>
  <si>
    <t>14.10.2017</t>
  </si>
  <si>
    <t>TN0025</t>
  </si>
  <si>
    <t>Rev. R. David Pachaimuthu</t>
  </si>
  <si>
    <t>Pr. P. Immanuel</t>
  </si>
  <si>
    <t>05.06.1969</t>
  </si>
  <si>
    <t xml:space="preserve">Malaival Maruvzhvu Christian Church,
Palkadai Village, Vadakadu – 624 619, 
Oddanchatram Taluk, Dindigul [Dt],
Tamil Nadu. 
</t>
  </si>
  <si>
    <t>Malaival Maruvzhvu Christian Church</t>
  </si>
  <si>
    <t>+91 9488243775</t>
  </si>
  <si>
    <t>22.12.2014</t>
  </si>
  <si>
    <t>TN0026</t>
  </si>
  <si>
    <t xml:space="preserve">Rev. S. Sundaram </t>
  </si>
  <si>
    <t>16.06.1964</t>
  </si>
  <si>
    <t xml:space="preserve">27 – N – 102,     Adhi Dravidar Street, Vettamangalam, 
Melbagam – 639 117, Karur (Dt), Tamil Nadu.
</t>
  </si>
  <si>
    <t>Voice Of El-Shadai Ministry</t>
  </si>
  <si>
    <t>+91 80988 22759</t>
  </si>
  <si>
    <t>19.04.2017</t>
  </si>
  <si>
    <t>Rev. J. Job</t>
  </si>
  <si>
    <t>Good Samaritan Church</t>
  </si>
  <si>
    <t>Not Willing</t>
  </si>
  <si>
    <t>TN0028</t>
  </si>
  <si>
    <t>Rev. V. David @ Senthil Kumaran</t>
  </si>
  <si>
    <t>Rev. A. Chinnappadoss</t>
  </si>
  <si>
    <t>12.12.1969</t>
  </si>
  <si>
    <t>theshoutofaking@gmail.com</t>
  </si>
  <si>
    <t xml:space="preserve"> Thideer Colony, 
 Meenampatti North, Sivakasi  –626 189,  
Virudhunagar [Dt], Tamil Nadu. 
</t>
  </si>
  <si>
    <t>Open Bible Church Of God</t>
  </si>
  <si>
    <t xml:space="preserve"> 97518 56777</t>
  </si>
  <si>
    <t>TN0029</t>
  </si>
  <si>
    <t xml:space="preserve">Rev. A.J. Amos Moorthy </t>
  </si>
  <si>
    <t>10.06.1975</t>
  </si>
  <si>
    <t>mercy_chome@yahoo.com</t>
  </si>
  <si>
    <t xml:space="preserve">
No:127/1, Main Road, Church Street, Gandhi Nagar,Vembakkam, Cheiyyar [Tk],
Thiruvannamalai [Dt ] - 604 410, 
</t>
  </si>
  <si>
    <t>All India Village Christian Center</t>
  </si>
  <si>
    <t>Thiruvannamalai</t>
  </si>
  <si>
    <t>TN0030</t>
  </si>
  <si>
    <t xml:space="preserve">Rev. S. Michael @ Baskaran </t>
  </si>
  <si>
    <t>28.02.1967</t>
  </si>
  <si>
    <t>tamilmissionchurch@gmail.com</t>
  </si>
  <si>
    <t xml:space="preserve">
H – 117, Malligai Nagar, Anaiyur,             Madurai - 625 017, Tamil Nadu. 
</t>
  </si>
  <si>
    <t>Tamil Mission Church</t>
  </si>
  <si>
    <t xml:space="preserve"> 98949 14260</t>
  </si>
  <si>
    <t>12.02.2014</t>
  </si>
  <si>
    <t>TN0031</t>
  </si>
  <si>
    <t xml:space="preserve">Rev. R. Venu Gopal </t>
  </si>
  <si>
    <t>05.04.1965</t>
  </si>
  <si>
    <t>kartharvenu@gmail.com</t>
  </si>
  <si>
    <t xml:space="preserve"> 354 – N, Prof. Appadurai Compound, Kambar Cross Street, Vinayaga Nagar, Pasumalai,Madurai (Dt) – 625 004. 
Tamil Nadu. 
</t>
  </si>
  <si>
    <t>Grace Prayer Church</t>
  </si>
  <si>
    <t xml:space="preserve"> 98423 08423</t>
  </si>
  <si>
    <t>TN0032</t>
  </si>
  <si>
    <t xml:space="preserve">Rev. M. Mohanraj </t>
  </si>
  <si>
    <t>12.07.1976</t>
  </si>
  <si>
    <t xml:space="preserve">12/1/44, 
Middle Street,  Elumalai, Peraiyur, (Tk). 
Madurai. (Dt)  Pin-625 535. 
</t>
  </si>
  <si>
    <t>United Mission To India</t>
  </si>
  <si>
    <t xml:space="preserve"> 96003 56581
</t>
  </si>
  <si>
    <t>TN0033</t>
  </si>
  <si>
    <t xml:space="preserve">Rev. S. John Kennady </t>
  </si>
  <si>
    <t>07.02.1969</t>
  </si>
  <si>
    <t xml:space="preserve">
4/50, Kmt House, Pillaiyarnatham, Vayaloor, 
Madurai (Dt) – 625 402,Tamilnadu. 
</t>
  </si>
  <si>
    <t>98651 97725</t>
  </si>
  <si>
    <t>TN0034</t>
  </si>
  <si>
    <t>Rev. A.Sudan Abraham</t>
  </si>
  <si>
    <t>28.12.1950</t>
  </si>
  <si>
    <t xml:space="preserve">Jesus Good News Prayer House,Keelady (Po), Silaiman, Sivagangai. Madurai (Dt),
Tamil Nadu.
</t>
  </si>
  <si>
    <t>Jesus Good News Prayer House</t>
  </si>
  <si>
    <t xml:space="preserve"> 96778 22261 </t>
  </si>
  <si>
    <t>14.02.2017</t>
  </si>
  <si>
    <t>TN0035</t>
  </si>
  <si>
    <t xml:space="preserve">Rev. P.K. Joshua </t>
  </si>
  <si>
    <t>15.06.1953</t>
  </si>
  <si>
    <t>pkjoshuaa@yahoo.co.in</t>
  </si>
  <si>
    <t xml:space="preserve">10, Anand Nagar, 
Anayur, (Post), Madurai – 625 017, 
Tamil Nadu. 
</t>
  </si>
  <si>
    <t>Rehoboth Prayer House</t>
  </si>
  <si>
    <t xml:space="preserve">94424 07753 </t>
  </si>
  <si>
    <t>08.09.2015</t>
  </si>
  <si>
    <t>TN0036</t>
  </si>
  <si>
    <t>Rev. P. Paul Hagin,</t>
  </si>
  <si>
    <t>27.05.1978</t>
  </si>
  <si>
    <t>paul.hagin@gmail.com</t>
  </si>
  <si>
    <t xml:space="preserve">2/58, Middle street, puduthamaraipatty post
Y. Othakadai via, 
Madurai District 625107
</t>
  </si>
  <si>
    <t>Covenant Stone Ministries</t>
  </si>
  <si>
    <t>TN0037</t>
  </si>
  <si>
    <t xml:space="preserve">Rev. A. Mohanraj </t>
  </si>
  <si>
    <t>Rev. R. Elisha Anbu</t>
  </si>
  <si>
    <t>02.01.1982</t>
  </si>
  <si>
    <t xml:space="preserve">12-3-19, Srimoogambigai Nagar, Karattupatti 
Melechokkanathapuram [Po] – 625582, Bodinayakkanur, Theni [Dt], Tamil Nadu.
</t>
  </si>
  <si>
    <t>Jesus Miracle Ministry</t>
  </si>
  <si>
    <t>94429 95950</t>
  </si>
  <si>
    <t>In active    Not in use</t>
  </si>
  <si>
    <t>TN0039</t>
  </si>
  <si>
    <t xml:space="preserve">Rev. J. Vincent </t>
  </si>
  <si>
    <t>05.03.1969</t>
  </si>
  <si>
    <t xml:space="preserve">
Puthukadu, Obsarvatory  (Po) - 624 103,  
Kodaikannal [Tk], Dindigul (Dt), Tamil Nadu.
</t>
  </si>
  <si>
    <t>Ipc Church</t>
  </si>
  <si>
    <t>80980 94017</t>
  </si>
  <si>
    <t>12.04.2016</t>
  </si>
  <si>
    <t>TN0040</t>
  </si>
  <si>
    <t xml:space="preserve">Rev. R. Gnanamuthu  @ Marimuthu </t>
  </si>
  <si>
    <t>30.05.1967</t>
  </si>
  <si>
    <t xml:space="preserve">95 A, North Street, 
South Venganalloor [Po] – 626 142, Chithambarapuram, Rajapalayam [Tk], 
Virudhunagar [Dt] Tamil Nadu. 
</t>
  </si>
  <si>
    <t>Zion Church</t>
  </si>
  <si>
    <t>TN0042</t>
  </si>
  <si>
    <t xml:space="preserve">Rev. D. Stephen </t>
  </si>
  <si>
    <t>Pr. S. Sundram</t>
  </si>
  <si>
    <t>28.05.1960</t>
  </si>
  <si>
    <t xml:space="preserve">93 – Kamaraj Street, 
Railway Station Back Side, Covery Nagar, Kulithalai – 639 104, Karur (Dt).Tamil Nadu. 
</t>
  </si>
  <si>
    <t>Faith Prayer House</t>
  </si>
  <si>
    <t>74183 23523</t>
  </si>
  <si>
    <t>11.11.2014</t>
  </si>
  <si>
    <t>31.01.2017</t>
  </si>
  <si>
    <t>TN0043</t>
  </si>
  <si>
    <t xml:space="preserve">Rev. D. Duraisingh </t>
  </si>
  <si>
    <t>Rev. S. Sambath Solomon</t>
  </si>
  <si>
    <t>03.01.1975</t>
  </si>
  <si>
    <t xml:space="preserve">Church Of New Grace, Main Road, Kullappagoundanpatty, Cumbum (Via),
Theni [Dt] – 625 516, Tamil Nadu.  
</t>
  </si>
  <si>
    <t>Church Of New Grace</t>
  </si>
  <si>
    <t>TN0044</t>
  </si>
  <si>
    <t xml:space="preserve">Rev.P. Thaga Raju </t>
  </si>
  <si>
    <t>15.05.1958</t>
  </si>
  <si>
    <t xml:space="preserve">Jesus Love’s Ministry, 
Sarakkampatty, Veeranampatty, Kadavoor (Tk), 
Karur [Dt]– 621 301, Tamil Nadu.
</t>
  </si>
  <si>
    <t>Jesus Love’s Ministry</t>
  </si>
  <si>
    <t xml:space="preserve">91592 47093 </t>
  </si>
  <si>
    <t>TN0045</t>
  </si>
  <si>
    <t xml:space="preserve">Rev. S. Joseph Vimal Raj </t>
  </si>
  <si>
    <t>04.12.1992</t>
  </si>
  <si>
    <t>vimalraj1992@gmail.com</t>
  </si>
  <si>
    <t xml:space="preserve">102, Vettamangalam, Vettamangalam– 639 117,
Karur [Dt], Tamil Nadu. 
</t>
  </si>
  <si>
    <t>Elshaddai Believer’s Church</t>
  </si>
  <si>
    <t>86755 52384</t>
  </si>
  <si>
    <t>TN0046</t>
  </si>
  <si>
    <t xml:space="preserve">Rev. R. Ealiya </t>
  </si>
  <si>
    <t>07.03.1982</t>
  </si>
  <si>
    <t xml:space="preserve">
8. W/223, Seetharam Nagar, Sakkampatty, Antipatty, Theni (Dt) - 625 512.  Tamil Nadu. 
</t>
  </si>
  <si>
    <t>Aci – Ulagaratchagar Jesus Ministry</t>
  </si>
  <si>
    <t>99658 39209</t>
  </si>
  <si>
    <t>Active      Visited</t>
  </si>
  <si>
    <t>TN0047</t>
  </si>
  <si>
    <t xml:space="preserve">Rev. D. Yesupatham </t>
  </si>
  <si>
    <t>19.06.1975</t>
  </si>
  <si>
    <t xml:space="preserve">Cef – Glory Of Church,
Anna Nagar,  Madurai Road,                    Theni – 625 531. 
Tamil Nadu. 
</t>
  </si>
  <si>
    <t>Cef – Glory Of Church</t>
  </si>
  <si>
    <t>77084 11074</t>
  </si>
  <si>
    <t>In active    No response</t>
  </si>
  <si>
    <t>TN0048</t>
  </si>
  <si>
    <t xml:space="preserve">Rev. A. Chinnappadoss </t>
  </si>
  <si>
    <t>30.11.1974</t>
  </si>
  <si>
    <t>jeevapathailsvk@gmail.com</t>
  </si>
  <si>
    <t xml:space="preserve">
3/274 – D5  Mayiladundurai, Anuppankulam – 626 189, Sivakasi [Tk], Virudhunagar [Dt], 
Tamil Nadu. 
</t>
  </si>
  <si>
    <t>Apostolic Christian Ministries Foundation</t>
  </si>
  <si>
    <t>99446 62106</t>
  </si>
  <si>
    <t>19.04.2016</t>
  </si>
  <si>
    <t>03.12.2019</t>
  </si>
  <si>
    <t>TN0049</t>
  </si>
  <si>
    <t xml:space="preserve">Rev. K. Joshua </t>
  </si>
  <si>
    <t>30.07.1980</t>
  </si>
  <si>
    <t xml:space="preserve">Living Jesus Ministries,
Vaigaipudur,Vaigaidam, Theni [Dt] – 625 562,
Tamil Nadu. 
</t>
  </si>
  <si>
    <t>Living Jesus Ministries</t>
  </si>
  <si>
    <t>TN0050</t>
  </si>
  <si>
    <t xml:space="preserve">Rev. I. Christhudas </t>
  </si>
  <si>
    <t>13.01.1965</t>
  </si>
  <si>
    <t xml:space="preserve"> 
W4b8 – 14, Main Street, Rathinam Nagar, 
Theni (Dt) – 625 531, Tamil Nadu.
</t>
  </si>
  <si>
    <t>Hossannah Prayer House</t>
  </si>
  <si>
    <t>97900 81404</t>
  </si>
  <si>
    <t>In active    To be visit</t>
  </si>
  <si>
    <t>TN0051</t>
  </si>
  <si>
    <t>Rev. P. A. Pavul</t>
  </si>
  <si>
    <t>14.03.1977</t>
  </si>
  <si>
    <t>tabernacleofgod@rediffmail.com</t>
  </si>
  <si>
    <t xml:space="preserve"> 29-B, Gokulam Nagar, 
Periyamaravan Kulam, Thirumangalam, Madurai 
Tamil Nadu.
</t>
  </si>
  <si>
    <t>The Tabernacle Of God</t>
  </si>
  <si>
    <t>14.06.2016</t>
  </si>
  <si>
    <t>TN0052</t>
  </si>
  <si>
    <t xml:space="preserve">Rev. S. Daniel </t>
  </si>
  <si>
    <t>09.06.1980</t>
  </si>
  <si>
    <t xml:space="preserve">
5/159, Samithoppu, Kidaripatty, 
Alagarkovil Road, Madurai [Dt] – 625 301
</t>
  </si>
  <si>
    <t>Full Gospel New Life Of Christ Ministry</t>
  </si>
  <si>
    <t>TN0054</t>
  </si>
  <si>
    <t xml:space="preserve">Rev. J. Isravel </t>
  </si>
  <si>
    <t>01.01.1978</t>
  </si>
  <si>
    <t xml:space="preserve">4/130, Velan Nagar,               Velayuthapuram – 626 102, Rajapalayam [Tk],
Virudhunagar [Dt], Tamil Nadu. 
</t>
  </si>
  <si>
    <t>New Life Bethel Church</t>
  </si>
  <si>
    <t>20.01.2017</t>
  </si>
  <si>
    <t>TN0055</t>
  </si>
  <si>
    <t xml:space="preserve">Rev. N. David Anbu @ Anbalagan </t>
  </si>
  <si>
    <t>06.05.1976</t>
  </si>
  <si>
    <t xml:space="preserve">Love Gospel Fellowship Prayer House
Janagi Nagar, Police Station Backside, 
Solavanthan, Madurai [Dt],
</t>
  </si>
  <si>
    <t>Love Gospel Fellowship Prayer House</t>
  </si>
  <si>
    <t>TN0056</t>
  </si>
  <si>
    <t xml:space="preserve">Rev. C. Paul Jebaraj  </t>
  </si>
  <si>
    <t>15.06.1970</t>
  </si>
  <si>
    <t>jewijoru1975@gmail.com</t>
  </si>
  <si>
    <t xml:space="preserve">
1/4, Athipatty [Po] - 625 705,  Peraiyur [Tk],
Madurai [Dt], Tamil Nadu.
</t>
  </si>
  <si>
    <t>Fire Anointing Church</t>
  </si>
  <si>
    <t>TN0057</t>
  </si>
  <si>
    <t xml:space="preserve">Rev. V. Mathanraj @ Madhanrasu </t>
  </si>
  <si>
    <t>12.08.1950</t>
  </si>
  <si>
    <t xml:space="preserve">
15/1, Flower Garden North Street, Periyakulam,  
Theni (Dt) – 625 601, Tamil Nadu. 
</t>
  </si>
  <si>
    <t>Christhuvin Manavatti Church</t>
  </si>
  <si>
    <t>97887 30549</t>
  </si>
  <si>
    <t>In active     To be visit</t>
  </si>
  <si>
    <t>TN0058</t>
  </si>
  <si>
    <t xml:space="preserve">Rev. John Samuel </t>
  </si>
  <si>
    <t>06.04.1991</t>
  </si>
  <si>
    <t xml:space="preserve">
7/1/18B2/1, Thiyaki Anlagarsamy St,
Annanagar,Batlagundu-624202
Dindigul [Dt], Tamil Nadu.
</t>
  </si>
  <si>
    <t>TN0059</t>
  </si>
  <si>
    <t>Rev. C. Samuel @ Jeyavelu</t>
  </si>
  <si>
    <t>Rev. Clement Alex</t>
  </si>
  <si>
    <t>10.01.1971</t>
  </si>
  <si>
    <t xml:space="preserve"> 920, Road St, Perumalpet,            Vembakkam – 604410,
Cheyyar [Tk], Thiruvannamalai [Dt], Tamil Nadu. 
</t>
  </si>
  <si>
    <t>TN0060</t>
  </si>
  <si>
    <t>Rev. N. Muthu Saral</t>
  </si>
  <si>
    <t>30.04.1953</t>
  </si>
  <si>
    <t xml:space="preserve">26/29, Visuvasapuri, 3rd Street, Gnanaolivapuram, 
Madurai – 625 016, Tamil Nadu. 
</t>
  </si>
  <si>
    <t>The Voice Of The Lord Ministries</t>
  </si>
  <si>
    <t>TN0064</t>
  </si>
  <si>
    <t xml:space="preserve">Rev. R. Arul Kumar @ Francis </t>
  </si>
  <si>
    <t>30.05.1963</t>
  </si>
  <si>
    <t xml:space="preserve">4/1408, Senthil Nathan 1st Street,Thasildhar Nagar, Madurai  - 625020,
Tamil Nadu. 
</t>
  </si>
  <si>
    <t>Zion Vision Ministry</t>
  </si>
  <si>
    <t>TN0065</t>
  </si>
  <si>
    <t xml:space="preserve">Rev. S. Velmurugan @ David  </t>
  </si>
  <si>
    <t>22.05.1983</t>
  </si>
  <si>
    <t xml:space="preserve">
1-1-160a, Muthaiyah Moopapar Street, 
T. Kallupatti - 625702, Madurai [Dt], Tamil Nadu. 
</t>
  </si>
  <si>
    <t>Athisaya Kalvari Church</t>
  </si>
  <si>
    <t>TN0066</t>
  </si>
  <si>
    <t xml:space="preserve">Rev. S.Vijayan @ Ramesh </t>
  </si>
  <si>
    <t>05.06.1972</t>
  </si>
  <si>
    <t xml:space="preserve">Victory Of Jesus Ministries
Railar Nagar, Tnhp Colony, Madurai  - 625018,
Tamil Nadu.  
</t>
  </si>
  <si>
    <t>Victory Of Jesus Ministries</t>
  </si>
  <si>
    <t>TN0067</t>
  </si>
  <si>
    <t>Rev. P. Muralidhara @ Albert</t>
  </si>
  <si>
    <t>23.10.1978</t>
  </si>
  <si>
    <t>muralidharan1978@gmail.com</t>
  </si>
  <si>
    <t xml:space="preserve">M14, Tnhb Colony, Tamil Nagar, Aanayur,
Madurai  - 625017 Tamil Nadu.  
</t>
  </si>
  <si>
    <t>Immanuel Church</t>
  </si>
  <si>
    <t>12.02.2014 O2</t>
  </si>
  <si>
    <t>TN0068</t>
  </si>
  <si>
    <t>Rev. C. Samuel</t>
  </si>
  <si>
    <t>21.05.1976</t>
  </si>
  <si>
    <t>lahairoi.samuel@gmail.com</t>
  </si>
  <si>
    <t xml:space="preserve">Lahai Roi Ministries,                                            13/55, Pappa Complex, Hanumar Kovil Street, K.V.Salai,Madurai – 18,
Tamil Nadu. 
</t>
  </si>
  <si>
    <t>Lahai Roi Miracle Church</t>
  </si>
  <si>
    <t>TN0069</t>
  </si>
  <si>
    <t>Rev. T. Winfred @ Krishnakumar</t>
  </si>
  <si>
    <t>Rev. S. Daniel Saravanan</t>
  </si>
  <si>
    <t>14.11.1982</t>
  </si>
  <si>
    <t>winfredz2012@gmail.com</t>
  </si>
  <si>
    <t xml:space="preserve">42, Pallavan Nagar, 5th Street, 
Madurai – 625016
Tamil Nadu. 
</t>
  </si>
  <si>
    <t>Jerusalem Ministry Of Comfort</t>
  </si>
  <si>
    <t>TN0070</t>
  </si>
  <si>
    <t>Rev. M. Shanmugam @ Inbaraj</t>
  </si>
  <si>
    <t>13.04.1963</t>
  </si>
  <si>
    <t xml:space="preserve">90/5a, Gopi Appartment, Nehru Street, Sathiyamoorthy Nagar, Bypass Road, Madurai – 625010,
Tamil Nadu.  
</t>
  </si>
  <si>
    <t>Jesus Glorious Riches Church</t>
  </si>
  <si>
    <t>TN0071</t>
  </si>
  <si>
    <t xml:space="preserve">Rev. C.A. Jeyaraj </t>
  </si>
  <si>
    <t>06.06.1966</t>
  </si>
  <si>
    <t xml:space="preserve">No.4, Old Murugan Takkis, 
Main Street, Palanganatham, 
Madurai – 625003
Tamil Nadu. 
</t>
  </si>
  <si>
    <t>Church Of Divine Word</t>
  </si>
  <si>
    <t>TN0072</t>
  </si>
  <si>
    <t>Rev. L. Stalin Arockia Selvan</t>
  </si>
  <si>
    <t>12.05.1974</t>
  </si>
  <si>
    <t xml:space="preserve">M3/168, Koodal Puthur, 
Anaiyur [Po] – 625017,
Madurai [Dt],
Tamil Nadu. 
</t>
  </si>
  <si>
    <t>Jesus Is Good Miracle Prayer House</t>
  </si>
  <si>
    <t>TN0073</t>
  </si>
  <si>
    <t>Rev. J. Stephen</t>
  </si>
  <si>
    <t>01.06.1967</t>
  </si>
  <si>
    <t xml:space="preserve">9/30, Barma Colony, 
Indra Nagar Main Rd, Konnavayan Salai, Thathaneri, Madurai – 625018,
Tamil Nadu.  
</t>
  </si>
  <si>
    <t>Zion New Life Prayer House</t>
  </si>
  <si>
    <t>TN0074</t>
  </si>
  <si>
    <t>Rev. M. Selwin @ Velmurugan</t>
  </si>
  <si>
    <t>07.10.1969</t>
  </si>
  <si>
    <t xml:space="preserve">73-B, Mahathma Street,
Vellaikannu Theatre Road,
Madurai – 625010,
Tamil Nadu. 
</t>
  </si>
  <si>
    <t>Messia Ministries Prayer House</t>
  </si>
  <si>
    <t>TN0075</t>
  </si>
  <si>
    <t>Rev. A. Amoseraj</t>
  </si>
  <si>
    <t>29.08.1985</t>
  </si>
  <si>
    <t xml:space="preserve">United Mission India 
A. Vellala Patty, Mealore [Via], 
Madurai [Dt] – 625301, Tamil Nadu.  
</t>
  </si>
  <si>
    <t xml:space="preserve">United Mission India </t>
  </si>
  <si>
    <t>TN0076</t>
  </si>
  <si>
    <t>Rev. M. Issac Muthu</t>
  </si>
  <si>
    <t>16.04.1979</t>
  </si>
  <si>
    <t>lgchurch1@gmail.com</t>
  </si>
  <si>
    <t xml:space="preserve">78a, Alagar Koil Main Road,
Iti Bus Stop, K. Puthur.
Madurai – 625007 Tamil Nadu.   
</t>
  </si>
  <si>
    <t>Living God Church</t>
  </si>
  <si>
    <t>TN0077</t>
  </si>
  <si>
    <t>Rev. M. Moses</t>
  </si>
  <si>
    <t>20.06.1969</t>
  </si>
  <si>
    <t xml:space="preserve">211/9, Sathgurunathar Street,
Mooventhiran Street, 
Puthu Vilankudi. 
Madurai – 625018, Tamil Nadu.  
</t>
  </si>
  <si>
    <t>Fire Of Christ's Ministries</t>
  </si>
  <si>
    <t>TN0078</t>
  </si>
  <si>
    <t>Rev. C. Chinnapparaj</t>
  </si>
  <si>
    <t>Rev. P. Paulraj Rirubakaran</t>
  </si>
  <si>
    <t>18.03.1971</t>
  </si>
  <si>
    <t xml:space="preserve">18-A/1, Mettupatti,
Seithur – 626121,
Rajapalayam (Tk),
Virudhunagar (Dt), Tamil Nadu.  
</t>
  </si>
  <si>
    <t>Seithur Deva Sabai</t>
  </si>
  <si>
    <t>TN0079</t>
  </si>
  <si>
    <t>Rev. D.K. Deva Athisayam</t>
  </si>
  <si>
    <t>Rev. R. Venugopal</t>
  </si>
  <si>
    <t>13.10.1959</t>
  </si>
  <si>
    <t>kingdomofchristianearthmission@gmail.com</t>
  </si>
  <si>
    <t xml:space="preserve">
8/1C, Perumalkulam, Devanallur, K.C.Puram [Po] – 627502, Padmaneri [Via],Nanguneri [Tk], 
Thirunelveli [Dt], Tamil Nadu
</t>
  </si>
  <si>
    <t>Kingdom Of Christ In Earth Mission</t>
  </si>
  <si>
    <t>Thirunelveli</t>
  </si>
  <si>
    <t>11.06.2015</t>
  </si>
  <si>
    <t>10.04.2018</t>
  </si>
  <si>
    <t>TN0080</t>
  </si>
  <si>
    <t>Rev. K. Jossilas</t>
  </si>
  <si>
    <t>01.07.1960</t>
  </si>
  <si>
    <t xml:space="preserve">14. Krishnana Kovil Street,
Seithur – 626121, 
Rajapalayam [Tk],
Virudhunagar (Dt), Tamil Nadu.  
</t>
  </si>
  <si>
    <t>Seithur Prayer House</t>
  </si>
  <si>
    <t>TN0081</t>
  </si>
  <si>
    <t>Rev. N. Ilayaraja @ Rajan</t>
  </si>
  <si>
    <t>06.06.1978</t>
  </si>
  <si>
    <t xml:space="preserve">Dymock Estate Post,
Vandiperiyar – 685533 
Idukki [Dt], Kerala State. 
</t>
  </si>
  <si>
    <t>Apostolic Church Of India</t>
  </si>
  <si>
    <t>Idukki North</t>
  </si>
  <si>
    <t>Kerala</t>
  </si>
  <si>
    <t>TN0082</t>
  </si>
  <si>
    <t>Rev. J. Amburose</t>
  </si>
  <si>
    <t>05.01.1970</t>
  </si>
  <si>
    <t>www.amburosej70@gmail.com</t>
  </si>
  <si>
    <t xml:space="preserve">Dymock Estate Post,
Vandiperiyar – 685553,
Idukki District, Kerala State.
</t>
  </si>
  <si>
    <t>Shalom Revival Fellowship Church</t>
  </si>
  <si>
    <t>07.03.2018</t>
  </si>
  <si>
    <t>TN0083</t>
  </si>
  <si>
    <t>Rev. M. John Peter</t>
  </si>
  <si>
    <t>15.02.1976</t>
  </si>
  <si>
    <t>greenworldindya@gmail.com</t>
  </si>
  <si>
    <t xml:space="preserve">Dymock Estate Post,
Vandiperiyar – 685533
Idukki [Dt],
Kerala State.
</t>
  </si>
  <si>
    <t>Kalvary Church</t>
  </si>
  <si>
    <t>TN0084</t>
  </si>
  <si>
    <t>Rev. M. Devadoss</t>
  </si>
  <si>
    <t>14.06.1956</t>
  </si>
  <si>
    <t xml:space="preserve">11th Ward, Machur, 
Pannaikadu - 624201
Kodaikanal [Tk], 
Dindigul [Dt], Tamil Nadu.  
</t>
  </si>
  <si>
    <t>Bible Believers Assembly Church</t>
  </si>
  <si>
    <t>TN0085</t>
  </si>
  <si>
    <t>Rev. R. Raj @ Iyappan</t>
  </si>
  <si>
    <t>03.10.1960</t>
  </si>
  <si>
    <t xml:space="preserve">Dymock Estat,
Vandiperiyar – 685533
Idukki [Dt], Kerala State. 
</t>
  </si>
  <si>
    <t>Peniel Church</t>
  </si>
  <si>
    <t>TN0086</t>
  </si>
  <si>
    <t>Rev. J. Selvaraj</t>
  </si>
  <si>
    <t>02.01.1974</t>
  </si>
  <si>
    <t xml:space="preserve">36/3, Bharathi Nagar, Mugavoor, Devathanam, 
Rajapalayam [Tk], 
Virudhunagar [Dt] – 626145, 
Tamil Nadu.  
</t>
  </si>
  <si>
    <t>Meetparin Jeba Veedu</t>
  </si>
  <si>
    <t>TN0087</t>
  </si>
  <si>
    <t>Rev. M. Sahayaraj</t>
  </si>
  <si>
    <t>Rev. D. Yesubatham</t>
  </si>
  <si>
    <t>28.04.1970</t>
  </si>
  <si>
    <t>sahayarajnesam@gmail.com</t>
  </si>
  <si>
    <t xml:space="preserve">East Street, Muthuthevanpatty,
Veerapandi Post, 
Theni [Dt] - 625531,
Tamilnadu.
</t>
  </si>
  <si>
    <t>Holy Mount Prayer House</t>
  </si>
  <si>
    <t>TN0088</t>
  </si>
  <si>
    <t>Rev. S. Jeyan</t>
  </si>
  <si>
    <t>02.04.1979</t>
  </si>
  <si>
    <t xml:space="preserve">133/133, Old Adhidiravidar Colony,
Angoorpalayam,  
Uthamapalayam [Tk],
Theni [Dt], Tamilnadu.
</t>
  </si>
  <si>
    <t>Christian Evangelical Fellowship Church</t>
  </si>
  <si>
    <t>TN0089</t>
  </si>
  <si>
    <t>Rev. P. Paulraj Kirubakaran</t>
  </si>
  <si>
    <t>06.03.1970</t>
  </si>
  <si>
    <t>ppkiruba_svm@yahoo.co.in</t>
  </si>
  <si>
    <t xml:space="preserve">5/407, ,Church Street, 
Samypuram Colony
Sivakasi-626189,
Tamilnadu. 
</t>
  </si>
  <si>
    <t>Gospel Trump Mission</t>
  </si>
  <si>
    <t>Sivakasi</t>
  </si>
  <si>
    <t>TN0090</t>
  </si>
  <si>
    <t>Rev. M. Karuppaiah @ Paul</t>
  </si>
  <si>
    <t>04.04.1967</t>
  </si>
  <si>
    <t xml:space="preserve">6-1-34, Pandiyan Cofee Opp,
Muthuthevan Patti, 
 Veerapandi [Po],Theni [Dt]-625531,  
Tamilnadu. 
</t>
  </si>
  <si>
    <t>Good Samaritan Fellowship Church</t>
  </si>
  <si>
    <t>TN0091</t>
  </si>
  <si>
    <t>Rev. P. Soundar Raj</t>
  </si>
  <si>
    <t>18.10.1957</t>
  </si>
  <si>
    <t>soundararajpaul@gmail.com</t>
  </si>
  <si>
    <t xml:space="preserve">4-23, Ramasamypuram,  Pallakurichi,
 Sathankulam Taluk, 
Tuticorin [Dt] - 628655, Tamilnadu.
</t>
  </si>
  <si>
    <t>Elahddai Prayer House</t>
  </si>
  <si>
    <t>Tuticorin</t>
  </si>
  <si>
    <t>12.04.2017</t>
  </si>
  <si>
    <t>TN0092</t>
  </si>
  <si>
    <t>Rev. D. Mohan @ Daniel</t>
  </si>
  <si>
    <t>18.02.1973</t>
  </si>
  <si>
    <t xml:space="preserve">Dymock Estate Post,
Vandiperiyar Via,
Vandiperiyar, Kerala - 685533
</t>
  </si>
  <si>
    <t>True Jesus Church</t>
  </si>
  <si>
    <t>Vandiperiyar</t>
  </si>
  <si>
    <t>TN0093</t>
  </si>
  <si>
    <t xml:space="preserve">Rev. L. Suresh Daniel </t>
  </si>
  <si>
    <t>12.06.1969</t>
  </si>
  <si>
    <t>sureshdaniell@gmail.com</t>
  </si>
  <si>
    <t xml:space="preserve">
11/2, Soosai Nagar 3rd Street,
C.A.S. Colony,  Madurai – 625018,
Tamilnadu.
</t>
  </si>
  <si>
    <t>Good Shepherd Revival Church</t>
  </si>
  <si>
    <t>TN0094</t>
  </si>
  <si>
    <t>Rev. U. Maheswaran@ Samuel Mahesh</t>
  </si>
  <si>
    <t>Rev. M. Sam Satheesh Kumar</t>
  </si>
  <si>
    <t>25.05.1980</t>
  </si>
  <si>
    <t xml:space="preserve"> Grace Of  God Ministry,  Melapudhur,     Sattur (T.K), Virudhunagar [Dt]- 
Puthusurangudi [Po]-626203,
Tamilnadu. 
</t>
  </si>
  <si>
    <t>Grace Of God Ministry</t>
  </si>
  <si>
    <t>TN0095</t>
  </si>
  <si>
    <t>Rev.M.Rathakrishnan</t>
  </si>
  <si>
    <t>Rev. Muthukrishnan</t>
  </si>
  <si>
    <t>10.04.1972</t>
  </si>
  <si>
    <t>giftson333@gmail.com</t>
  </si>
  <si>
    <t xml:space="preserve">11 Cumbam Mainroad,
Muthuthevanpatti
Theni [Dt] ,Veerapandi post-625531
Tamilnadu.
</t>
  </si>
  <si>
    <t>Village Revival Ministries</t>
  </si>
  <si>
    <t>TN0096</t>
  </si>
  <si>
    <t>Rev. S. Muthukrishnan@ John Wesley</t>
  </si>
  <si>
    <t>07.05.1980</t>
  </si>
  <si>
    <t xml:space="preserve">13-5-34, Mahadma Gandhi Street,
Palanichettipatti, 
Theni [Dt] - 625531, Tamilnadu
</t>
  </si>
  <si>
    <t>ICII Blessing Prayer House</t>
  </si>
  <si>
    <t>In active     Not Available</t>
  </si>
  <si>
    <t>TN0097</t>
  </si>
  <si>
    <t xml:space="preserve"> S. Sundaram@ John Devasundaram </t>
  </si>
  <si>
    <t>27.07.1961</t>
  </si>
  <si>
    <t>ssundaram99@gmail.com</t>
  </si>
  <si>
    <t xml:space="preserve">M3/79, Mullainagar Housing Board,
Aramanaipudhur Post, 
Theni District-625531,
Tamilnadu.
</t>
  </si>
  <si>
    <t>Evangelical Church</t>
  </si>
  <si>
    <t>TN0098</t>
  </si>
  <si>
    <t>Rev. P. Selvaraj</t>
  </si>
  <si>
    <t>12.07.1951</t>
  </si>
  <si>
    <t xml:space="preserve">24b/4, Northstreet,  
Kamatchipuram,
Theni District-625520,  
Tamilnadu, 
</t>
  </si>
  <si>
    <t>TN0099</t>
  </si>
  <si>
    <t>Rev. T. Sebastian</t>
  </si>
  <si>
    <t>Rev. John Sesaron</t>
  </si>
  <si>
    <t>15.12.1967</t>
  </si>
  <si>
    <t>tsebastinjoy@gmail.com</t>
  </si>
  <si>
    <t xml:space="preserve">12, Kurunji Street,
Kamaraj Nagar, Gorimedu, 
Pondicherry – 605006
</t>
  </si>
  <si>
    <t>Prince Of Peace Church</t>
  </si>
  <si>
    <t>Pudhuchery</t>
  </si>
  <si>
    <t>19.06.2016</t>
  </si>
  <si>
    <t>01.11.2019</t>
  </si>
  <si>
    <t>TN0101</t>
  </si>
  <si>
    <t>Rev. B. Ezekiel</t>
  </si>
  <si>
    <t>31.07.1976</t>
  </si>
  <si>
    <t xml:space="preserve">L.312, Tnhb Nethajipuram,
Neelikonampalayam [Po],
Coimbator - 641033,
Tamilnadu.
</t>
  </si>
  <si>
    <t>Jeeva Varthai Prayer House</t>
  </si>
  <si>
    <t>06.09.2016</t>
  </si>
  <si>
    <t>17.08.2017</t>
  </si>
  <si>
    <t>TN0102</t>
  </si>
  <si>
    <t>Rev. M.Chinnathambi Yesudos</t>
  </si>
  <si>
    <t>Rev. A. Mohan Raj</t>
  </si>
  <si>
    <t>25.12.1964</t>
  </si>
  <si>
    <t xml:space="preserve">
251, Sureyanalli [Po],
Idukki [Dt], Munnar, 
Kerala - 685618,
</t>
  </si>
  <si>
    <t>Faith Prayer Fellowship Church</t>
  </si>
  <si>
    <t>Idukki South</t>
  </si>
  <si>
    <t>TN0103</t>
  </si>
  <si>
    <t>Rev. R. Manikandan @ David</t>
  </si>
  <si>
    <t>01.06.1983</t>
  </si>
  <si>
    <t>davidmanikandan@gmail.com</t>
  </si>
  <si>
    <t xml:space="preserve">H. No-10-4-16, 
Karrupusamy Kovil Street,
M.C. Puram [Po], B Dharmathupatty,
Bodinayakannur,  Theni [Dt] - 625582, Tamilnadu, 
</t>
  </si>
  <si>
    <t>Devasabai Prayer House</t>
  </si>
  <si>
    <t>TN0104</t>
  </si>
  <si>
    <t>Rev.P. Pattanimuthu@ PPM. David</t>
  </si>
  <si>
    <t>26.04.1963</t>
  </si>
  <si>
    <t>prppmdavid@gmail.com</t>
  </si>
  <si>
    <t xml:space="preserve">Shalom Illam, I Ward,  
Ptr Nagar, Satur (Po),
Peraiyur Taluk,   
Madurai [Dt] - 625705,
Tamilnadu. 
</t>
  </si>
  <si>
    <t>Jesus's Word Ministry Prayer House</t>
  </si>
  <si>
    <t>TN0105</t>
  </si>
  <si>
    <t>Rev. S. David Kumaresan</t>
  </si>
  <si>
    <t>23.04.1955</t>
  </si>
  <si>
    <t xml:space="preserve">361/5, Kalani, Mullai Nagar,
Aramanai Pudhur, 
Theni [Dt] - 625531,
Tamilnadu.
</t>
  </si>
  <si>
    <t>Church Of Glory</t>
  </si>
  <si>
    <t>TN0106</t>
  </si>
  <si>
    <t>Rev. Robert Kennedy</t>
  </si>
  <si>
    <t>18.05.1962</t>
  </si>
  <si>
    <t>robertkennedy277@gmail.com</t>
  </si>
  <si>
    <t xml:space="preserve">130, 1st B- Main Road, 8th Cross,
Jesus Blessing Church,
Preethi Nagar, Laggere, 
Bangalore – 560058, Karnataka.
</t>
  </si>
  <si>
    <t>Jesus Blessing Church</t>
  </si>
  <si>
    <t>Bangalore</t>
  </si>
  <si>
    <t>Karnataka</t>
  </si>
  <si>
    <t>TN0107</t>
  </si>
  <si>
    <t>Rev. S. Daniel</t>
  </si>
  <si>
    <t>Rev. Ranjith Kumar</t>
  </si>
  <si>
    <t>10.04.1975</t>
  </si>
  <si>
    <t>jmic.daniels@gmail.com</t>
  </si>
  <si>
    <t xml:space="preserve">Grace Cottage 
Settilmet Colony,Munnar,
 Idukki - 685612, Kerala State.
</t>
  </si>
  <si>
    <t>Grace Living Church</t>
  </si>
  <si>
    <t>TN0108</t>
  </si>
  <si>
    <t>Rev. A. S. Arogyaswami @ James</t>
  </si>
  <si>
    <t>17.04.1955</t>
  </si>
  <si>
    <t xml:space="preserve">482-9/269, Puthanveettil,
7-Annakara, Vandanmedu Panchayat,Udumbanchola, Kerala
</t>
  </si>
  <si>
    <t>Christian Evangelical Fellowship</t>
  </si>
  <si>
    <t>Udumbanchola</t>
  </si>
  <si>
    <t>13.06.2017</t>
  </si>
  <si>
    <t>17/02/2021</t>
  </si>
  <si>
    <t>TN0109</t>
  </si>
  <si>
    <t>Rev. S. Pitchaimani@ Charles</t>
  </si>
  <si>
    <t>28.01.1962</t>
  </si>
  <si>
    <t xml:space="preserve">South Jeganathapuram,
8-4-19, Oht Street,  
P.C.Patti, Theni [Dt] - 625531,
Tamilnadu. 
</t>
  </si>
  <si>
    <t>TN0110</t>
  </si>
  <si>
    <t>Rev. G. Paulraj @ Paul</t>
  </si>
  <si>
    <t>22.07.1984</t>
  </si>
  <si>
    <t>dpaulraj82@gmail.com</t>
  </si>
  <si>
    <t xml:space="preserve">
9/N, Pudhupatti,  
Nilakottai [Tk], Dindigul - 624208,
Tamilnadu. 
</t>
  </si>
  <si>
    <t xml:space="preserve">Gypsy Ministry </t>
  </si>
  <si>
    <t>TN0111</t>
  </si>
  <si>
    <t>Rev. K. Johnson Sebastian</t>
  </si>
  <si>
    <t>15.12.1969</t>
  </si>
  <si>
    <t>ksjohnsonsebastian@gmail.com</t>
  </si>
  <si>
    <t xml:space="preserve">22W/32, Ponnapalam Street, 
Opp. Bustant, 
Bodinayakkanur,
Theni [Dt] - 625513, Tamilnadu.
</t>
  </si>
  <si>
    <t>Grace Mission Fellowship India</t>
  </si>
  <si>
    <t>TN0112</t>
  </si>
  <si>
    <t>Rev. M. Selvaraj</t>
  </si>
  <si>
    <t>Rev. V. David</t>
  </si>
  <si>
    <t>10.05.1965</t>
  </si>
  <si>
    <t>selvadmm2013@gmail.com</t>
  </si>
  <si>
    <t xml:space="preserve">2/41, West Street, Amathur Post,
Virudhunagar [Dt] - 626005,
Tamilnadu, 
</t>
  </si>
  <si>
    <t>Daniel Missionary Movement Church</t>
  </si>
  <si>
    <t>TN0113</t>
  </si>
  <si>
    <t>Rev. V. Jayaseelan @ Gurusamy</t>
  </si>
  <si>
    <t>04.01.1955</t>
  </si>
  <si>
    <t xml:space="preserve">M-4, 243, Tnhb Colony, 
Sector 6, Koodal Puthur, 
Madurai – 625017, Tamil Nadu.
</t>
  </si>
  <si>
    <t>TN0114</t>
  </si>
  <si>
    <t xml:space="preserve">Rev. S. Ganesan @ David </t>
  </si>
  <si>
    <t>04.06.1959</t>
  </si>
  <si>
    <t xml:space="preserve">Panniar Estate Post - 685613
Devikulam Via, 
Idukki District,
Kerala State. 
</t>
  </si>
  <si>
    <t>TN0115</t>
  </si>
  <si>
    <t>Rev. Swami Adimai Chinnapavu</t>
  </si>
  <si>
    <t>13.05.1964</t>
  </si>
  <si>
    <t xml:space="preserve">2/189 A, Siluvai Vilai Street, 
Yacobu Puram, 
 Radhapuram - 627114
Thirunelveli [Dt], 
</t>
  </si>
  <si>
    <t>Yesuvin Thottam</t>
  </si>
  <si>
    <t>TN0116</t>
  </si>
  <si>
    <t>Rev. R. Stanley Joansraj</t>
  </si>
  <si>
    <t>Rev. M. John Arulraj</t>
  </si>
  <si>
    <t>01.12.1967</t>
  </si>
  <si>
    <t xml:space="preserve">483/A, Sadai Pitachai Street Iv,
Vandavasi [Tk] - 604408,
Thiruvannamalai [Dt], 
Tamilnadu.
</t>
  </si>
  <si>
    <t>Assembly Of God</t>
  </si>
  <si>
    <t>12.03.2015</t>
  </si>
  <si>
    <t>29.06.2016</t>
  </si>
  <si>
    <t>18.06.2019</t>
  </si>
  <si>
    <t>TN0117</t>
  </si>
  <si>
    <t>Rev. K. Jacob</t>
  </si>
  <si>
    <t>15.02.1964</t>
  </si>
  <si>
    <t xml:space="preserve">Amman Koil Street,  
Ottakoil Villagge,Salavedu Village,
Vandavasi [Tk],Thiruvannamalai [Dt],
Tamilnadu. 
</t>
  </si>
  <si>
    <t>Crystal River Truth Church</t>
  </si>
  <si>
    <t>TN0119</t>
  </si>
  <si>
    <t>Rev. K. R. Samuel</t>
  </si>
  <si>
    <t>Rev. A. Pounraj</t>
  </si>
  <si>
    <t>12.06.1976</t>
  </si>
  <si>
    <t xml:space="preserve">5/508, Indhra Street, 
Kottai Village [Po],Vandavasi [Tk], 
Thiruvannamalai [Dt] - 604403,
Tamilnadu. 
</t>
  </si>
  <si>
    <t>Faith Apostolic Church</t>
  </si>
  <si>
    <t>TN0120</t>
  </si>
  <si>
    <t>Rev. J. Simon Peter</t>
  </si>
  <si>
    <t>18.10.1975</t>
  </si>
  <si>
    <t xml:space="preserve">338, Subash Chandra Bose Nagar,
Kaviarasan Street, Ammayapattu, Vandhavasi  Thiruvannamalai Dt. - 604408, Tamilnadu. 
</t>
  </si>
  <si>
    <t>Apostolic Christian Assembly</t>
  </si>
  <si>
    <t>TN0121</t>
  </si>
  <si>
    <t>Rev.M.John Arul Raj</t>
  </si>
  <si>
    <t>04.06.1958</t>
  </si>
  <si>
    <t xml:space="preserve">58th KVT Nagar,Vanthavasi-604408
TV Malai[Dt]
</t>
  </si>
  <si>
    <t>TN0122</t>
  </si>
  <si>
    <t>Rev. M. Issaiah</t>
  </si>
  <si>
    <t>12.04.1966</t>
  </si>
  <si>
    <t xml:space="preserve">Adiyankuppam Village, 
Adiyanoor Post,
Vandavasi Taluk-604403, 
Thiruvannamalai [Dt], Tamilnadu.
</t>
  </si>
  <si>
    <t>Mispah Prayer House</t>
  </si>
  <si>
    <t>12.03.2018</t>
  </si>
  <si>
    <t>TN0123</t>
  </si>
  <si>
    <t>Rev. K. Lakshmanan @ Nehemiah</t>
  </si>
  <si>
    <t>12.06.1974</t>
  </si>
  <si>
    <t xml:space="preserve">No. 509, Reddiyar Street,
Kottai Village [Po],Vandavasi [Tk ]
Thiruvannamalai Dt, - 604403,
Tamilnadu
</t>
  </si>
  <si>
    <t>TN0124</t>
  </si>
  <si>
    <t>Rev. Jin Kumar</t>
  </si>
  <si>
    <t>15.05.1974</t>
  </si>
  <si>
    <t>jmcjin@gmail.com</t>
  </si>
  <si>
    <t xml:space="preserve">No.1, Leo Cottage,  
Indira Nagar Extn,
Gorimedu, Pondicherry. 
</t>
  </si>
  <si>
    <t>Living Church</t>
  </si>
  <si>
    <t>TN0125</t>
  </si>
  <si>
    <t>Rev. G. P. Arockiaswamy</t>
  </si>
  <si>
    <t>Rev. Rajasekar</t>
  </si>
  <si>
    <t>16.09.1954</t>
  </si>
  <si>
    <t xml:space="preserve">1/13-C, Main Road,
Karanimandapam, R. N. Kandigai ,
Uthiramerur - 603403, 
Kanchipuram [Dt], Tamilnadu.
</t>
  </si>
  <si>
    <t>Kanchipuram</t>
  </si>
  <si>
    <t>TN0126</t>
  </si>
  <si>
    <t>Rev. S. Govindasamy @ Peter</t>
  </si>
  <si>
    <t>10.05.1977</t>
  </si>
  <si>
    <t>spgopi@gmail.com</t>
  </si>
  <si>
    <t xml:space="preserve">450/524, Mariyamman Koil Street,
Molasur [Po] - 604102,
Thindivanam [Tk], Villupuram [Dt],
Tamilnadu. 
</t>
  </si>
  <si>
    <t>Shalom Prayer House</t>
  </si>
  <si>
    <t>TN0127</t>
  </si>
  <si>
    <t>Rev. M. Yesuraj</t>
  </si>
  <si>
    <t>10.06.1965</t>
  </si>
  <si>
    <t xml:space="preserve">Omandoor, Christian Church Street,
Omandor [Po] - 604102,
Thindivanam, Villupuram [Dt], 
Tamilnadu. 
</t>
  </si>
  <si>
    <t>Indian Missionary Church</t>
  </si>
  <si>
    <t>TN0128</t>
  </si>
  <si>
    <t xml:space="preserve">Rev. P. Ranjith Kumar @ 
Samuel  Prabakaran
</t>
  </si>
  <si>
    <t>03.05.1982</t>
  </si>
  <si>
    <t>ranjith3981@gmail.com</t>
  </si>
  <si>
    <t xml:space="preserve">No. 1, Thanam Nagar,
Madurantakam [Tk], 
Cuddalore [Dt] - 607002,
Tamilnadu. 
</t>
  </si>
  <si>
    <t>Cuddalore</t>
  </si>
  <si>
    <t>TN0129</t>
  </si>
  <si>
    <t>Rev. D. Simson</t>
  </si>
  <si>
    <t>05.05.1953</t>
  </si>
  <si>
    <t xml:space="preserve">Plot No.6, Senbaga Street, 
Ganapathi Nagar, 
Puthu Vilangudi, Madurai – 625018. 
Tamil Nadu. 
</t>
  </si>
  <si>
    <t>Halleluah Prayer House</t>
  </si>
  <si>
    <t>TN0131</t>
  </si>
  <si>
    <t>Rev. Edwinraj D.</t>
  </si>
  <si>
    <t>Rev. Sesan George</t>
  </si>
  <si>
    <t>30.05.1984</t>
  </si>
  <si>
    <t>predwinsara@gmail.com</t>
  </si>
  <si>
    <t xml:space="preserve">
No.15/170, Bagavathi Nagar, Velliyanai South, 
Karur – 639118,Tamil Nadu. 
</t>
  </si>
  <si>
    <t>Elm Immanuel Church</t>
  </si>
  <si>
    <t>11.06.2014 O3</t>
  </si>
  <si>
    <t>TN0132</t>
  </si>
  <si>
    <t>Rev. M. Yesudas</t>
  </si>
  <si>
    <t>Rev. John Peter</t>
  </si>
  <si>
    <t>12.07.1987</t>
  </si>
  <si>
    <t xml:space="preserve">
No.1(Dvn), Moongilaarestate (Po),
Vandiperiyaar – 685533,
Idukki [Dt], Kerala.  
</t>
  </si>
  <si>
    <t>Kalvary Mission Church</t>
  </si>
  <si>
    <t>TN0133</t>
  </si>
  <si>
    <t>Rev. K. Ezekiel  Pushparaj</t>
  </si>
  <si>
    <t>Rev. Michael</t>
  </si>
  <si>
    <t>26.05.1978</t>
  </si>
  <si>
    <t xml:space="preserve">
18  3 New Street, Periyacholavalli,
Nellikuppam,  Cuddalore -607105,
Tamil Nadu.     
</t>
  </si>
  <si>
    <t>Rehoboth Ministries</t>
  </si>
  <si>
    <t>TN0135</t>
  </si>
  <si>
    <t>Rev. D. John Abraham</t>
  </si>
  <si>
    <t>Rev. D. K. Deva Athisayam</t>
  </si>
  <si>
    <t>15.05.1971</t>
  </si>
  <si>
    <t xml:space="preserve">
17/1 Indra Nagar, Pathai [Po]- 627501, 
Kalakkadu [Via],Nanguneri [Tk], 
Nellai [Dt], Tamil Nadu.
</t>
  </si>
  <si>
    <t>Karunya Penticostal Church</t>
  </si>
  <si>
    <t>19.01.2017</t>
  </si>
  <si>
    <t>17.04.2018</t>
  </si>
  <si>
    <t>TN0136</t>
  </si>
  <si>
    <t>Rev. C. Benjamin</t>
  </si>
  <si>
    <t>zpchurchofgod@gmail.com</t>
  </si>
  <si>
    <t xml:space="preserve">
4/480 South Street , Melarosemiyapuram, Panakudi [Po] – 677109, Rathapuram [Tk], 
Nellai [Dt], Tamil Nadu. </t>
  </si>
  <si>
    <t>Zion Pentecostal Church Of God</t>
  </si>
  <si>
    <t>28.06.2016</t>
  </si>
  <si>
    <t>04.07.2017</t>
  </si>
  <si>
    <t>04.09.2018</t>
  </si>
  <si>
    <t>TN0137</t>
  </si>
  <si>
    <t>Rev. A. Samuel</t>
  </si>
  <si>
    <t>14.01.1952</t>
  </si>
  <si>
    <t>samuelbcchurch@gmail.com</t>
  </si>
  <si>
    <t xml:space="preserve">
34 , Azathpuram Street ,Melapathai, 
Pathai [Po] - 627501,Kallakkadu,
Nangunari [Tk], Nellai [Dt], Tamil Nadu.
</t>
  </si>
  <si>
    <t xml:space="preserve">Bethesda Christ Church </t>
  </si>
  <si>
    <t>TN0138</t>
  </si>
  <si>
    <t>Rev. G. Christopher @ Ganesan</t>
  </si>
  <si>
    <t>Rev. Rajan</t>
  </si>
  <si>
    <t>17.04.1969</t>
  </si>
  <si>
    <t xml:space="preserve">
272 , Dymock [Po] – 685533,
Vandiperiyar,Idukki [Dt], 
Kerala State.
</t>
  </si>
  <si>
    <t>Kalvari Mission Church</t>
  </si>
  <si>
    <t>TN0139</t>
  </si>
  <si>
    <t>Rev. A. Gunasekaran</t>
  </si>
  <si>
    <t>07.06.1963</t>
  </si>
  <si>
    <t>zionengineers@gmail.com</t>
  </si>
  <si>
    <t xml:space="preserve">
470, 4th Main, 5th Cross Kamala Nagar,   Bangaluru – 560079 
Karnataka State.
</t>
  </si>
  <si>
    <t>Jehovah Shalom Ministries</t>
  </si>
  <si>
    <t>TN0140</t>
  </si>
  <si>
    <t>Rev. C.Thambi Durai</t>
  </si>
  <si>
    <t>Rev. David Patchaimuthu</t>
  </si>
  <si>
    <t>10.10.1973</t>
  </si>
  <si>
    <t xml:space="preserve">Gospel Pentecost Mission   
Tharumathu Patty,
Veriveedu [Po],
Dindigul [Dt], Tamil Nadu.
</t>
  </si>
  <si>
    <t xml:space="preserve">Gospel Pentecost Mission   </t>
  </si>
  <si>
    <t xml:space="preserve">TN0141
</t>
  </si>
  <si>
    <t>Rev. S.V. Solomon</t>
  </si>
  <si>
    <t>Rev Sebastian</t>
  </si>
  <si>
    <t>31.05.1973</t>
  </si>
  <si>
    <t xml:space="preserve">
Plod No.73, Mangai Ellam, Meenatchi Nagar,  
Thirubhuvani [Po] – 605107,
Puducherry. 
</t>
  </si>
  <si>
    <t>Beroea Church</t>
  </si>
  <si>
    <t>TN0142</t>
  </si>
  <si>
    <t>Rev. R.Arokiadass</t>
  </si>
  <si>
    <t>09.04.1960</t>
  </si>
  <si>
    <t xml:space="preserve">
19, Francois Thottam 
Vannarampet ,
Puducherry – 605001, 
</t>
  </si>
  <si>
    <t>Kadaisikaala Sion Sabai</t>
  </si>
  <si>
    <t>TN0143</t>
  </si>
  <si>
    <t>Rev. S. Arunachalam</t>
  </si>
  <si>
    <t>03.03.1967</t>
  </si>
  <si>
    <t xml:space="preserve">
73/1 ‘ Sethurayapuram,
Chithambarapuram [Po] – 627501, Kallakkadu, Nanguneri [Tk], Nellai [Dt],    Tamil Nadu.
</t>
  </si>
  <si>
    <t xml:space="preserve">New Vision Church </t>
  </si>
  <si>
    <t>TN0144</t>
  </si>
  <si>
    <t>Rev. D. Soundararajan</t>
  </si>
  <si>
    <t>Rev. M. Samson</t>
  </si>
  <si>
    <t>18.06.1956</t>
  </si>
  <si>
    <t xml:space="preserve">
22, Convent Street, 
Puducherry – 605 005
</t>
  </si>
  <si>
    <t>Living God Jesus Prayer House</t>
  </si>
  <si>
    <t>16.09.2016</t>
  </si>
  <si>
    <t>TN0145</t>
  </si>
  <si>
    <t>Rev. Martinraj. S</t>
  </si>
  <si>
    <t>15.06.1984</t>
  </si>
  <si>
    <t xml:space="preserve">
4, First Street, Parris Nagar,  Moolakkulam, 
Puducherry - 605010
</t>
  </si>
  <si>
    <t>Light For The World Church</t>
  </si>
  <si>
    <t>TN0146</t>
  </si>
  <si>
    <t xml:space="preserve">Rev. J.A.D. Samuel </t>
  </si>
  <si>
    <t>30.11.1970</t>
  </si>
  <si>
    <t>jadsamuel@gmail.com</t>
  </si>
  <si>
    <t xml:space="preserve">
46,Mariamman Sannathi Street,
Thenkarai, Periyakulam – 625601 
Theni [Dt], Tamil Nadu.
</t>
  </si>
  <si>
    <t>Petra Service Mission</t>
  </si>
  <si>
    <t>TN0147</t>
  </si>
  <si>
    <t>Rev.K.Rajamani</t>
  </si>
  <si>
    <t>Rev. R. David Pachamuthu</t>
  </si>
  <si>
    <t>11.11.1958</t>
  </si>
  <si>
    <t xml:space="preserve">5/6,Vivekananda Street,
Dhanakodi Nagar Extn, Dharmapuri
Puthucherry-605009
</t>
  </si>
  <si>
    <t>Kirubai Nathar Yesuvin Jeba Veedu</t>
  </si>
  <si>
    <t>TN0148</t>
  </si>
  <si>
    <t>Rev. M.Vijayakumar</t>
  </si>
  <si>
    <t>09.06.1982</t>
  </si>
  <si>
    <t>josephvijayakumar82@yahoo.com</t>
  </si>
  <si>
    <t xml:space="preserve">Global Evangelical Zion Church
Grace Cottage, 
 52b/1 East Maruthani Kulam, 
Dindigul – 624001, Tamil Nadu.
</t>
  </si>
  <si>
    <t>Global Evangelical Zion Church</t>
  </si>
  <si>
    <t>TN0149</t>
  </si>
  <si>
    <t>Rev. Roach Alexander</t>
  </si>
  <si>
    <t>10.04.1976</t>
  </si>
  <si>
    <t xml:space="preserve">
2- 213a ,Chettiapatty, 
Mullippadi [Po] – 624005,
Dindigul [Dt], Tamil Nadu.     
</t>
  </si>
  <si>
    <t>Apostolic Doctrine Ministries</t>
  </si>
  <si>
    <t>TN0151</t>
  </si>
  <si>
    <t>Rev. C. Jegan</t>
  </si>
  <si>
    <t>26.05.1980</t>
  </si>
  <si>
    <t>revjeganc@gmail.com</t>
  </si>
  <si>
    <t xml:space="preserve">
6-186-5/Na , Registrar Office Street,
Athoor, Dindigul- 624701
</t>
  </si>
  <si>
    <t>Assembly Of God Church</t>
  </si>
  <si>
    <t>TN0152</t>
  </si>
  <si>
    <t xml:space="preserve">Rev. Paul Asirvadham </t>
  </si>
  <si>
    <t>10.02.1964</t>
  </si>
  <si>
    <t xml:space="preserve">
461, Stalin Nagar, 
Mambalapet Road, 
Villuppuram – 605602, 
Tamilnadu. 
</t>
  </si>
  <si>
    <t>Kalvari Samathana Sabai</t>
  </si>
  <si>
    <t>TN0153</t>
  </si>
  <si>
    <t>Rev. Baudin Antoine</t>
  </si>
  <si>
    <t>11.04.1968</t>
  </si>
  <si>
    <t>baudinanto@yahoo.co.in</t>
  </si>
  <si>
    <t xml:space="preserve">
19, Saint Lawrance Bazaar Street, 
Puducherry – 605001
</t>
  </si>
  <si>
    <t>Apostolic Good News Church</t>
  </si>
  <si>
    <t>TN0154</t>
  </si>
  <si>
    <t>Rev. Cecil Radj</t>
  </si>
  <si>
    <t>Rev. T. Sabastian</t>
  </si>
  <si>
    <t>22.11.1974</t>
  </si>
  <si>
    <t xml:space="preserve">
82, 2nd Floor , Progress Apts, 
Pappammal Koil Street, 
Vaithikuppam – 605001, Pondicherry. 
</t>
  </si>
  <si>
    <t>Nazareth Jesus Apostolic Church</t>
  </si>
  <si>
    <t>TN0155</t>
  </si>
  <si>
    <t>Rev. A .Paul Timothy @ Kalaiselvan</t>
  </si>
  <si>
    <t>Rev. G. Deva Anbu</t>
  </si>
  <si>
    <t>11.06.1981</t>
  </si>
  <si>
    <t>pr.paultimothy@gmail.com</t>
  </si>
  <si>
    <t xml:space="preserve">
1/166 Selliamman Kovil Street,
Veeranam [Po] – 605106, Nettappakkam [Via], 
Villuppuram [Dt], Tamilnadu.
</t>
  </si>
  <si>
    <t>Philadephia Revival Church</t>
  </si>
  <si>
    <t>TN0156</t>
  </si>
  <si>
    <t>Rev. K. Siva Kumar</t>
  </si>
  <si>
    <t>29.06.1971</t>
  </si>
  <si>
    <t>firepentecostal@gmail.com</t>
  </si>
  <si>
    <t xml:space="preserve">
501. 3rd Street , Nethaji Nagar, Pondi Road, 
Dindivanam – 604001, 
Tamilnadu.
</t>
  </si>
  <si>
    <t>Fire Pentecostal Church</t>
  </si>
  <si>
    <t>Tindivanam</t>
  </si>
  <si>
    <t>TN0157</t>
  </si>
  <si>
    <t xml:space="preserve">Rev. P. Kulandai Yesunathan </t>
  </si>
  <si>
    <t>23.12.1952</t>
  </si>
  <si>
    <t xml:space="preserve">
4/64 Tank Street ,
Ariyaloor Thirukkai’ Kedar [Via], 
Villuppuram [Dt] – 605402, Tamilnadu.
</t>
  </si>
  <si>
    <t>Trinity Jeba Veedu</t>
  </si>
  <si>
    <t>TN0158</t>
  </si>
  <si>
    <t>Rev. P.Barnabas @ Parthiban</t>
  </si>
  <si>
    <t>Rev. S. V. Solomon</t>
  </si>
  <si>
    <t>10.04.1983</t>
  </si>
  <si>
    <t>calvaryblessing@gmail.com</t>
  </si>
  <si>
    <t xml:space="preserve">
453 Church Street, Periyababu Samuthram [Po] – 605102,    
Villuppuram [Dt], Tamilnadu.
</t>
  </si>
  <si>
    <t>Kalvari Blessing Prayer House</t>
  </si>
  <si>
    <t>TN0159</t>
  </si>
  <si>
    <t xml:space="preserve">Rev. K.Sebastian </t>
  </si>
  <si>
    <t>12.06.1955</t>
  </si>
  <si>
    <t>jbaministries2010@gmail.com</t>
  </si>
  <si>
    <t xml:space="preserve">Jesus Blessing Apostolic Church 
Pondi Main Road ,Kondur, 
Pakkam Koot Road , 
Villuppuram – 605106, Tamilnadu.    </t>
  </si>
  <si>
    <t xml:space="preserve">Jesus Blessing Apostolic Church </t>
  </si>
  <si>
    <t>TN0160</t>
  </si>
  <si>
    <t>Rev. A. Vinod Kumar</t>
  </si>
  <si>
    <t>30.09.1982</t>
  </si>
  <si>
    <t>vinopenial@gmail.com</t>
  </si>
  <si>
    <t xml:space="preserve">
14/4 Abbigere Main Road,
K.G. Halli Jalahalli West,
Bangaluru – 560015
</t>
  </si>
  <si>
    <t>St Thomas World Penial Church</t>
  </si>
  <si>
    <t>TN0161</t>
  </si>
  <si>
    <t xml:space="preserve">Rev. C. Suresh Peter 
@ Sivasubramanian
</t>
  </si>
  <si>
    <t>29.04.1981</t>
  </si>
  <si>
    <t>sureshpeter1981@gmail.com</t>
  </si>
  <si>
    <t xml:space="preserve">
25/3a William Layout, 2nd Street, 
KK Road, Villuppuram - 605602,
Tamilnadu.    
</t>
  </si>
  <si>
    <t>India Berean Fellowship Church</t>
  </si>
  <si>
    <t>TN0162</t>
  </si>
  <si>
    <t>Rev. S. Brite</t>
  </si>
  <si>
    <t>18.08.1986</t>
  </si>
  <si>
    <t>brightmon18@gmail.com</t>
  </si>
  <si>
    <t xml:space="preserve">Jesus Blessing Apostolic Church
Blessing Street,Pondicherry Main Road, Kondur, Pakkam Koot Road, 
Villuppuram 605106, Tamilnadu.    
</t>
  </si>
  <si>
    <t>Jesus Blessing Apostolic Church</t>
  </si>
  <si>
    <t>TN0163</t>
  </si>
  <si>
    <t>Rev. R. Elumalai @ Daniel</t>
  </si>
  <si>
    <t>Rev. K. Rajamani</t>
  </si>
  <si>
    <t>24.10.1978</t>
  </si>
  <si>
    <t xml:space="preserve">Dhevanudaiya  Vaarthai  Jebaveedu
Maruchittkulam ,Murungapakkam,
Dindivanam (Tk), Villupuram (Dt) – 604001,
 Tamilnadu.    
</t>
  </si>
  <si>
    <t>Dhevanudaiya  Vaarthai  Jebaveedu</t>
  </si>
  <si>
    <t>TN0164</t>
  </si>
  <si>
    <t>Rev. Joshua Chandrasekaran</t>
  </si>
  <si>
    <t>29.06.1951</t>
  </si>
  <si>
    <t xml:space="preserve">
8,4th Cross Smv Puram West, 
Villianur,Pondicherry  - 605110 
</t>
  </si>
  <si>
    <t>Halleluajah Prayer House</t>
  </si>
  <si>
    <t>TN0165</t>
  </si>
  <si>
    <t>Rev. S.Yesumuthu</t>
  </si>
  <si>
    <t>Rev. simson</t>
  </si>
  <si>
    <t>15.05.1962</t>
  </si>
  <si>
    <t xml:space="preserve">
14-1 , Ramalingam Nagar, 
Kovilpalayam, Coimbatore- 641107,
Tamilnadu.     
</t>
  </si>
  <si>
    <t>India Peace Fellowship</t>
  </si>
  <si>
    <t>05.07.2016</t>
  </si>
  <si>
    <t>25.07.2017</t>
  </si>
  <si>
    <t>26.06.2018</t>
  </si>
  <si>
    <t>21.05.2019</t>
  </si>
  <si>
    <t>TN0166</t>
  </si>
  <si>
    <t>Rev. C.Daniel Kesavan</t>
  </si>
  <si>
    <t>01.05.1960</t>
  </si>
  <si>
    <t xml:space="preserve">
Dhadukannoor, Naikanur [Po] - 635652
Thiruppathur [Tk], 
Vellore [Dt], Tamilnadu.    
</t>
  </si>
  <si>
    <t>Vedamae Velitcham Church</t>
  </si>
  <si>
    <t>Vellore</t>
  </si>
  <si>
    <t>28.07.2016</t>
  </si>
  <si>
    <t>25.07.2018</t>
  </si>
  <si>
    <t>08.03.2023</t>
  </si>
  <si>
    <t>TN0168</t>
  </si>
  <si>
    <t>Rev. C.Moses @Vediyappan</t>
  </si>
  <si>
    <t>11.03.1984</t>
  </si>
  <si>
    <t xml:space="preserve">
4-Ba-12,Govundappur Village,
Vallippatty - 635306. Pochapalli (Tk), 
Krishnagiri [Dt], Tamilnadu.     
</t>
  </si>
  <si>
    <t>Krishnagiri</t>
  </si>
  <si>
    <t>23.06.2015</t>
  </si>
  <si>
    <t>TN0169</t>
  </si>
  <si>
    <t>Rev. S. Johnson</t>
  </si>
  <si>
    <t>01.03.1955</t>
  </si>
  <si>
    <t xml:space="preserve">
25, Madurasavadi, Gudithangi Main Road,
Nellikuppam – 601105, 
Cuddalore (Dt), Tamilnadu.     
</t>
  </si>
  <si>
    <t>Blessing Ag Church</t>
  </si>
  <si>
    <t>TN0170</t>
  </si>
  <si>
    <t>Rev. V. Boopathi @ John David</t>
  </si>
  <si>
    <t>09.05.1975</t>
  </si>
  <si>
    <t xml:space="preserve">Berean Fellowship Church
Manali Estate, 2nd Cross , Pudhupalaiyam, 
Cuddalore – 607001
</t>
  </si>
  <si>
    <t>Berean Fellowship Church</t>
  </si>
  <si>
    <t>TN0172</t>
  </si>
  <si>
    <t>Rev. Paul Yabase</t>
  </si>
  <si>
    <t>04.05.1975</t>
  </si>
  <si>
    <t>yabase@hotmail.co.uk</t>
  </si>
  <si>
    <t xml:space="preserve">
Plot – E , Ambal Nagar
1st Main Road, Koundan Palayam,
Puducherry – 605 009,
</t>
  </si>
  <si>
    <t>Living River Harvest Church</t>
  </si>
  <si>
    <t>TN0173</t>
  </si>
  <si>
    <t>Rev. Samuel Ari Krishnan</t>
  </si>
  <si>
    <t>10.11.1955</t>
  </si>
  <si>
    <t xml:space="preserve">
09, 2nd Cross , Thane Nagar, 
Uruvaiyar, Villianoor, 
Puducherry – 605110
</t>
  </si>
  <si>
    <t>Jesus Christ Church</t>
  </si>
  <si>
    <t>TN0174</t>
  </si>
  <si>
    <t>Rev. John C. Chandrasekar</t>
  </si>
  <si>
    <t>29.05.1964</t>
  </si>
  <si>
    <t xml:space="preserve">
10, New Street 4th Cross Street, Periyacholavalli, 
Nellikuppam – 607105, 
Cuddalore (Dt), Tamilnadu.     
</t>
  </si>
  <si>
    <t>New Life Berean Church</t>
  </si>
  <si>
    <t>TN0175</t>
  </si>
  <si>
    <t>Rev. S. Stanly Rajan</t>
  </si>
  <si>
    <t>26.01.1979</t>
  </si>
  <si>
    <t xml:space="preserve">
293/160 V.O.C. Nagar ,3rd Street, 
Pp Chavadi, Madurai – 625016
</t>
  </si>
  <si>
    <t>Church Of Living God</t>
  </si>
  <si>
    <t>TN0176</t>
  </si>
  <si>
    <t>Rev. S. Udhayabalan JebaSeelan</t>
  </si>
  <si>
    <t>30.08.1981</t>
  </si>
  <si>
    <t>sujebaseelan@gmail.com</t>
  </si>
  <si>
    <t xml:space="preserve">
4-25, Mani Nagar, 
Udangudi Main road,
Pallakurichi [Po] 628703, 
Tuticorin [Dt], Tamilnadu.
</t>
  </si>
  <si>
    <t>Jebaseelan Elshadai Prayer House</t>
  </si>
  <si>
    <t>TN0177</t>
  </si>
  <si>
    <t>Rev. T.Helen Mary</t>
  </si>
  <si>
    <t>05.04.1972</t>
  </si>
  <si>
    <t>TN0179</t>
  </si>
  <si>
    <t>Rev. A.David</t>
  </si>
  <si>
    <t>20.03.1990</t>
  </si>
  <si>
    <t>david20311@gmail.com</t>
  </si>
  <si>
    <t xml:space="preserve">
No.1, 4th Cross Street, Pudu Nagar,
Thengaithittu, 
Puducherry – 605004  
</t>
  </si>
  <si>
    <t>Nalla Maippan Apostolic Faith Church</t>
  </si>
  <si>
    <t>TN0180</t>
  </si>
  <si>
    <t>Rev. A.Mani Maran @ Peter</t>
  </si>
  <si>
    <t>22.11.1963</t>
  </si>
  <si>
    <t xml:space="preserve">
08,Keezhakasakudy,  
Kottucherry (Po)- 609609, 
Karaikal (Tk), Puducherry.  
</t>
  </si>
  <si>
    <t>Church At Nadungadu</t>
  </si>
  <si>
    <t>TN0181</t>
  </si>
  <si>
    <t>Rev. P.Silas Christian</t>
  </si>
  <si>
    <t>20.05.1958</t>
  </si>
  <si>
    <t xml:space="preserve">
No.03, Spr Nagar, 
Madukarai (Po) – 605105,
Puducherry. 
</t>
  </si>
  <si>
    <t>Full Bible Prayer Fellowship</t>
  </si>
  <si>
    <t>TN0182</t>
  </si>
  <si>
    <t xml:space="preserve">Rev. R. Prince </t>
  </si>
  <si>
    <t>Rev. M. Vijaya Kumar</t>
  </si>
  <si>
    <t>26.07.1974</t>
  </si>
  <si>
    <t>revprinceprayer@gmail.com</t>
  </si>
  <si>
    <t xml:space="preserve">
122/65, Dr. Rathakarishnan  Street,
T. Surampatti, Erode [Dt], 
Tamilnadu. 
</t>
  </si>
  <si>
    <t>Hands Of Calvary Ministries</t>
  </si>
  <si>
    <t>Erode</t>
  </si>
  <si>
    <t>16.10.2014 O4</t>
  </si>
  <si>
    <t>TN0183</t>
  </si>
  <si>
    <t xml:space="preserve">Rev. A. Enoch @ Mahamuni </t>
  </si>
  <si>
    <t>Rev. C. J. Kirubakaran</t>
  </si>
  <si>
    <t>04.02.1950</t>
  </si>
  <si>
    <t xml:space="preserve">
52. B1, East Maruthanikulam,
Grace Cottage, Dindigul – 624001, 
Tamilnadu. 
</t>
  </si>
  <si>
    <t>St Mark Church</t>
  </si>
  <si>
    <t>TN0184</t>
  </si>
  <si>
    <t xml:space="preserve">Rev. G. Paulraj  </t>
  </si>
  <si>
    <t>03.12.1953</t>
  </si>
  <si>
    <t>contact@paulministries.org</t>
  </si>
  <si>
    <t xml:space="preserve">
47/A, Bethesda Cottage, 
Paschim  Orchard H.T.Line, Abbigere, Bangalore – 560090, Karnataka State. 
</t>
  </si>
  <si>
    <t>Bethesda Prayer Hall</t>
  </si>
  <si>
    <t>TN0185</t>
  </si>
  <si>
    <t xml:space="preserve">Rev. M. Chelliah  </t>
  </si>
  <si>
    <t>05.07.1973</t>
  </si>
  <si>
    <t xml:space="preserve">
118/1, North Street, North Nellaiappapuram,
A. Sathankulam - 627151, Maruthakulam , Nanguneri (Tk), Tirunelveli (Dt), Tamilnadu. 
</t>
  </si>
  <si>
    <t>Eternal Life Church Of God</t>
  </si>
  <si>
    <t>TN0186</t>
  </si>
  <si>
    <t xml:space="preserve">Rev. A. David Kesaven </t>
  </si>
  <si>
    <t>10.11.1978</t>
  </si>
  <si>
    <t xml:space="preserve">
No.2/14, T.V.M. Main Road,
Soorapattu, Villupuram – 605402, 
Tamilnadu. 
</t>
  </si>
  <si>
    <t>Full Gospel Prayer Fellowship</t>
  </si>
  <si>
    <t>TN0187</t>
  </si>
  <si>
    <t xml:space="preserve">Rev. F. Anthony Raj </t>
  </si>
  <si>
    <t xml:space="preserve">Vinnaha Thoothu
No.3/842, Venugopal Nagar 2ndstreet, North Kattur, 
Trichy – 620019, Tamilnadu. 
</t>
  </si>
  <si>
    <t>Trichy</t>
  </si>
  <si>
    <t>21.02.2017</t>
  </si>
  <si>
    <t>23.03.2018</t>
  </si>
  <si>
    <t>19.03.2019</t>
  </si>
  <si>
    <t>TN0188</t>
  </si>
  <si>
    <t>Rev. B. Enoch</t>
  </si>
  <si>
    <t>03.05.1972</t>
  </si>
  <si>
    <t>godsonbenoch@gmail.com</t>
  </si>
  <si>
    <t xml:space="preserve">
1-301h, Bharath Nagar, Poolangudi, Tiruchy – 620025, Tamilnadu.
</t>
  </si>
  <si>
    <t>The Lord’s Army Prophetical Ministries</t>
  </si>
  <si>
    <t>TN0189</t>
  </si>
  <si>
    <t>Rev. J.Vijaya Shanthi</t>
  </si>
  <si>
    <t>15.08.1987</t>
  </si>
  <si>
    <t xml:space="preserve">
No.5/212, Pari Nagar, North Kattur, Tiruchy – 620019, 
Tamilnadu.
</t>
  </si>
  <si>
    <t>Holy Miracle Prayer Assembly</t>
  </si>
  <si>
    <t>TN0190</t>
  </si>
  <si>
    <t>Rev. P.E.S. John</t>
  </si>
  <si>
    <t>30.04.1976</t>
  </si>
  <si>
    <t>TN0191</t>
  </si>
  <si>
    <t>Rev. S.Y.Sasi Lekha</t>
  </si>
  <si>
    <t>07.07.1961</t>
  </si>
  <si>
    <t xml:space="preserve">
No.3/842, Venugopal Nagar 2ndstreet, North Kattur, 
Trichy – 620019, Tamilnadu. 
</t>
  </si>
  <si>
    <t>Vinnaha Thoothu Prayer House</t>
  </si>
  <si>
    <t>20.03.2018</t>
  </si>
  <si>
    <t>TN0192</t>
  </si>
  <si>
    <t xml:space="preserve">Rev. A. Seemon </t>
  </si>
  <si>
    <t>Rev. J. A. D. Samuel</t>
  </si>
  <si>
    <t>16.04.1971</t>
  </si>
  <si>
    <t xml:space="preserve">
12/4, Thaneerthuarai Street,
Thenkarai, T.Kallipatti, 
Periyakulam – 625605, Tamilnadu. 
</t>
  </si>
  <si>
    <t>Faith Prayer Church</t>
  </si>
  <si>
    <t>TN0193</t>
  </si>
  <si>
    <t xml:space="preserve">Rev. A. Gnanasekar </t>
  </si>
  <si>
    <t xml:space="preserve"> Rev. S. Sambath Solomon</t>
  </si>
  <si>
    <t>10.05.1968</t>
  </si>
  <si>
    <t xml:space="preserve">
2ndward, Vinobaji Colony,
Melachokkanathapuram,
Bodinayakkanur - 625513,
</t>
  </si>
  <si>
    <t>Hossanna Prayer House</t>
  </si>
  <si>
    <t>TN0194</t>
  </si>
  <si>
    <t>Rev. B. Anthony Samy</t>
  </si>
  <si>
    <t>Rev. F. Anthony Raj</t>
  </si>
  <si>
    <t>03.02.1958</t>
  </si>
  <si>
    <t xml:space="preserve">
3/107, Ashok Nagar, elakumaresapuram, Koothappar (Po) – 620013, Trichy, Tamilnadu.
</t>
  </si>
  <si>
    <t>Word Of Holy Spirit Ministries &amp; Revival</t>
  </si>
  <si>
    <t>TN0195</t>
  </si>
  <si>
    <t>Rev. A.Gnanambal</t>
  </si>
  <si>
    <t>01.05.1959</t>
  </si>
  <si>
    <t xml:space="preserve">
3/107, Ashok Nagar, Melakumaresapuram,
Koothappar (Po) – 620013, 
Trichy, Tamilnadu.
</t>
  </si>
  <si>
    <t>TN0196</t>
  </si>
  <si>
    <t xml:space="preserve">Rev. P. Jeyakumar </t>
  </si>
  <si>
    <t>Rev. Y. Selvam</t>
  </si>
  <si>
    <t>18.09.1971</t>
  </si>
  <si>
    <t xml:space="preserve">P.V.I.Church
Dharmavelley Division, Arnakal Estate,
Vandiperiyar - 685533, Kerala.
</t>
  </si>
  <si>
    <t>P.V.I.Church</t>
  </si>
  <si>
    <t>20.02.2018</t>
  </si>
  <si>
    <t>TN0197</t>
  </si>
  <si>
    <t xml:space="preserve">Rev. J. Anandan </t>
  </si>
  <si>
    <t>26.12.1971</t>
  </si>
  <si>
    <t xml:space="preserve">
718, Dymock Estate – 2
Dymock Estate (Po) – 685533,
Vandiperiyar, Kerala.
</t>
  </si>
  <si>
    <t>Living Word Church</t>
  </si>
  <si>
    <t>TN0198</t>
  </si>
  <si>
    <t>Rev. A. Ruba</t>
  </si>
  <si>
    <t>06.05.1966</t>
  </si>
  <si>
    <t>TN0199</t>
  </si>
  <si>
    <t xml:space="preserve">Rev. G. John Periyanayagam </t>
  </si>
  <si>
    <t>13.10.1952</t>
  </si>
  <si>
    <t xml:space="preserve">
954, Mount Estate - 8
Mount Estate (Po) - 685533,
Vandiperiyar, Kerala.
</t>
  </si>
  <si>
    <t>Kalvari Church</t>
  </si>
  <si>
    <t>TN0200</t>
  </si>
  <si>
    <t xml:space="preserve">Rev. C.V. Joseph </t>
  </si>
  <si>
    <t>28.11.1955</t>
  </si>
  <si>
    <t>josephcherickalakathu@gmail.com</t>
  </si>
  <si>
    <t xml:space="preserve">
No.65a (7/197b), Cherickalakathu House,
Mundakayam, Kottayam (Dt), Kerala.
</t>
  </si>
  <si>
    <t>I.C.F. Praise And Worship Center</t>
  </si>
  <si>
    <t>Kottayam</t>
  </si>
  <si>
    <t>23/03/2021</t>
  </si>
  <si>
    <t>TN0202</t>
  </si>
  <si>
    <t>Rev.A .Stephen</t>
  </si>
  <si>
    <t>Rev. Robin</t>
  </si>
  <si>
    <t>15.02.1970</t>
  </si>
  <si>
    <t xml:space="preserve">186D, Kizhakkeputhuval, Kozhikkalnam,
Elappara-685501
Kerala
</t>
  </si>
  <si>
    <t>Revival Fellowship Church</t>
  </si>
  <si>
    <t>Elappara</t>
  </si>
  <si>
    <t>26.09.2016</t>
  </si>
  <si>
    <t>TN0203</t>
  </si>
  <si>
    <t xml:space="preserve">Rev. M. Rajendran </t>
  </si>
  <si>
    <t>Rev. N. Rajan</t>
  </si>
  <si>
    <t>07.04.1962</t>
  </si>
  <si>
    <t>revmrajendran@gmail.com</t>
  </si>
  <si>
    <t xml:space="preserve">
163, Grandby Estate – 2, 
Vandiperiyar – 685533,
Kerala. 
</t>
  </si>
  <si>
    <t>Revival Prayer Ministry Maranatha</t>
  </si>
  <si>
    <t>TN0204</t>
  </si>
  <si>
    <t xml:space="preserve">Rev. M. Sabu </t>
  </si>
  <si>
    <t>15.05.1977</t>
  </si>
  <si>
    <t xml:space="preserve">
No.202, Grandby Estate, Division–9,
Vandiperiyar – 685533,
Kerala. 
</t>
  </si>
  <si>
    <t>Maranatha Church</t>
  </si>
  <si>
    <t>TN0205</t>
  </si>
  <si>
    <t xml:space="preserve">Rev. S.N. Raju </t>
  </si>
  <si>
    <t>06.04.1952</t>
  </si>
  <si>
    <t xml:space="preserve">
2t, Puthuval, Ponninivas 6th Mile,
K.Chappath (Po) – 685505,
Idukki (Dt), Kerala.
</t>
  </si>
  <si>
    <t>Blessing Church</t>
  </si>
  <si>
    <t>TN0206</t>
  </si>
  <si>
    <t xml:space="preserve">Rev. A. John Thamby </t>
  </si>
  <si>
    <t>20.01.1972</t>
  </si>
  <si>
    <t xml:space="preserve">Peace Mission Ministry
Melazhutha Estate, Brighton Division,
Peermade, Kerala
</t>
  </si>
  <si>
    <t>Peace Mission Ministry</t>
  </si>
  <si>
    <t>Peeramade</t>
  </si>
  <si>
    <t>TN0207</t>
  </si>
  <si>
    <t xml:space="preserve">Rev. J. Aaron </t>
  </si>
  <si>
    <t>jaron09051974@gmail.com</t>
  </si>
  <si>
    <t xml:space="preserve">
9, Gandhi Nagar, Subramaniapuram,
Trichy – 620020, 
Tamilnadu.
</t>
  </si>
  <si>
    <t>Rehoboth Power Ministries</t>
  </si>
  <si>
    <t>TN0208</t>
  </si>
  <si>
    <t xml:space="preserve">Rev. D. Daniel </t>
  </si>
  <si>
    <t>05.02.1952</t>
  </si>
  <si>
    <t xml:space="preserve">
98, North Car Street, 
Keeranur – 622502,
Pudukkottai, Tamilnadu.
</t>
  </si>
  <si>
    <t>Faith Full Gospel Church</t>
  </si>
  <si>
    <t>Pudukottai</t>
  </si>
  <si>
    <t>21.10.2016</t>
  </si>
  <si>
    <t>TN0209</t>
  </si>
  <si>
    <t xml:space="preserve">Rev. J. Isravel Dhevanesan </t>
  </si>
  <si>
    <t>30.06.1976</t>
  </si>
  <si>
    <t>israveldevanesan@gmail.com</t>
  </si>
  <si>
    <t xml:space="preserve">
5/251, Thideer Nagar, Kungumapuram,
Valavanthan Kottai, Thuvakudi,
Trichy – 620015, Tamilnadu.
</t>
  </si>
  <si>
    <t>Everlasting Lord Jesus</t>
  </si>
  <si>
    <t>TN0210</t>
  </si>
  <si>
    <t>Rev.A.John Peter</t>
  </si>
  <si>
    <t>05.05.1965</t>
  </si>
  <si>
    <t>ajpjohn@gmail.com</t>
  </si>
  <si>
    <t xml:space="preserve">158,7th Street,
VOC  Nagar,  Thuvakudi Malai 
Trichirappalli-620022
</t>
  </si>
  <si>
    <t>Thiranthavasal Church</t>
  </si>
  <si>
    <t>26.07.2016</t>
  </si>
  <si>
    <t>TN0211</t>
  </si>
  <si>
    <t xml:space="preserve">Rev. M. Susai Rathinam </t>
  </si>
  <si>
    <t>16.05.1964</t>
  </si>
  <si>
    <t xml:space="preserve">
237, Cholan Street, Airport,
Trichy – 620007, 
Tamilnadu. 
</t>
  </si>
  <si>
    <t>22.02.2023</t>
  </si>
  <si>
    <t>TN0212</t>
  </si>
  <si>
    <t xml:space="preserve">Rev. E. Innazee Muthu </t>
  </si>
  <si>
    <t>23.01.1984</t>
  </si>
  <si>
    <t xml:space="preserve">
2/148a, Kalaignar Colony, 
Vengoor, Trichy – 620013, 
Tamilnadu. 
</t>
  </si>
  <si>
    <t>Kartharin Mahimai Ministries</t>
  </si>
  <si>
    <t>TN0213</t>
  </si>
  <si>
    <t xml:space="preserve">Rev. A. David Masillamani </t>
  </si>
  <si>
    <t>01.01.1957</t>
  </si>
  <si>
    <t xml:space="preserve">
5/8, G. Udaiyapatti, 
Rakkampatti (Po) – 639120,
Kulithalai, Karur, Tamilnadu. 
</t>
  </si>
  <si>
    <t>Bethestha Faith Prayer House</t>
  </si>
  <si>
    <t>TN0214</t>
  </si>
  <si>
    <t xml:space="preserve">Rev. G. Edwin Joseph Selvaraj </t>
  </si>
  <si>
    <t>20.04.1965</t>
  </si>
  <si>
    <t>edwinselvam2020@yahoo.com</t>
  </si>
  <si>
    <t xml:space="preserve">
27, 2nd Street, Mannarpuram,
Trichy – 620020, 
Tamilnadu. 
</t>
  </si>
  <si>
    <t xml:space="preserve">Bethel Faith Prayer House </t>
  </si>
  <si>
    <t>TN0215</t>
  </si>
  <si>
    <t>Rev. E. Bulah</t>
  </si>
  <si>
    <t>05.06.1974</t>
  </si>
  <si>
    <t xml:space="preserve">
1-301h, Bharath Nagar, Poolangudi,       Tiruchy – 620025, 
Tamilnadu.
</t>
  </si>
  <si>
    <t>TN0216</t>
  </si>
  <si>
    <t xml:space="preserve">Rev. M. Delli Durai  </t>
  </si>
  <si>
    <t>03.02.1968</t>
  </si>
  <si>
    <t xml:space="preserve">
33a, Sannathi Street,  Marakkanam, Dindivanam (Tk), Villuppuram - 604303, Tamil Nadu.
</t>
  </si>
  <si>
    <t>Blessing Mission Church</t>
  </si>
  <si>
    <t>TN0217</t>
  </si>
  <si>
    <t>Rev.V.Jeromias</t>
  </si>
  <si>
    <t>Rev.V. Jeromias</t>
  </si>
  <si>
    <t>07.05.1951</t>
  </si>
  <si>
    <t xml:space="preserve">571,Housing  Board
Punnai Nagar,Konam Nagercoil
KanniyaKumari[Dt]-629004
Tamilnadu.
</t>
  </si>
  <si>
    <t>Fire Flame Mission</t>
  </si>
  <si>
    <t>TN0218</t>
  </si>
  <si>
    <t xml:space="preserve">Rev. A. Arul </t>
  </si>
  <si>
    <t>Rev. V. Jeromias</t>
  </si>
  <si>
    <t>22.07.1978</t>
  </si>
  <si>
    <t xml:space="preserve">
7/104’b’, Vasantham Nagar,
Thirupathisaram (Po) – 629901,
Thovalai, Nagercoil – 1, Tamilnadu. 
</t>
  </si>
  <si>
    <t>Kirubaien Kudaram</t>
  </si>
  <si>
    <t>TN0219</t>
  </si>
  <si>
    <t xml:space="preserve">Rev. Y. M. Abraham </t>
  </si>
  <si>
    <t>04.04.1971</t>
  </si>
  <si>
    <t xml:space="preserve">
56-12, Puvanpottai,
Ayncode, Vendalicodo (Po) – 629161,
Kanniyakumari, Tamilnadu.
</t>
  </si>
  <si>
    <t>Bethesda Church</t>
  </si>
  <si>
    <t>26.11.2015</t>
  </si>
  <si>
    <t>TN0220</t>
  </si>
  <si>
    <t xml:space="preserve">Rev. J. Varghees </t>
  </si>
  <si>
    <t>14.05.1976</t>
  </si>
  <si>
    <t xml:space="preserve">
120/4, Oorakkonan,
Arumanalloor (Po) – 629853,
Kanniyakumari, Tamilnadu.
</t>
  </si>
  <si>
    <t>TN0221</t>
  </si>
  <si>
    <t>Rev.AS. Antony Raj</t>
  </si>
  <si>
    <t>01.03.1954</t>
  </si>
  <si>
    <t xml:space="preserve">15/71B4,Cherivavattam
Kallukoottam-629808
Kanniyakumari[Dt]
Tamilnadu.
</t>
  </si>
  <si>
    <t>Zion Fellowship</t>
  </si>
  <si>
    <t>TN0222</t>
  </si>
  <si>
    <t xml:space="preserve">Rev. U. Benjamin J Pandian </t>
  </si>
  <si>
    <t>10.08.1946</t>
  </si>
  <si>
    <t xml:space="preserve">
29/15, Thattan Vilagam,
Malaicode, Edaicode (Po) – 629152,
Kanniyakumari, Tamilnadu.
</t>
  </si>
  <si>
    <t>The Word Of God Ministries</t>
  </si>
  <si>
    <t>TN0223</t>
  </si>
  <si>
    <t xml:space="preserve">Rev. C. Samuvel </t>
  </si>
  <si>
    <t>06.12.1962</t>
  </si>
  <si>
    <t xml:space="preserve">
7/38, North Kannakuruchi, Taivaipuram (Via),
Kanapathipuram (Po) – 629502,
Kanniyakumari, Tamilnadu.
</t>
  </si>
  <si>
    <t>Fire Flame Church</t>
  </si>
  <si>
    <t>TN0224</t>
  </si>
  <si>
    <t xml:space="preserve">Rev. D. Joseph Selvakumar </t>
  </si>
  <si>
    <t>09.02.1977</t>
  </si>
  <si>
    <t xml:space="preserve">
4-167a1, Mallavalli, Cherootokoonam,
Natalam – 629165,
Villavaingodu (Tk), Kanniyakumari, Tamilnadu.
</t>
  </si>
  <si>
    <t>Horeb Church</t>
  </si>
  <si>
    <t>TN0225</t>
  </si>
  <si>
    <t xml:space="preserve">Rev. V. Dhinakaran </t>
  </si>
  <si>
    <t>05.06.1983</t>
  </si>
  <si>
    <t>9894969610-dhinashoba@gmail.com</t>
  </si>
  <si>
    <t xml:space="preserve">
16-7-1, Indira Nagar,
Chenbhgaraman Puthoor – 629304,
Kanniyakumari. Tamilnadu.
</t>
  </si>
  <si>
    <t>Believers Prayer House</t>
  </si>
  <si>
    <t>TN0226</t>
  </si>
  <si>
    <t xml:space="preserve">Rev. Y. M. Joy </t>
  </si>
  <si>
    <t>09.11.1982</t>
  </si>
  <si>
    <t xml:space="preserve">
14-92, Gandhi Nagar,
Pechipparai (Po) – 629161,
Kanniyakumari. Tamilnadu.
</t>
  </si>
  <si>
    <t>Herubasanam Church</t>
  </si>
  <si>
    <t>TN0227</t>
  </si>
  <si>
    <t xml:space="preserve">Rev. R. Subhash </t>
  </si>
  <si>
    <t>20.05.1976</t>
  </si>
  <si>
    <t>subashrp1976@gmail.com</t>
  </si>
  <si>
    <t xml:space="preserve">
18/13f, Santa Street, Paruthi Villai, Erumbukkadu (Po) - 629004,
Nagercoil, Kanniyakumari, Tamilnadu.  
</t>
  </si>
  <si>
    <t>Save India Mission Church</t>
  </si>
  <si>
    <t>TN0228</t>
  </si>
  <si>
    <t xml:space="preserve">Rev. K. Selvam </t>
  </si>
  <si>
    <t>15.06.1971</t>
  </si>
  <si>
    <t>selvam.k1971@gmail.com</t>
  </si>
  <si>
    <t xml:space="preserve">
857/39a6, Asaripallam Road, 
Nagarcoil – 629003,
Kanniyakumari, Tamilnadu.
</t>
  </si>
  <si>
    <t>True Life Fellowship</t>
  </si>
  <si>
    <t>TN0229</t>
  </si>
  <si>
    <t xml:space="preserve">Rev. P. Paul @ Kannan </t>
  </si>
  <si>
    <t>Rev. V. Stephen Sivalingam</t>
  </si>
  <si>
    <t>14.07.1954</t>
  </si>
  <si>
    <t xml:space="preserve">
301/C, Pallacolony, Kizhpudupakkam, Cheyyar, 
Thiruvannamalai – 604407,
Tamilnadu. 
</t>
  </si>
  <si>
    <t>Bethesda Prayer House</t>
  </si>
  <si>
    <t>TN0230</t>
  </si>
  <si>
    <t>Rev. S. Lazarus @ Lakshmanan</t>
  </si>
  <si>
    <t>19.07.1981</t>
  </si>
  <si>
    <t>blessingofgod01@gmail.com</t>
  </si>
  <si>
    <t xml:space="preserve">
New No: 283, Old No: 2/79,
Mariamman Koil Street, Palli Village  – 604407, Cheyyar, Thiruvannamalai, Tamilnadu.
</t>
  </si>
  <si>
    <t>Blessing Of God Church</t>
  </si>
  <si>
    <t>TN0231</t>
  </si>
  <si>
    <t xml:space="preserve">Rev. V. Stephen @ Sivalingam </t>
  </si>
  <si>
    <t>Rev. P. Paul Kannan</t>
  </si>
  <si>
    <t>02.01.1978</t>
  </si>
  <si>
    <t xml:space="preserve">
44, Dr Ambedkhar Nagar,Cheyyar,
 Thiruvannamalai – 604407,
Tamilnadu. 
</t>
  </si>
  <si>
    <t>All Mighty God’s Peace Prayer House</t>
  </si>
  <si>
    <t>TN0232</t>
  </si>
  <si>
    <t xml:space="preserve">Rev. S. Pandian </t>
  </si>
  <si>
    <t>Rev. P. Devaraj</t>
  </si>
  <si>
    <t>20.06.1975</t>
  </si>
  <si>
    <t>sundararajan_pandian@yahoo.com</t>
  </si>
  <si>
    <t xml:space="preserve">
No.58, K.V.T  Nagar, 
Vandavasi (Po) – 604408, 
Thiruvannamalai, Tamilnadu.
</t>
  </si>
  <si>
    <t>Believers Church</t>
  </si>
  <si>
    <t>TN0233</t>
  </si>
  <si>
    <t xml:space="preserve">Rev. M. Anandan  </t>
  </si>
  <si>
    <t>25.06.1974</t>
  </si>
  <si>
    <t>pastoranandan@gmail.com</t>
  </si>
  <si>
    <t xml:space="preserve">
101/621-3, Periyar Nagar, 
Nedugunam (Po) – 606801, Vandavasi (Tk), 
Thiruvannamalai (Dt), Tamilnadu. 
</t>
  </si>
  <si>
    <t xml:space="preserve">Believers Church </t>
  </si>
  <si>
    <t>TN0234</t>
  </si>
  <si>
    <t xml:space="preserve">Rev.  D. Joshua @ Jeya Prakash </t>
  </si>
  <si>
    <t>07.06.1989</t>
  </si>
  <si>
    <t>joshuadjp985@gmail.com</t>
  </si>
  <si>
    <t xml:space="preserve"> 
207, Road Street, Madha Koil,
Naval Pakkam (Po) – 604503,
Cheyyar (Tk), Thiruvannamalai, Tamilnadu
</t>
  </si>
  <si>
    <t>TN0235</t>
  </si>
  <si>
    <t xml:space="preserve">Rev. P. Devanesan @ Devaraj </t>
  </si>
  <si>
    <t>20.05.1968</t>
  </si>
  <si>
    <t xml:space="preserve">
207, Muthu Kovil Street,
Navalpakkam Village (Po) -604503
Cheyyar (Tk), Thiruvannamalai, Tamilnadu.
</t>
  </si>
  <si>
    <t>TN0236</t>
  </si>
  <si>
    <t xml:space="preserve">Rev. R. Sankaran </t>
  </si>
  <si>
    <t>16.05.1971</t>
  </si>
  <si>
    <t xml:space="preserve">
177/1, Road Street, Vadugappattu,
Mkpoondi (Po) - 604407 , Cheyyar (Tk), Thiruvannamalai [Dt], Tamilnadu. 
</t>
  </si>
  <si>
    <t>New Life New Generation Church</t>
  </si>
  <si>
    <t>TN0237</t>
  </si>
  <si>
    <t xml:space="preserve">Rev. D. Isaac Raja </t>
  </si>
  <si>
    <t>15.07.1986</t>
  </si>
  <si>
    <t>isaacnewlife@gmail.com</t>
  </si>
  <si>
    <t xml:space="preserve">
8/5, Perur Udaiyapatti Colony, Gudalur,Rackkampatti, Kulithalai (Tk), - 639120
Karur, Tamilnadu.
</t>
  </si>
  <si>
    <t>TN0238</t>
  </si>
  <si>
    <t xml:space="preserve">Rev. M. Israel @ Deepak </t>
  </si>
  <si>
    <t>03.02.1989</t>
  </si>
  <si>
    <t xml:space="preserve">
7-654, Pudhuthottam 
Valaparai (Po) – 642127, 
Coimbatore, Tamilnadu. 
</t>
  </si>
  <si>
    <t>Fire Flame Mission Church</t>
  </si>
  <si>
    <t>TN0239</t>
  </si>
  <si>
    <t xml:space="preserve">Rev. A. Francis </t>
  </si>
  <si>
    <t>04.10.1963</t>
  </si>
  <si>
    <t xml:space="preserve">Yesuvin Agni Jualai Mission
Pillar Hospital Road, 
Christu Nagar,
 Kanniyakumari, Tamilnadu.
</t>
  </si>
  <si>
    <t>Yesuvin Agni Jualai Mission</t>
  </si>
  <si>
    <t>TN0240</t>
  </si>
  <si>
    <t>Rev.T.siluvaipillai</t>
  </si>
  <si>
    <t>04.05.1964</t>
  </si>
  <si>
    <t xml:space="preserve">71H-A9,Carmel Street
Ponnappan Nagar Colony
Nagercoil-629004
Kanniyakumari[Dt]
</t>
  </si>
  <si>
    <t>Revival Church Of God</t>
  </si>
  <si>
    <t>TN0241</t>
  </si>
  <si>
    <t xml:space="preserve">Rev. S.P. Yesu Paul  </t>
  </si>
  <si>
    <t>19.05.1965</t>
  </si>
  <si>
    <t>revyesupaul@gmail.com</t>
  </si>
  <si>
    <t xml:space="preserve">
5/86,Pallikooda Street, 
Avaraikulam (Po) – 627133, Radhapuram (Tk), 
Nellai, Tamilnadu
</t>
  </si>
  <si>
    <t>Glory New Life Ministries</t>
  </si>
  <si>
    <t>TN0242</t>
  </si>
  <si>
    <t xml:space="preserve">Rev. R. Rajasingh  </t>
  </si>
  <si>
    <t>30.05.1960</t>
  </si>
  <si>
    <t xml:space="preserve">
109-72d, Main Road, Kumarapuram Thoppur,               Kanniyakumari – 629402,
Tamilnadu.
</t>
  </si>
  <si>
    <t>Good News Of Coming Prayer Band</t>
  </si>
  <si>
    <t>TN0243</t>
  </si>
  <si>
    <t>Rev.Antony  Amaladhas</t>
  </si>
  <si>
    <t>18.10.1939</t>
  </si>
  <si>
    <t>graceprayerfellowshiprajavoor@gmail.com</t>
  </si>
  <si>
    <t xml:space="preserve">1-65,North Street
North Rajavoor
Kumarapuram Thoppur [Po]
Kanniyakumari [Dt]
</t>
  </si>
  <si>
    <t>Grace Prayer Fellowship Church</t>
  </si>
  <si>
    <t>TN0244</t>
  </si>
  <si>
    <t>Rev.D.Muthusingh</t>
  </si>
  <si>
    <t>15.03.1962</t>
  </si>
  <si>
    <t xml:space="preserve">8-450,MGR Nagar
Aralvaimozhi[Po]
Thovalai,Kanniyakumari[Dt]
Tamilnadu.
</t>
  </si>
  <si>
    <t>Anbin Abesega Sabai</t>
  </si>
  <si>
    <t>TN0245</t>
  </si>
  <si>
    <t xml:space="preserve">Rev. L. Maria Xavier Antony </t>
  </si>
  <si>
    <t>12.01.1966</t>
  </si>
  <si>
    <t xml:space="preserve">
No : 2-75, 
Kananvillai Karungal (Po) – 629178,
Kanniyakumari, Tamilnadu.
</t>
  </si>
  <si>
    <t>Jehovah Nissi Ministries</t>
  </si>
  <si>
    <t>TN0246</t>
  </si>
  <si>
    <t xml:space="preserve">Rev. L. Stephen Raj </t>
  </si>
  <si>
    <t>07.03.1985</t>
  </si>
  <si>
    <t>dearstephenraj@gmail.com</t>
  </si>
  <si>
    <t xml:space="preserve">Fire Flame Mission
Nurse Lane, North Sargunam Street,
Nagarcoil – 629001, 
Tamilnadu. 
</t>
  </si>
  <si>
    <t>TN0248</t>
  </si>
  <si>
    <t>Rev. P. Jhonpaul</t>
  </si>
  <si>
    <t>Rev. P. Santhosam</t>
  </si>
  <si>
    <t>05.03.1961</t>
  </si>
  <si>
    <t xml:space="preserve">
No-66a, Anna Nagar 1st Street, Naickenpettai,
Kanchipuram - 631601, Tamilnadu.
</t>
  </si>
  <si>
    <t>Bethel Prayer House</t>
  </si>
  <si>
    <t>TN0249</t>
  </si>
  <si>
    <t xml:space="preserve">Rev. P. Santhosam  </t>
  </si>
  <si>
    <t>Rev. S. Adham</t>
  </si>
  <si>
    <t>15.05.1981</t>
  </si>
  <si>
    <t xml:space="preserve">
No.202, Mariamman Koil, 
Agaram - Village, Thennari (Po) - 631604, 
Kanchipuram, Tamilnadu.
</t>
  </si>
  <si>
    <t>New Covenant Gospel Church</t>
  </si>
  <si>
    <t>28.05.2019</t>
  </si>
  <si>
    <t>23/11/2021</t>
  </si>
  <si>
    <t>TN0250</t>
  </si>
  <si>
    <t xml:space="preserve">Rev.  S. Adham </t>
  </si>
  <si>
    <t>Rev. P. Johnpaul</t>
  </si>
  <si>
    <t>03.03.1976</t>
  </si>
  <si>
    <t xml:space="preserve">
No-90, Main Road, Kattavakkam - Village, 
Thenneri (Po) - 631604, 
Kanchipuram, Tamilnadu. 
</t>
  </si>
  <si>
    <t>Life For Christ Church</t>
  </si>
  <si>
    <t>TN0251</t>
  </si>
  <si>
    <t xml:space="preserve">Rev. C. Jeevanandam </t>
  </si>
  <si>
    <t>Rev. A. Seemon</t>
  </si>
  <si>
    <t>30.01.1982</t>
  </si>
  <si>
    <t xml:space="preserve">Heavenly Vision (Jesus) Church
Panniar Estate (Po) - 685613, Udumbanchola, Devikulam (Via), 
Idukki (Dt), Kerala.
</t>
  </si>
  <si>
    <t>Heavenly Vision (Jesus) Church</t>
  </si>
  <si>
    <t>TN0252</t>
  </si>
  <si>
    <t xml:space="preserve">Rev. N. Christopher </t>
  </si>
  <si>
    <t>11.07.1956</t>
  </si>
  <si>
    <t>nchristo1957@rediffmail.com</t>
  </si>
  <si>
    <t xml:space="preserve">
29, Mariamman Koil Street,
Thenkarai, Periyakulam - 625601, 
Theni (Dt), Tamilnadu.
</t>
  </si>
  <si>
    <t>Jesus Is My Life Church</t>
  </si>
  <si>
    <t>TN0253</t>
  </si>
  <si>
    <t xml:space="preserve">Rev. C. Muthumosses </t>
  </si>
  <si>
    <t>Rev. M. Yesudass</t>
  </si>
  <si>
    <t>10.10.1977</t>
  </si>
  <si>
    <t xml:space="preserve">Halleluya Mission India
Senapathy (Po) – 685619,
Santhanparai (Via),
Idukki (Dt), Kerala
</t>
  </si>
  <si>
    <t>Halleluya Mission India</t>
  </si>
  <si>
    <t xml:space="preserve">Idukki </t>
  </si>
  <si>
    <t>TN0254</t>
  </si>
  <si>
    <t>09.04.1974</t>
  </si>
  <si>
    <t>cfpht@gmail.com</t>
  </si>
  <si>
    <t xml:space="preserve">Christian Fellowship Prayer House
Pazhathottam,
Koviloor (Po) – 685615, 
Munnar, Idukki (Dt), Kerala.
</t>
  </si>
  <si>
    <t>Christian Fellowship Prayer House</t>
  </si>
  <si>
    <t>09.08.2016</t>
  </si>
  <si>
    <t>TN0255</t>
  </si>
  <si>
    <t xml:space="preserve">Rev. V. Wilson @ Velavan </t>
  </si>
  <si>
    <t>15.05.1967</t>
  </si>
  <si>
    <t xml:space="preserve">
294,3 Center Division, Aruvikad Estate, 
Mattupetti (Po) - 685616
Munnar, Idukki (Dt), Kerala.
</t>
  </si>
  <si>
    <t>Indian Benial Christian Assembly Church</t>
  </si>
  <si>
    <t>TN0256</t>
  </si>
  <si>
    <t xml:space="preserve">Rev. S. Anburaj </t>
  </si>
  <si>
    <t>07.02.1968</t>
  </si>
  <si>
    <t xml:space="preserve">Sharon Church 
Chunduvarri Estate, Kundaly East, Division, S.P.Puram. Yellapatty (Po) – 685617, 
Idukki (Dt), Kerala.
</t>
  </si>
  <si>
    <t xml:space="preserve">Sharon Church </t>
  </si>
  <si>
    <t>Idukki</t>
  </si>
  <si>
    <t>TN0257</t>
  </si>
  <si>
    <t xml:space="preserve">Rev. S. Ebinezer Jayaraj </t>
  </si>
  <si>
    <t>02.06.1977</t>
  </si>
  <si>
    <t xml:space="preserve">The World Saviour Prayer House
Anna Nagar-Village,
Nemur (Po) – 605203,
Villupuram (Dt), Tamilnadu.
</t>
  </si>
  <si>
    <t>The World Saviour Prayer House</t>
  </si>
  <si>
    <t>TN0258</t>
  </si>
  <si>
    <t xml:space="preserve">Rev. M. Immanuel </t>
  </si>
  <si>
    <t>15.06.1978</t>
  </si>
  <si>
    <t>immanuelrothai@gmail.com</t>
  </si>
  <si>
    <t xml:space="preserve">Elroie Deva Sabhai
40, Jawahar Street,
Panruti (Po) – 607106,
Cuddalore (Dt), Tamilnadu.
</t>
  </si>
  <si>
    <t>Elroie Deva Sabhai</t>
  </si>
  <si>
    <t>TN0259</t>
  </si>
  <si>
    <t xml:space="preserve">Rev.S. Emmanuvel @ Velu  </t>
  </si>
  <si>
    <t xml:space="preserve"> Rev. S. V. Solomon</t>
  </si>
  <si>
    <t>01.06.1979</t>
  </si>
  <si>
    <t xml:space="preserve">End Time Zion Church
15 Voc Street,Chinna Market,
Puducherry - 605001
</t>
  </si>
  <si>
    <t>End Time Zion Church</t>
  </si>
  <si>
    <t>TN0260</t>
  </si>
  <si>
    <t xml:space="preserve">Rev. P. Paulpalani </t>
  </si>
  <si>
    <t>Rev. C. K. Daniel Kesavan</t>
  </si>
  <si>
    <t>01.01.1970</t>
  </si>
  <si>
    <t>116, Parasanur, Sammal Patti Post,    Uthangarai (TK), Krishnagiri - 635306.</t>
  </si>
  <si>
    <t>Paralogathin Thiravukol Thirusabai</t>
  </si>
  <si>
    <t>TN0261</t>
  </si>
  <si>
    <t xml:space="preserve">Rev. D. Samuvel </t>
  </si>
  <si>
    <t>21.12.1978</t>
  </si>
  <si>
    <t>yvsministry@gmail.com</t>
  </si>
  <si>
    <t xml:space="preserve">
5d,Senji Main Road,  Kali (Po) – 609811, Mayiladuthurai (Tk), Nagapattinam [Dt],    Tamil Nadu. 
</t>
  </si>
  <si>
    <t>Yesuvey Vazhi Sathyam Ministry</t>
  </si>
  <si>
    <t>Nagapattinam</t>
  </si>
  <si>
    <t>TN0262</t>
  </si>
  <si>
    <t xml:space="preserve">Rev. V. Joshua Selva Kumar  </t>
  </si>
  <si>
    <t>30.04.1989</t>
  </si>
  <si>
    <t>selvagbc@gmail.com</t>
  </si>
  <si>
    <t xml:space="preserve">
2n/766 Maria Cottage, Ezhil Nagar,  Thevarkulam, Sivakasi,
Virudhu Nagar (Dt) – 626124, Tamilnadu. 
</t>
  </si>
  <si>
    <t>El-Bethel Prayer House</t>
  </si>
  <si>
    <t>22.11.2016</t>
  </si>
  <si>
    <t>TN0263</t>
  </si>
  <si>
    <t xml:space="preserve">Rev. J. Isaac </t>
  </si>
  <si>
    <t>08.09.1950</t>
  </si>
  <si>
    <t xml:space="preserve">Good Samaritan Fellowship Church
Dymock Estate(Po) – 685533,
Vandiperiyar (Via),Idukki(Dt),
Kerala.
</t>
  </si>
  <si>
    <t>TN0264</t>
  </si>
  <si>
    <t xml:space="preserve">Rev.D.Ponnuraj </t>
  </si>
  <si>
    <t>06.03.1963</t>
  </si>
  <si>
    <t xml:space="preserve">Christ Gospel Church
Plathanam House 
Malloossery (Po)Kottayam (Dt)
Kerala-686041
</t>
  </si>
  <si>
    <t>Christ Gospel Church</t>
  </si>
  <si>
    <t>TN0265</t>
  </si>
  <si>
    <t xml:space="preserve">Rev.P.Ravi </t>
  </si>
  <si>
    <t>28.12.1973</t>
  </si>
  <si>
    <t xml:space="preserve">32/211,  Parameswarampuram Kaspa,
Parameswarapuram, Rathapuram (Tk), Thirunelveli. Tamilnadu-627106
</t>
  </si>
  <si>
    <t>C.E.F</t>
  </si>
  <si>
    <t>TN0267</t>
  </si>
  <si>
    <t xml:space="preserve">Rev. R.Rajendran </t>
  </si>
  <si>
    <t>01.01.1975</t>
  </si>
  <si>
    <t xml:space="preserve">
Therivilai Veedu, Devanesam Cottage
Mulagumoodu(Po) -629167
Kaniyakumari(Dt)Tamilnadu
</t>
  </si>
  <si>
    <t xml:space="preserve">Apostalic Power Mission </t>
  </si>
  <si>
    <t>TN0268</t>
  </si>
  <si>
    <t>Rev.S.Senthil Kumar @ Paul</t>
  </si>
  <si>
    <t>05.06.1978</t>
  </si>
  <si>
    <t xml:space="preserve">129-A,Palakkdi Mainroad
24-Villiyanallur[Po]
Mayiladuthurai-609203
Nagapatinam (Dt), Tamilnadu.
</t>
  </si>
  <si>
    <t>Fire Flame Ministries</t>
  </si>
  <si>
    <t>TN0269</t>
  </si>
  <si>
    <t xml:space="preserve">Rev.K.Paul Balu </t>
  </si>
  <si>
    <t>Rev. S. S. Paul</t>
  </si>
  <si>
    <t>03.08.1974</t>
  </si>
  <si>
    <t xml:space="preserve">
2,Yathayar Street, Theruvavaduthor – 609803,                                       
Kuttalam(Tk),Nagapatinam (Dt),
Tamil Nadu.
</t>
  </si>
  <si>
    <t>Jesus For Comfort Giving House</t>
  </si>
  <si>
    <t>TN0270</t>
  </si>
  <si>
    <t>Rev.K.Baskaran</t>
  </si>
  <si>
    <t>12.06.1972</t>
  </si>
  <si>
    <t xml:space="preserve">
Manan StreetKaduvangudi ,
Kollumangudi (Po) – 609403,
Nannilam(Tk) , Thiruvarur (Dt), Tamilnadu.
</t>
  </si>
  <si>
    <t>Jesus’s Sound Of Fire Church</t>
  </si>
  <si>
    <t>Thiruvarur</t>
  </si>
  <si>
    <t>TN0271</t>
  </si>
  <si>
    <t xml:space="preserve">Rev.K.John @ Sathiyaseelan </t>
  </si>
  <si>
    <t>19.10.1960</t>
  </si>
  <si>
    <t>greatlight32@gmail.com</t>
  </si>
  <si>
    <t xml:space="preserve">
727,Agaarakottangudi, Kaduvangudi 
Kollumangudi (Po) - 609403
Nannilam(Tk) , Thiruvarur (Dt), 
</t>
  </si>
  <si>
    <t>Great Light Prayer House</t>
  </si>
  <si>
    <t>TN0272</t>
  </si>
  <si>
    <t xml:space="preserve">Rev. G. Raja Sudarsan </t>
  </si>
  <si>
    <t>07.07.1973</t>
  </si>
  <si>
    <t>georgerajasudarsan@gmail.com</t>
  </si>
  <si>
    <t xml:space="preserve">
255,Oomsakthi Nagar, Nallathugudy - 609001
Mayiladuturai (Tk),  Nagapatinam (Dt),       Tamil Nadu. 
</t>
  </si>
  <si>
    <t>Bethesda Deva Sabai</t>
  </si>
  <si>
    <t>TN0273</t>
  </si>
  <si>
    <t xml:space="preserve">Rev.N.Johnson Ravi </t>
  </si>
  <si>
    <t>26.05.1959</t>
  </si>
  <si>
    <t xml:space="preserve">
11 Main Road Upstair, Iob-Opp,                Cauvery Nagar-609003, Mayiladuturai(Tk) 
 Nagapatinam (Dt),Tamilnadu-
</t>
  </si>
  <si>
    <t>Holy Jesus Prayer House</t>
  </si>
  <si>
    <t>TN0274</t>
  </si>
  <si>
    <t>Rev.N.K.Pugazhanthi Abraham</t>
  </si>
  <si>
    <t>10.04.1977</t>
  </si>
  <si>
    <t>pugazhanthi68@gmail.com</t>
  </si>
  <si>
    <t xml:space="preserve">
72,Puduthurai
Puduthurai(Po),Sirkali(Tk), Nagapatinam(Dt)
Tamilnadu-609106
</t>
  </si>
  <si>
    <t>New Life Jabaveedu</t>
  </si>
  <si>
    <t>TN0275</t>
  </si>
  <si>
    <t>Rev.K.Moses</t>
  </si>
  <si>
    <t>05.12.1970</t>
  </si>
  <si>
    <t xml:space="preserve">44/4,Purasankudu, Mudikandanallor
Manalmedu, Mayiladuthurai,Nagapatinam[Dt]
Tamilnadu-609202
</t>
  </si>
  <si>
    <t>Shekinah Living Word Ministries</t>
  </si>
  <si>
    <t>TN0276</t>
  </si>
  <si>
    <t xml:space="preserve">Rev.V. Samuel @ Srinivasan </t>
  </si>
  <si>
    <t>09.08.1943</t>
  </si>
  <si>
    <t xml:space="preserve">
4,Anna Nagar ,Kesingan,
Authur (Po) – 609204,
Mayiladuthurai(Tk), 
Nagapatinam(Dt),Tamilnadu 
</t>
  </si>
  <si>
    <t>Jesus Christhu Church</t>
  </si>
  <si>
    <t>TN0277</t>
  </si>
  <si>
    <t>Rev. P. George Eugin Raj</t>
  </si>
  <si>
    <t>04.06.1952</t>
  </si>
  <si>
    <t xml:space="preserve">
4/302, Thiru Nagar, Pattanur, 
Vanur (Via), Villupuram – 605110, TamilNadu.
</t>
  </si>
  <si>
    <t>Jerusalam Koodaram</t>
  </si>
  <si>
    <t>TN0278</t>
  </si>
  <si>
    <t>Rev. G.Sagayarani Doris</t>
  </si>
  <si>
    <t>15.04.1960</t>
  </si>
  <si>
    <t xml:space="preserve">
4/302, Thiru Nagar, Pattanur,
 Vanur (Via), Villupuram – 605110, TamilNadu.
</t>
  </si>
  <si>
    <t>TN0279</t>
  </si>
  <si>
    <t xml:space="preserve">Rev. A.  Maria Dhas </t>
  </si>
  <si>
    <t>03.11.1960</t>
  </si>
  <si>
    <t xml:space="preserve">
9/269 Anbiyam 32, Enayam 
Nagercoil – 629193,
Tamilnadu.
</t>
  </si>
  <si>
    <t>Jesus With Us Church</t>
  </si>
  <si>
    <t>25.10.2016</t>
  </si>
  <si>
    <t>TN0280</t>
  </si>
  <si>
    <t xml:space="preserve">Rev. S. Baisil </t>
  </si>
  <si>
    <t>05.02.1966</t>
  </si>
  <si>
    <t xml:space="preserve">
1/109, B.J.Bhavan, Puthenkadai,
Tiruvattar [Po] – 629177,
Kanyakumari [Dt], Tamilnadu.
</t>
  </si>
  <si>
    <t>Jehovanissi Ministries</t>
  </si>
  <si>
    <t>12.02.2015 O5</t>
  </si>
  <si>
    <t>TN0281</t>
  </si>
  <si>
    <t xml:space="preserve">Rev. P. Philip Senthil Kumar </t>
  </si>
  <si>
    <t>Rev. D. Ezekiel</t>
  </si>
  <si>
    <t>11.05.1982</t>
  </si>
  <si>
    <t xml:space="preserve">
3/98a, Chincona, 
G.C.P.Doddabetta, Nilgiris,
Ooty [Dt] – 643002, Tamilnadu.
</t>
  </si>
  <si>
    <t>Power Of God Revival Church</t>
  </si>
  <si>
    <t>Ooty</t>
  </si>
  <si>
    <t>TN0282</t>
  </si>
  <si>
    <t xml:space="preserve">Rev. P. Vincent  </t>
  </si>
  <si>
    <t>12.02.1979</t>
  </si>
  <si>
    <t>www.vincentharibabu@gmail.com</t>
  </si>
  <si>
    <t xml:space="preserve">Yesuvin Jaba Veedu
Chakrai Chettiyar Complex, Keel Street, 
Matthur Village (Po)-635203,
Pochampalli (Tk),  Krishnagiri (Dt), Tamilnadu. 
</t>
  </si>
  <si>
    <t>Yesuvin Jaba Veedu</t>
  </si>
  <si>
    <t>TN0283</t>
  </si>
  <si>
    <t xml:space="preserve">Rev. Y. Santhakumar  </t>
  </si>
  <si>
    <t>30.01.1968</t>
  </si>
  <si>
    <t xml:space="preserve">
24/1, Kathavani, Karappattu (Po) – 635207,
Uthangarai (Tk), 
Krishnagiri (Dt), Tamilnadu. 
</t>
  </si>
  <si>
    <t>Christ Church</t>
  </si>
  <si>
    <t>07.06.2016</t>
  </si>
  <si>
    <t>TN0284</t>
  </si>
  <si>
    <t xml:space="preserve">Rev. P. Koilraj  </t>
  </si>
  <si>
    <t>09.05.1970</t>
  </si>
  <si>
    <t xml:space="preserve">
28b, Raja Street, Gurugapatti, 
Singarapettai [Po] – 635307, 
Uthangarai [Tk], Krishnagiri [Dt], Tamilnadu.
</t>
  </si>
  <si>
    <t>Harvest For Jesus Ministries</t>
  </si>
  <si>
    <t>TN0285</t>
  </si>
  <si>
    <t xml:space="preserve">Rev. J. Paulin Selvakumar  </t>
  </si>
  <si>
    <t>Rev. M. Rajedren</t>
  </si>
  <si>
    <t>21.10.1977</t>
  </si>
  <si>
    <t>nagomipaulin@gmail.com</t>
  </si>
  <si>
    <t xml:space="preserve">
566, Mission Alamara Street,
Manambuchavadi,
Thanjavur – 613001, Tamilnadu. 
</t>
  </si>
  <si>
    <t>Alpha And Omega Ministry</t>
  </si>
  <si>
    <t>Thanjavur</t>
  </si>
  <si>
    <t>TN0286</t>
  </si>
  <si>
    <t xml:space="preserve">Rev. A. Antony Deva Prakash </t>
  </si>
  <si>
    <t>06.02.1982</t>
  </si>
  <si>
    <t xml:space="preserve">
452/65, Voc Nagar, Angarai (Po) – 621703, 
Lalgudi (Tk), Trichy (Dt),
Tamilnadu. 
</t>
  </si>
  <si>
    <t>Reagopoth Revival Church</t>
  </si>
  <si>
    <t>TN0287</t>
  </si>
  <si>
    <t xml:space="preserve">Rev. J. Jinoyjohn  </t>
  </si>
  <si>
    <t>03.08.1982</t>
  </si>
  <si>
    <t>jinoyjohn82@gmail.com</t>
  </si>
  <si>
    <t xml:space="preserve">
Lingappanayaka Street, Kadamalaikundu,
Theni (Dt) – 625579
Tamilnadu. 
</t>
  </si>
  <si>
    <t>Gethsemane Assembly Of God Church</t>
  </si>
  <si>
    <t>TN0288</t>
  </si>
  <si>
    <t>Rev. C. Anandan</t>
  </si>
  <si>
    <t>02.06.1959</t>
  </si>
  <si>
    <t xml:space="preserve">
110-4/10, Kadai Street, Ethapur [Po] – 636119,
Aathur [Tk], Salem [Dt], Tamilnadu. 
</t>
  </si>
  <si>
    <t>Panaimadal Devanudaya Veedu</t>
  </si>
  <si>
    <t>Salem</t>
  </si>
  <si>
    <t>TN0289</t>
  </si>
  <si>
    <t>Rev. I. Rayappa</t>
  </si>
  <si>
    <t>30.07.1951</t>
  </si>
  <si>
    <t xml:space="preserve">
1/69, Mettu Street,
Thachoor Village [Po] – 603306,
Mathuranthaham [Tk],  Kanchipuram [Dt], Tamilnadu.
</t>
  </si>
  <si>
    <t>Beniel Rock Christ Church</t>
  </si>
  <si>
    <t>TN0290</t>
  </si>
  <si>
    <t>Rev. M. Stephen</t>
  </si>
  <si>
    <t>09.04.1971</t>
  </si>
  <si>
    <t xml:space="preserve">
47, 6th Cross Street,  J. J. Nagar,
Moolakulam, Puducherry – 605010
</t>
  </si>
  <si>
    <t>Jesus Power Full Ministry</t>
  </si>
  <si>
    <t>TN0291</t>
  </si>
  <si>
    <t>Rev. S.Shyamala</t>
  </si>
  <si>
    <t>18.02.1977</t>
  </si>
  <si>
    <t>TN0292</t>
  </si>
  <si>
    <t>Rev. A.V. John Gabriel</t>
  </si>
  <si>
    <t>17.10.1983</t>
  </si>
  <si>
    <t>yovan_john@yahoo.com</t>
  </si>
  <si>
    <t xml:space="preserve">
No.2, Lakshmi Nagar, 
State Bank Colony, Cuddalore [Dt], 
Tamilnadu.
</t>
  </si>
  <si>
    <t>Way Of Jesus</t>
  </si>
  <si>
    <t>TN0293</t>
  </si>
  <si>
    <t>Rev. R. John Stephen</t>
  </si>
  <si>
    <t>03.06.1959</t>
  </si>
  <si>
    <t xml:space="preserve">
Anjilimoottil House, Moongalaar Estate,
Moongalaar [Po] – 685533,
Vandiperiyar, Idukki [Dt],  Kerala State. 
</t>
  </si>
  <si>
    <t>Christ Church Fellowship</t>
  </si>
  <si>
    <t>TN0294</t>
  </si>
  <si>
    <t>Rev. A. Samuel @ A. Subramani</t>
  </si>
  <si>
    <t>15.10.1955</t>
  </si>
  <si>
    <t xml:space="preserve">
2, Thiruppathur Main Road,
Gangaperampattu,Uthangarai [Tk],
Krishnagiri [Dt] - 635207, Tamilnadu. 
</t>
  </si>
  <si>
    <t>TN0295</t>
  </si>
  <si>
    <t>Rev.Selvarani Stephen</t>
  </si>
  <si>
    <t>Rev. A. John Peter</t>
  </si>
  <si>
    <t>05.07.1975</t>
  </si>
  <si>
    <t xml:space="preserve">73/54,Madhakovil Street
Thuvakudi-620015
Trichy[Dt]
Tamilnadu.
</t>
  </si>
  <si>
    <t>My House Is Prayer House</t>
  </si>
  <si>
    <t>TN0296</t>
  </si>
  <si>
    <t xml:space="preserve">Rev. M. Stephen                             </t>
  </si>
  <si>
    <t>Prophet</t>
  </si>
  <si>
    <t>05.07.1965</t>
  </si>
  <si>
    <t>TN0297</t>
  </si>
  <si>
    <t>Rev. C. Kumar</t>
  </si>
  <si>
    <t xml:space="preserve">
3-299, Karupurayan Kovil Vethi,
Athupalayam, Thirumurugan Poondi -641652,
Thirupur [Dt], Tamilnadu. 
</t>
  </si>
  <si>
    <t>Thuthi Tamil Evangelical Church</t>
  </si>
  <si>
    <t>Thirupur</t>
  </si>
  <si>
    <t>26.04.2016</t>
  </si>
  <si>
    <t>20.04.2017</t>
  </si>
  <si>
    <t>TN0298</t>
  </si>
  <si>
    <t>Rev. K.Bagya</t>
  </si>
  <si>
    <t>10.09.1980</t>
  </si>
  <si>
    <t>TN0299</t>
  </si>
  <si>
    <t>Rev. A. Arokianathan Peter</t>
  </si>
  <si>
    <t>07.05.1955</t>
  </si>
  <si>
    <t xml:space="preserve">
3/2-84g, Sameinathan Nagar,
Ambikapuram, Trichy -620004
Tamilnadu. 
</t>
  </si>
  <si>
    <t>Bethesda Prophet Revival Ministries</t>
  </si>
  <si>
    <t>TN0300</t>
  </si>
  <si>
    <t>Rev. A. Mary</t>
  </si>
  <si>
    <t>19.03.1963</t>
  </si>
  <si>
    <t xml:space="preserve">
3/2-84g, Sameinathan Nagar,
Ambikapuram,       
Trichy -620004, Tamilnadu. 
</t>
  </si>
  <si>
    <t>TN0301</t>
  </si>
  <si>
    <t>Rev. A. Eugene Pious</t>
  </si>
  <si>
    <t>30.05.1959</t>
  </si>
  <si>
    <t>pious.eugene@gmail.com</t>
  </si>
  <si>
    <t xml:space="preserve">
4/129-1, Thiru Nagar South,
Anthoniyarpuram 1st Street,
Ponmalai, Trichy – 620004, Tamilnadu. 
</t>
  </si>
  <si>
    <t>TN0302</t>
  </si>
  <si>
    <t>Rev. E. Jacintha</t>
  </si>
  <si>
    <t>05.10.1959</t>
  </si>
  <si>
    <t>TN0303</t>
  </si>
  <si>
    <t>Rev.I.Maria Irudayam</t>
  </si>
  <si>
    <t>21.07.1984</t>
  </si>
  <si>
    <t xml:space="preserve">2/148A,Kalaignar Colony
Vengoor-620013
Tiruchirapalli[Dt]
Tamilnadu.
</t>
  </si>
  <si>
    <t>Kartharukku Mahimai Ministries</t>
  </si>
  <si>
    <t>31.05.2016</t>
  </si>
  <si>
    <t>TN0304</t>
  </si>
  <si>
    <t>Rev. Mariapushpam Edwin</t>
  </si>
  <si>
    <t>14.02.1974</t>
  </si>
  <si>
    <t>esther95ece@gmail.com</t>
  </si>
  <si>
    <t xml:space="preserve">27,second Street
New Colony mannar Puram-620020
Trichirapalli[Dt]
Tamilnadu.
</t>
  </si>
  <si>
    <t>Bethel Faith Prayer House</t>
  </si>
  <si>
    <t>TN0305</t>
  </si>
  <si>
    <t>Rev. K. Selvam</t>
  </si>
  <si>
    <t>19.09.1979</t>
  </si>
  <si>
    <t>samjebaselvam@gmail.com</t>
  </si>
  <si>
    <t xml:space="preserve">
No.333q, Ranganathapuram,
Tnscb Flats, Korukkupet, Chennai – 600021,
Tamilnadu.
</t>
  </si>
  <si>
    <t>Jesus For You Church</t>
  </si>
  <si>
    <t>TN0306</t>
  </si>
  <si>
    <t>Rev. A. Rimo</t>
  </si>
  <si>
    <t>13.05.1977</t>
  </si>
  <si>
    <t>rimotruthism@yahoo.com</t>
  </si>
  <si>
    <t xml:space="preserve">
2/32, Ariyanattu North Street,
Velankanni, Nagapattinam [Dt] – 611111
Tamilnadu.
</t>
  </si>
  <si>
    <t>Nithiya Suvisesha Jeya Aaradhanai Sabai</t>
  </si>
  <si>
    <t>23.06.2016</t>
  </si>
  <si>
    <t>14.06.2017</t>
  </si>
  <si>
    <t>TN0307</t>
  </si>
  <si>
    <t>Rev. G. George Ananth</t>
  </si>
  <si>
    <t>18.02.1971</t>
  </si>
  <si>
    <t>pastorggananth@gmail.com</t>
  </si>
  <si>
    <t xml:space="preserve">
3/170, Bethel Nesar Street,
Kumaresapuram, 
Koothaipar [Po] – 620013,
Trichy [Dt], Tamilnadu.
</t>
  </si>
  <si>
    <t>Ipc – Bethel Church</t>
  </si>
  <si>
    <t>TN0308</t>
  </si>
  <si>
    <t>Rev. R. Abraham</t>
  </si>
  <si>
    <t>09.09.1973</t>
  </si>
  <si>
    <t xml:space="preserve">
1/199, Mangalapuram [Po] – 636202,
Ambedkar Nagar, Rasipuram [Tk],
Namakkal [Dt], Tamilnadu.
</t>
  </si>
  <si>
    <t>Hands Of Peace Church</t>
  </si>
  <si>
    <t>Namakkal</t>
  </si>
  <si>
    <t>TN0309</t>
  </si>
  <si>
    <t>Rev. R. Pavul Arunachalam</t>
  </si>
  <si>
    <t>15.06.1967</t>
  </si>
  <si>
    <t xml:space="preserve">
7, Semmankulam, Keelkarai,
Koorainadu, Mayiladuthurai,
Nagapattinam [Dt] – 609003,
Tamilnadu.
</t>
  </si>
  <si>
    <t>Jesus Compassion Ministries</t>
  </si>
  <si>
    <t>TN0310</t>
  </si>
  <si>
    <t>Rev. D. Thiraviya Raj</t>
  </si>
  <si>
    <t>21.08.1979</t>
  </si>
  <si>
    <t xml:space="preserve">
No.248, Nethaji Street,
Madurai – 625011, 
Tamilnadu.
</t>
  </si>
  <si>
    <t>Jesus Comes Zion Church</t>
  </si>
  <si>
    <t>TN0311</t>
  </si>
  <si>
    <t>Rev. J. John Martin</t>
  </si>
  <si>
    <t>29.09.1970</t>
  </si>
  <si>
    <t>mjonessdb@yahoo.com</t>
  </si>
  <si>
    <t xml:space="preserve">
8, Valliammai Nagar Extn,
Ponniamman Medu,
Kolathur,Chennai – 600110, 
Tamilnadu.
</t>
  </si>
  <si>
    <t>Truth Of Grace</t>
  </si>
  <si>
    <t>TN0312</t>
  </si>
  <si>
    <t>Rev. R. Rupus</t>
  </si>
  <si>
    <t>23.10.1980</t>
  </si>
  <si>
    <t>rruffous@gmail.com</t>
  </si>
  <si>
    <t xml:space="preserve">
8-54, Paramankonam, Paloor, Theruvukadai [Po] – 629157
Kanyakumari [Dt],
Tamilnadu.
</t>
  </si>
  <si>
    <t>Yehovahnissi Ministries</t>
  </si>
  <si>
    <t>19.07.2016</t>
  </si>
  <si>
    <t>TN0313</t>
  </si>
  <si>
    <t>Rev. A. Lawrence</t>
  </si>
  <si>
    <t>21.02.1982</t>
  </si>
  <si>
    <t>lawrenceantony21@gmail.com</t>
  </si>
  <si>
    <t xml:space="preserve">24-36,Rotary Nagar
Thenkapattanam[Po]-629173
Kanyakumai[Dt]
Tamilnadu.
</t>
  </si>
  <si>
    <t>TN0314</t>
  </si>
  <si>
    <t>Rev. A. Emmanvel Franklin</t>
  </si>
  <si>
    <t>10.07.1981</t>
  </si>
  <si>
    <t xml:space="preserve">
15/A, Ganaesapuram, Oil Mill Road,
8th Cross, Ponmalai,
Trichy – 620004,
Tamilnadu.
</t>
  </si>
  <si>
    <t>Opendoor Church</t>
  </si>
  <si>
    <t>TN0315</t>
  </si>
  <si>
    <t>Rev. S. Selvayagappan</t>
  </si>
  <si>
    <t>Rev. Vijayakumar</t>
  </si>
  <si>
    <t>02.06.1975</t>
  </si>
  <si>
    <t xml:space="preserve">
11/135, Mylapure,
Kuttathupatti [Po] – 624002,
Dindigul [Dt],
Tamilnadu.
</t>
  </si>
  <si>
    <t>Senaikalin Karthar Church</t>
  </si>
  <si>
    <t>TN0316</t>
  </si>
  <si>
    <t>Rev. G. Muthiah</t>
  </si>
  <si>
    <t>15.04.1958</t>
  </si>
  <si>
    <t>eva.muthiah@gmail.com</t>
  </si>
  <si>
    <t xml:space="preserve">
2/114, Ganesh Nagar, 5th Cross,
Ellaikudi, Kattur,
Trichy – 620019,
Tamilnadu.
</t>
  </si>
  <si>
    <t>World Missionary Evangelism Church</t>
  </si>
  <si>
    <t>TN0317</t>
  </si>
  <si>
    <t>Rev. D. Johnpaulraj</t>
  </si>
  <si>
    <t>03.07.1973</t>
  </si>
  <si>
    <t>johnpaulraj38@gmail.com</t>
  </si>
  <si>
    <t xml:space="preserve">
No.70, 7th Street, Bharathipuram, 
Thiruverambur,
Trichy – 620014,
Tamilnadu.
</t>
  </si>
  <si>
    <t>Nithiya Suvisesa Jaya Aarathanai Sabai</t>
  </si>
  <si>
    <t>TN0318</t>
  </si>
  <si>
    <t>Rev. A. Isaac</t>
  </si>
  <si>
    <t>21.05.1973</t>
  </si>
  <si>
    <t>truthisaac@gmail.com</t>
  </si>
  <si>
    <t xml:space="preserve">
No.26, Chetty Street South,
Velankanni,
Nagapattinam [Dt] – 611111,
Tamilnadu.
</t>
  </si>
  <si>
    <t>TN0319</t>
  </si>
  <si>
    <t>Rev. D. Selvaraj</t>
  </si>
  <si>
    <t>08.12.1968</t>
  </si>
  <si>
    <t xml:space="preserve">
10, Ayyanarkovil Street, 
Velankanni,
Nagapattinam [Dt] – 611111,
Tamilnadu.
</t>
  </si>
  <si>
    <t>TN0320</t>
  </si>
  <si>
    <t>Rev. D. Johnmohanraj</t>
  </si>
  <si>
    <t>13.06.1978</t>
  </si>
  <si>
    <t>TN0321</t>
  </si>
  <si>
    <t>Rev. A. Moses Joshsuva Daniel</t>
  </si>
  <si>
    <t>27.10.1987</t>
  </si>
  <si>
    <t>joshuvadaniel.tycoons@gmail.com</t>
  </si>
  <si>
    <t xml:space="preserve">13,  Balaji Nagar
Achariya Puram
Villianur-605110
Puthucherry
</t>
  </si>
  <si>
    <t>Kings Park Church</t>
  </si>
  <si>
    <t>TN0322</t>
  </si>
  <si>
    <t>Rev. C. Mariadhas</t>
  </si>
  <si>
    <t>01.01.1973</t>
  </si>
  <si>
    <t xml:space="preserve">
438, Mlamala, Puthuval -13,
Vandiperiyar – 685533, 
Idukki [Dt], Kerala State.
</t>
  </si>
  <si>
    <t>Gathsamane Prayer Ministry</t>
  </si>
  <si>
    <t>TN0323</t>
  </si>
  <si>
    <t xml:space="preserve">Rev. A. Felix  </t>
  </si>
  <si>
    <t>23.01.1988</t>
  </si>
  <si>
    <t xml:space="preserve">Jesus My Shepherd Village Ministries
Church Street, New Colony, 
Thitakudy, Maleianoor, M.Pudur, 
Kadalur [Dt] – 606108,
Tamilnadu.
</t>
  </si>
  <si>
    <t>Jesus My Shepherd Village Ministries</t>
  </si>
  <si>
    <t>TN0324</t>
  </si>
  <si>
    <t xml:space="preserve">Rev. M. Savarimuthu </t>
  </si>
  <si>
    <t>20.07.1952</t>
  </si>
  <si>
    <t xml:space="preserve">
18, New Golden Nagar, 
Near Raja Nursery Garden,
Trichy – 620007, Tamilnadu.
</t>
  </si>
  <si>
    <t>The Indian Pentecostal Church</t>
  </si>
  <si>
    <t>15.09.2016</t>
  </si>
  <si>
    <t>TN0325</t>
  </si>
  <si>
    <t xml:space="preserve">Rev. B. Simiyoun Jayaraj </t>
  </si>
  <si>
    <t>11.01.1969</t>
  </si>
  <si>
    <t xml:space="preserve">
77/17, Sarathattai Street,
Mayiladuthurai [Tk],
Nagai [Dt] -  609003,
Tamilnadu.
</t>
  </si>
  <si>
    <t>Eppiratha Prayer House</t>
  </si>
  <si>
    <t>TN0326</t>
  </si>
  <si>
    <t xml:space="preserve">Rev. C.N. Ajimon </t>
  </si>
  <si>
    <t>28.05.1985</t>
  </si>
  <si>
    <t>ajiblessingaaron@gmail.com</t>
  </si>
  <si>
    <t xml:space="preserve">
265-13-658,Sajibhavan, Aranamcode, Cheriyakonni – 695013, Aruvikkara Panchayat, Thiruvananthapuram [Dt],
Kerala.
</t>
  </si>
  <si>
    <t>Gidieon Mission Church Elshadai</t>
  </si>
  <si>
    <t>Thiruvananthapuram</t>
  </si>
  <si>
    <t>TN0327</t>
  </si>
  <si>
    <t xml:space="preserve">Rev. V. Antony </t>
  </si>
  <si>
    <t>07.09.1944</t>
  </si>
  <si>
    <t xml:space="preserve">Brotheran Church
Mahatma Gandhi Colony,
Munnar – 685612,
Idukki [Dt], Kerala.
</t>
  </si>
  <si>
    <t>Brotheran Church</t>
  </si>
  <si>
    <t>TN0328</t>
  </si>
  <si>
    <t xml:space="preserve">Rev. P. Prabu </t>
  </si>
  <si>
    <t>20.10.1972</t>
  </si>
  <si>
    <t xml:space="preserve">Jesus Miracle Ministry
Upper Suriyanalle, 185 Factory,
Suriyanalle [Po] – 685618, Idukki [Dt], 
Kerala. 
</t>
  </si>
  <si>
    <t>TN0329</t>
  </si>
  <si>
    <t xml:space="preserve">Rev. K. Vijayaraj </t>
  </si>
  <si>
    <t>14.04.1980</t>
  </si>
  <si>
    <t xml:space="preserve">World Rescue Church
Chundururai Estate, Gundallay Division,
Munnar – 685615,
Kerala.
</t>
  </si>
  <si>
    <t>World Rescue Church</t>
  </si>
  <si>
    <t>TN0330</t>
  </si>
  <si>
    <t xml:space="preserve">Rev. M. Chelladurai </t>
  </si>
  <si>
    <t>10.12.1958</t>
  </si>
  <si>
    <t xml:space="preserve">Faith Prayer Fellowship Church
Periyakanal F.P.F. Church,
Muthammal Colony, 
Chinnakanal [Po] – 685618,
Kerala. 
</t>
  </si>
  <si>
    <t>TN0331</t>
  </si>
  <si>
    <t xml:space="preserve">Rev. S. Samuel </t>
  </si>
  <si>
    <t>15.08.1958</t>
  </si>
  <si>
    <t xml:space="preserve">
No.308, Chenduvara Estate, 
East Division, Yellapetty, 
Munnar – 685615, 
Idukki [Dt], Kerala. 
</t>
  </si>
  <si>
    <t>Indian Pentecostal Church</t>
  </si>
  <si>
    <t>21.10.2017</t>
  </si>
  <si>
    <t>TN0332</t>
  </si>
  <si>
    <t xml:space="preserve">Rev. G. Devasundram </t>
  </si>
  <si>
    <t>02.06.1972</t>
  </si>
  <si>
    <t>devaz_g@yahoo.com</t>
  </si>
  <si>
    <t xml:space="preserve">
34, N.G.O.Nagar, 
Tirumangalam,
Madurai [Dt] – 625706,
Tamilnadu.
</t>
  </si>
  <si>
    <t>16.02.2016</t>
  </si>
  <si>
    <t>TN0333</t>
  </si>
  <si>
    <t xml:space="preserve">Rev. M. John </t>
  </si>
  <si>
    <t>30.03.1982</t>
  </si>
  <si>
    <t>nlcmissionindia@outlook.com</t>
  </si>
  <si>
    <t xml:space="preserve">
35, Bethania Illam,
Eliss Nagar, Kennet Road,
Madurai [Dt] – 625010, Tamilnadu.
</t>
  </si>
  <si>
    <t>New Life Christian Mission</t>
  </si>
  <si>
    <t>TN0334</t>
  </si>
  <si>
    <t>Rev. C. Kannan</t>
  </si>
  <si>
    <t>12.06.1980</t>
  </si>
  <si>
    <t>ebekannan@gmail.com</t>
  </si>
  <si>
    <t xml:space="preserve">49/1, Velar Street
Arapalayam
Madurai-625016 Tamilnadu.
</t>
  </si>
  <si>
    <t>Ark Of Jesus Christ Church</t>
  </si>
  <si>
    <t>TN0335</t>
  </si>
  <si>
    <t>Rev. P. Kalirajan</t>
  </si>
  <si>
    <t>02.05.1981</t>
  </si>
  <si>
    <t>neorajan1@gmail.com</t>
  </si>
  <si>
    <t xml:space="preserve">1/163, North Street
Thachampathu,
 Thiruvedagam [Po]-625234
Madurai [Dt] Tamilnadu.
</t>
  </si>
  <si>
    <t>TN0336</t>
  </si>
  <si>
    <t xml:space="preserve">Rev. K.S. Vincent </t>
  </si>
  <si>
    <t>13.05.1968</t>
  </si>
  <si>
    <t>ksvincenthgm@gmail.com</t>
  </si>
  <si>
    <t xml:space="preserve">H.G.M.Worship Center
Prathyasa Bhavan,
Mulayara [Po] – 695543,
Thiruvananthapuram [Dt], Kerala.
</t>
  </si>
  <si>
    <t>H.G.M.Worship Center</t>
  </si>
  <si>
    <t>TN0337</t>
  </si>
  <si>
    <t xml:space="preserve">Rev. A. Muthamizh Selvan </t>
  </si>
  <si>
    <t>15.03.1979</t>
  </si>
  <si>
    <t xml:space="preserve">
5/473a, Thideer Nagar,
Valavanthan Kottai [Po] – 620015,
Trichy [Dt],
Tamilnadu.
</t>
  </si>
  <si>
    <t>Great Light Ministries</t>
  </si>
  <si>
    <t>TN0338</t>
  </si>
  <si>
    <t xml:space="preserve">Rev. R. Israel Anand </t>
  </si>
  <si>
    <t>24.04.1984</t>
  </si>
  <si>
    <t>israelanand@gmail.com</t>
  </si>
  <si>
    <t xml:space="preserve">
No.1E, Kurinji Street,
Indira Nagar, Malaikovil South,
Trichy – 620013,
Tamilnadu. 
</t>
  </si>
  <si>
    <t>Two Edged Sword Ministries</t>
  </si>
  <si>
    <t>TN0339</t>
  </si>
  <si>
    <t xml:space="preserve">Rev. R. Ramesh Babu </t>
  </si>
  <si>
    <t>20.04.1979</t>
  </si>
  <si>
    <t>ani20ramesh@gmail.com</t>
  </si>
  <si>
    <t xml:space="preserve">
9 - 52, Ulakkanvilai, Melmidalam,
Udayamarthandam,
Kanyakumari [Dt] – 629178,
Tamilnadu. 
</t>
  </si>
  <si>
    <t>Church Of Living Christ</t>
  </si>
  <si>
    <t>TN0340</t>
  </si>
  <si>
    <t xml:space="preserve">Rev. M. Sahaya Robin Jackson </t>
  </si>
  <si>
    <t>31.03.1985</t>
  </si>
  <si>
    <t xml:space="preserve">
1-338, John Paul Street,
Kadiyapattanam, Muttam,Kalkulam,
Kanyakumari [Dt] – 629253,
Tamilnadu. 
</t>
  </si>
  <si>
    <t>TN0341</t>
  </si>
  <si>
    <t xml:space="preserve">Rev. A. Antony Raj </t>
  </si>
  <si>
    <t>27.02.1984</t>
  </si>
  <si>
    <t xml:space="preserve">
9/21, Kodimunai [Po] – 629251,
Anbiyam – 6,
Kanyakumari [Dt],
Tamilnadu. 
</t>
  </si>
  <si>
    <t>Ecclesia Church</t>
  </si>
  <si>
    <t>TN0342</t>
  </si>
  <si>
    <t xml:space="preserve">Rev. B. Thanaseelan </t>
  </si>
  <si>
    <t>20.05.1982</t>
  </si>
  <si>
    <t xml:space="preserve">
17-111, Erayumanthurai Vadakku,
Ezhuthesam, Thuthoor,
Kanyakumari [Dt] – 629176,
Tamilnadu. 
</t>
  </si>
  <si>
    <t>TN0343</t>
  </si>
  <si>
    <t xml:space="preserve">Rev. A. Luckas  </t>
  </si>
  <si>
    <t>14.02.1968</t>
  </si>
  <si>
    <t>revluckas@gmail.com</t>
  </si>
  <si>
    <t xml:space="preserve">
236/4, Kannimar Kovil Street,Ezhil Nagar, Iv Th Street,
Trichy - 620014, Tamilnadu. 
</t>
  </si>
  <si>
    <t>Ebenezer Prayer Centre</t>
  </si>
  <si>
    <t>TN0344</t>
  </si>
  <si>
    <t>Rev. B. Daniel Rajarathinam</t>
  </si>
  <si>
    <t>26.09.1975</t>
  </si>
  <si>
    <t>danielraj2014@gmail.com</t>
  </si>
  <si>
    <t xml:space="preserve">Nithiya Suvisesa Jaya Aarathanai Sabai,
West Railway Gate,
Vivekanathar Nagar,Parvathipuram,
Vadalur-607303,Cuddalore [Dt],
</t>
  </si>
  <si>
    <t>TN0345</t>
  </si>
  <si>
    <t xml:space="preserve">Rev. S. Anbazhagan  </t>
  </si>
  <si>
    <t>21.01.1986</t>
  </si>
  <si>
    <t>pastor.anbalagan@gmail.com</t>
  </si>
  <si>
    <t xml:space="preserve">
Plot No.13, Spt Nagar, Musiri Road,
Thurayur - 621010, 
Tiruchirapalli [Dt], Tamilnadu.
</t>
  </si>
  <si>
    <t>TN0346</t>
  </si>
  <si>
    <t xml:space="preserve">Rev. M. Amaladass </t>
  </si>
  <si>
    <t>Rev. A. Paul Timothy</t>
  </si>
  <si>
    <t>23.12.1947</t>
  </si>
  <si>
    <t xml:space="preserve">
No.5/35, Pillaiyar Kovil Street, 
Vengandhur [Po] – 605402,
Villupuram [Dt], 
Tamilnadu.
</t>
  </si>
  <si>
    <t>Ratchagar Yesu Christhu Veedu</t>
  </si>
  <si>
    <t>TN0347</t>
  </si>
  <si>
    <t xml:space="preserve">Rev. S. Chinnathambi </t>
  </si>
  <si>
    <t>09.05.1958</t>
  </si>
  <si>
    <t xml:space="preserve">
No.65, Church Street,
Cumbam [Po] – 625516,
Uthamapalayam [Tk], Theni [Dt], Tamilnadu. 
</t>
  </si>
  <si>
    <t xml:space="preserve">Church Of Holy Spirit </t>
  </si>
  <si>
    <t>11.05.2015 O6</t>
  </si>
  <si>
    <t>In active     Not in use</t>
  </si>
  <si>
    <t>TN0348</t>
  </si>
  <si>
    <t xml:space="preserve">Rev. J. Thirugnanamani </t>
  </si>
  <si>
    <t>15.03.1956</t>
  </si>
  <si>
    <t xml:space="preserve">             
W5.No.43, AM Church Street,
Gudalur [Po] – 625518,
Uthamapalayam [Tk], Theni [Dt], Tamilnadu.
</t>
  </si>
  <si>
    <t xml:space="preserve">Blessing Prophet Church    </t>
  </si>
  <si>
    <t>TN0349</t>
  </si>
  <si>
    <t>Rev. N. Timothy @ Senthilkumar</t>
  </si>
  <si>
    <t>Teacher</t>
  </si>
  <si>
    <t>16.07.1983</t>
  </si>
  <si>
    <t xml:space="preserve">
1/118, Manickavasakar Nagar, T.Kottai, 
Thiruvathavur [Po] – 625110,
Melur [Tk], Madurai [Dt], Tamilnadu. 
</t>
  </si>
  <si>
    <t>Grace Berean Church</t>
  </si>
  <si>
    <t>TN0350</t>
  </si>
  <si>
    <t xml:space="preserve">Rev. Rev. R. Jackson  </t>
  </si>
  <si>
    <t>01.02.1977</t>
  </si>
  <si>
    <t xml:space="preserve">
15/2/1, Perumalkovil Street,
B.Meenashipuram [Po] – 625582,
Bodinayakanur [Tk], Theni [Dt], Tamilnadu.
</t>
  </si>
  <si>
    <t>International Gospel Church</t>
  </si>
  <si>
    <t>TN0351</t>
  </si>
  <si>
    <t>Rev. KA.Selvaraj</t>
  </si>
  <si>
    <t>Rev. A. Arul</t>
  </si>
  <si>
    <t>22.05.1963</t>
  </si>
  <si>
    <t xml:space="preserve">
3/182A , Thuvarachan vilai,  Vanniyoor (Po) – 629163,
Vilancode,Kanniyakumari(Dt),
Tamilnadu.
</t>
  </si>
  <si>
    <t>New Life Bethel Assembly Church</t>
  </si>
  <si>
    <t>TN0352</t>
  </si>
  <si>
    <t>Rev. Y. Varghese</t>
  </si>
  <si>
    <t>08.06.1966</t>
  </si>
  <si>
    <t xml:space="preserve">
6/5, Ambethkar  Street
Panagudi (Po) -627 109,
Rathapuram [Tk],Tirunelveli [Dt],
Tamilnadu.
</t>
  </si>
  <si>
    <t>Indian Glory Mission</t>
  </si>
  <si>
    <t>TN0353</t>
  </si>
  <si>
    <t>Rev. Murugesan @ R. Abraham</t>
  </si>
  <si>
    <t>25.02.1959</t>
  </si>
  <si>
    <t xml:space="preserve">
109/121, West Street, Ganeshapuram, 
Nagercoil [Po] -629 001
Agestieswaram (Tk), Kanniyakumari (Dt), Tamilnadu. </t>
  </si>
  <si>
    <t>Bethlehem Church</t>
  </si>
  <si>
    <t>TN0354</t>
  </si>
  <si>
    <t>Rev. D. Joseph Martin</t>
  </si>
  <si>
    <t>10.04.1970</t>
  </si>
  <si>
    <t xml:space="preserve">
8/89,  Thantrel Nagar 1st  street,
Erachakulam (Po) - 629 902,
Thovalai (Tk), Kanniyakumari (Dt),
Tamilnadu.
</t>
  </si>
  <si>
    <t>Bethani Gospel Mission</t>
  </si>
  <si>
    <t>TN0355</t>
  </si>
  <si>
    <t>Rev. V. Rajendran</t>
  </si>
  <si>
    <t>10.07.1961</t>
  </si>
  <si>
    <t>gracerevival23@gmail.com</t>
  </si>
  <si>
    <t xml:space="preserve">
19, Kannimarmettu Street,
Vadasery, Nagercoil [Po] - 629 001,
Agestieswaram (Tk),
Kanniyakumari (Dt), Tamilnadu.
</t>
  </si>
  <si>
    <t>Oby Grace Church</t>
  </si>
  <si>
    <t>TN0356</t>
  </si>
  <si>
    <t>Rev. S. Shaji</t>
  </si>
  <si>
    <t>28.11.1982</t>
  </si>
  <si>
    <t>shaji4141@gmail.com</t>
  </si>
  <si>
    <t xml:space="preserve">
13-82,Ponniyakulam,
Pechipparai (Po), -629 902
Kalkulam (Tk),
Kanniyakumari (Dt) Tamilnadu.
</t>
  </si>
  <si>
    <t>Good News Church</t>
  </si>
  <si>
    <t>TN0357</t>
  </si>
  <si>
    <t xml:space="preserve">Rev. J. Rajam </t>
  </si>
  <si>
    <t>08.04.1961</t>
  </si>
  <si>
    <t xml:space="preserve">Kalvari  Church
Mount Estate (Po) – 685533,
VandiPeriyar,Beermadu (Tk),
Idukki (Dt), Kerala State.
</t>
  </si>
  <si>
    <t>Kalvari  Church</t>
  </si>
  <si>
    <t>19.04.2019</t>
  </si>
  <si>
    <t>TN0358</t>
  </si>
  <si>
    <t xml:space="preserve">Rev. M. Arul Prakash </t>
  </si>
  <si>
    <t>18.10.1973</t>
  </si>
  <si>
    <t xml:space="preserve">
6-101H, Ezhil Thirumanamadapam 
Compound, Villukuri [Po] – 629180,
Kalkulam [Tk],
Kanniyakumari [Dt], Tamilnadu.
</t>
  </si>
  <si>
    <t>Rehoboth Faith Prayer Ministry</t>
  </si>
  <si>
    <t>TN0359</t>
  </si>
  <si>
    <t xml:space="preserve">Rev. G. Victor Sam </t>
  </si>
  <si>
    <t>20.06.1974</t>
  </si>
  <si>
    <t xml:space="preserve">
4-12, Atchenkulam,
Kottaram [Po] – 629703,
Agesteeswaram, 
Kanniyakumari [Dt], Tamilnadu.
</t>
  </si>
  <si>
    <t>Missionvilai Church</t>
  </si>
  <si>
    <t>TN0360</t>
  </si>
  <si>
    <t>Rev. S. Alwin</t>
  </si>
  <si>
    <t>07.01.1989</t>
  </si>
  <si>
    <t>alwinsimson4christ@gmail.com</t>
  </si>
  <si>
    <t xml:space="preserve">
19/450, 58th Mile,
Vandiperiyar [Po] – 685533,
Peermede, Idukki [dt], Kerala.
</t>
  </si>
  <si>
    <t>Jesus  Is The Way Ministries</t>
  </si>
  <si>
    <t>TN0361</t>
  </si>
  <si>
    <t>Rev. A. Austin Saju</t>
  </si>
  <si>
    <t>Rev. S. Baisil</t>
  </si>
  <si>
    <t>03.04.1991</t>
  </si>
  <si>
    <t xml:space="preserve">
1-103D, 
Chekkuttuvillai Village – 629177,
Kalkulam [Tk], Kanniyakumari [Dt], Tamilnadu.
</t>
  </si>
  <si>
    <t>TN0362</t>
  </si>
  <si>
    <t>Rev. Y. Albert</t>
  </si>
  <si>
    <t>02.05.1975</t>
  </si>
  <si>
    <t>albert1975@gmail.com</t>
  </si>
  <si>
    <t xml:space="preserve">
181, Thachoor Village – 629177,
Kalkulam [Tk], Kanniyakumari [Dt],
Tamilnadu.
</t>
  </si>
  <si>
    <t>Jesus Loves AG Church</t>
  </si>
  <si>
    <t>TN0363</t>
  </si>
  <si>
    <t>Rev. T. David</t>
  </si>
  <si>
    <t>27.03.1968</t>
  </si>
  <si>
    <t>davidjeba@gmail.com</t>
  </si>
  <si>
    <t xml:space="preserve">
4-5-416, Andoor,
Vendalicode [Po] – 629161,
Kalkulam [Tk], Kanniyakumari [Dt],
Tamilnadu.
</t>
  </si>
  <si>
    <t>Word Of God Church</t>
  </si>
  <si>
    <t>74 55264318</t>
  </si>
  <si>
    <t>TN0364</t>
  </si>
  <si>
    <t>Rev. A. Melhan Raja</t>
  </si>
  <si>
    <t>04.06.1981</t>
  </si>
  <si>
    <t xml:space="preserve">
6-109, Kanavoor, Kuzhivilai,
Udayamarthandam,Vilavancode,
Kanniyakumari [Dt] – 629178,
Tamilnadu.
</t>
  </si>
  <si>
    <t>TN0365</t>
  </si>
  <si>
    <t>Rev. V. Shaji Benjamin</t>
  </si>
  <si>
    <t>30.05.1990</t>
  </si>
  <si>
    <t>shajibenjamin32@gmail.com</t>
  </si>
  <si>
    <t xml:space="preserve">1/107, Vaikkappadappu
Keelaomanalloor-627356
PalayamkottaiTrinelveli[Dt]
Tamilnadu.
</t>
  </si>
  <si>
    <t>TN0366</t>
  </si>
  <si>
    <t>Rev. Y. Kumar</t>
  </si>
  <si>
    <t>10.06.1972</t>
  </si>
  <si>
    <t xml:space="preserve">1-181, Eraiyankottuvilai
Thachoor-629177 
Kanyakumari [Dt]
Tamilnadu.
</t>
  </si>
  <si>
    <t>Shekinah AG Church</t>
  </si>
  <si>
    <t>TN0367</t>
  </si>
  <si>
    <t>Rev. L. Jose Sahaya Benitro</t>
  </si>
  <si>
    <t>25.03.1973</t>
  </si>
  <si>
    <t xml:space="preserve">
258,Anbiyam,Kodimunai, Kalkulam(TK),
Kanniyakumari [Dt] - 629251
Tamilnadu.
</t>
  </si>
  <si>
    <t>Revival living water ministries</t>
  </si>
  <si>
    <t>TN0368</t>
  </si>
  <si>
    <t>Rev. C. John Subar Singh</t>
  </si>
  <si>
    <t>10.05.1976</t>
  </si>
  <si>
    <t xml:space="preserve">9/10 B, Palla Vilai
Melmidalam-629152
Vilavancode, Kanniyakumari[Dt]
Tamilnadu.
</t>
  </si>
  <si>
    <t>Jesus Living Church</t>
  </si>
  <si>
    <t>21.09.2021</t>
  </si>
  <si>
    <t>TN0369</t>
  </si>
  <si>
    <t>Rev. R. Devasagayam</t>
  </si>
  <si>
    <t>29.03.1968</t>
  </si>
  <si>
    <t xml:space="preserve">
22, Mohamadshapuram, 6th Street,
Tirumangalam [Tk],
Madurai [Dt] – 625706, Tamilnadu.
</t>
  </si>
  <si>
    <t>Faith Word Assembly</t>
  </si>
  <si>
    <t>TN0370</t>
  </si>
  <si>
    <t>Rev. R. Manokaran</t>
  </si>
  <si>
    <t>30.01.1964</t>
  </si>
  <si>
    <t xml:space="preserve">3/57/1, Gandhi Nagar
Uchapatti,kappalur-625008
Thirumangalam, Madurai[Dt]
</t>
  </si>
  <si>
    <t>Miracle Prayer House</t>
  </si>
  <si>
    <t>TN0371</t>
  </si>
  <si>
    <t>Rev. S. Samuel</t>
  </si>
  <si>
    <t>19.04.1959</t>
  </si>
  <si>
    <t xml:space="preserve">
65/277, Rajaji Street,
Tirumangalam [Tk],
Madurai [Dt] – 625706, Tamilnadu.
</t>
  </si>
  <si>
    <t>Glorious Revival Church</t>
  </si>
  <si>
    <t>TN0372</t>
  </si>
  <si>
    <t>Rev. R.Yabhase Jebaraj</t>
  </si>
  <si>
    <t>Rev. Laxman Lazarus</t>
  </si>
  <si>
    <t>10.06.1984</t>
  </si>
  <si>
    <t>pastoryabhase@gmail.com</t>
  </si>
  <si>
    <t xml:space="preserve">516E, Om Shakthi Nagar
Vengikkal-606604
Thiruvannamalai [Dt], Tamilnadu.
</t>
  </si>
  <si>
    <t>Rehoboth Revival Prayer Center</t>
  </si>
  <si>
    <t>TN0373</t>
  </si>
  <si>
    <t xml:space="preserve">Rev. C. Paul </t>
  </si>
  <si>
    <t>13.12.1970</t>
  </si>
  <si>
    <t xml:space="preserve">
8-15-1, Nethaji Road,
Satyavedu,Chittoor [Po]- 517588
Andrapradesh.
</t>
  </si>
  <si>
    <t>Mount Zion Pentecostal Church</t>
  </si>
  <si>
    <t>Chitoor</t>
  </si>
  <si>
    <t>Andhra Pradesh</t>
  </si>
  <si>
    <t>06.06.2017</t>
  </si>
  <si>
    <t>14.03.2023</t>
  </si>
  <si>
    <t>TN0374</t>
  </si>
  <si>
    <t>Rev. G. Udhayakumar @ Alphonse</t>
  </si>
  <si>
    <t>10.05.1985</t>
  </si>
  <si>
    <t xml:space="preserve">62/3, Povarasampoo Street
Araneri-602106
SriperumbudurKanchipuram[Dt]
Tamilnadu. 
</t>
  </si>
  <si>
    <t>Cepha Prayer House</t>
  </si>
  <si>
    <t>TN0375</t>
  </si>
  <si>
    <t>Rev. E. Zeon Jabakumar</t>
  </si>
  <si>
    <t>15.11.1988</t>
  </si>
  <si>
    <t>zion4maranatha@gmail.com</t>
  </si>
  <si>
    <t xml:space="preserve">
3/1194,Thiruvalluvar Street,
Molachur Village Sungarchairam,
Sriperumbudur (Tk), Kanchipuram (Dt) – 600056
Tamilnadu.
</t>
  </si>
  <si>
    <t>Maranatha Prayer House</t>
  </si>
  <si>
    <t>TN0376</t>
  </si>
  <si>
    <t>Rev. M. Joseph</t>
  </si>
  <si>
    <t>09.08.1956</t>
  </si>
  <si>
    <t xml:space="preserve">
10/5,Rani Anna Nagar Street,
K.K.nagar, Chennai – 600078
Tamilnadu.
</t>
  </si>
  <si>
    <t>TN0377</t>
  </si>
  <si>
    <t>Rev. A. Abragam @ Loganathan</t>
  </si>
  <si>
    <t>13.09.1961</t>
  </si>
  <si>
    <t xml:space="preserve">
No:2, Kelanda Street,
Thenneri [Po] – 631604,
Kanchipuram (Dt), 
Tamilnadu.
</t>
  </si>
  <si>
    <t>Jesus Gospel Prayer House</t>
  </si>
  <si>
    <t>TN0378</t>
  </si>
  <si>
    <t>Rev. V. Joshva Suresh @ Suresh</t>
  </si>
  <si>
    <t>04.04.1988</t>
  </si>
  <si>
    <t xml:space="preserve">
15/12, Kottavakkam Street,
Vellariammankoil Street,
Kanchipuram (DT) – 631605
Tamilnadu.
</t>
  </si>
  <si>
    <t>Ealim Zion Church</t>
  </si>
  <si>
    <t>TN0379</t>
  </si>
  <si>
    <t xml:space="preserve">Rev. J. Inbaraj </t>
  </si>
  <si>
    <t>02.06.1980</t>
  </si>
  <si>
    <t xml:space="preserve">
New No.360, College Road,
Tiruppur [Tk],
Coimbatore [Dt] – 641602,
Tamilnadu.
</t>
  </si>
  <si>
    <t>Gate Of  Glory Prayer House</t>
  </si>
  <si>
    <t>TN0380</t>
  </si>
  <si>
    <t>Rev. C. Peter @ Settu</t>
  </si>
  <si>
    <t>05.04.1988</t>
  </si>
  <si>
    <t xml:space="preserve">
2-379/NA, Bajanai Koil Street,
Athivaragapura [Po] – 631303,
Pallipat (Tk), Thiruvalloor (Dt),
Tamil Nadu.
</t>
  </si>
  <si>
    <t>Thiruvallur</t>
  </si>
  <si>
    <t>TN0381</t>
  </si>
  <si>
    <t>Rev. A. Stephen @ Krishnasamy</t>
  </si>
  <si>
    <t>07.06.1969</t>
  </si>
  <si>
    <t xml:space="preserve">
11/21, V.N.Perumal street,
Little Kanchipuram,
Kanchipuram (Dt) – 631501
Tamilnadu.
</t>
  </si>
  <si>
    <t>Magathuvamana Yesuraja Sabai</t>
  </si>
  <si>
    <t>TN0382</t>
  </si>
  <si>
    <t>Rev. Anbuyesayya</t>
  </si>
  <si>
    <t>15.05.1969</t>
  </si>
  <si>
    <t xml:space="preserve">Judha Jeba Veedu
South Division Chokanad Estate,
Kannandevan Hills, Munnar(TK), 
Idukki (DT) – 685612
Kerala. 
</t>
  </si>
  <si>
    <t>Judha Jeba Veedu</t>
  </si>
  <si>
    <t>TN0383</t>
  </si>
  <si>
    <t>Rev. J. Simeon @ Jayakumar</t>
  </si>
  <si>
    <t>03.09.1990</t>
  </si>
  <si>
    <t xml:space="preserve">
No:46/2, Vengadesapalayam,
Thumbavanam Road,
Kanchipuram(DT) – 631501,
Tamilnadu.
</t>
  </si>
  <si>
    <t>Lord Jesus Prayer House</t>
  </si>
  <si>
    <t>TN0384</t>
  </si>
  <si>
    <t>Rev. S. Paul Shankar @ Ayyappan</t>
  </si>
  <si>
    <t>02.05.1977</t>
  </si>
  <si>
    <t xml:space="preserve">
1/265B, East PondyRoad,
Koilyanur [Po] – 605103,
Villupuram [Dt], Tamilnadu.
</t>
  </si>
  <si>
    <t>Trinity Pentecostal Assembly</t>
  </si>
  <si>
    <t>TN0385</t>
  </si>
  <si>
    <t>Rev. A. Shadrach @ Sagadevan</t>
  </si>
  <si>
    <t>03.06.1966</t>
  </si>
  <si>
    <t xml:space="preserve">
3/229, S.K.M.Kovil Street,
Sennagunam [Po] – 605755,
Trikovilur [Tk], Villupuram [Dt], Tamilnadu. 
</t>
  </si>
  <si>
    <t>Jeevanulla Devan Church</t>
  </si>
  <si>
    <t>TN0386</t>
  </si>
  <si>
    <t>Rev. A. Anthonisamy</t>
  </si>
  <si>
    <t>13.04.1965</t>
  </si>
  <si>
    <t xml:space="preserve">
No.1, 4th Cross Street,
Pudhu Nagar, Thengaithittu,
Puducherry – 605004
</t>
  </si>
  <si>
    <t>Nalla Meippan Apostolic Faith Church</t>
  </si>
  <si>
    <t>TN0387</t>
  </si>
  <si>
    <t>Rev. N. Abraham @ Jaganathan</t>
  </si>
  <si>
    <t>28.08.1985</t>
  </si>
  <si>
    <t xml:space="preserve">
16, Ambedkar Street,
Vadhanur [Po] – 605501,
Puducherry.
</t>
  </si>
  <si>
    <t>Jeeva Ootru TPA Church</t>
  </si>
  <si>
    <t>TN0388</t>
  </si>
  <si>
    <t>Rev. R. Arunachalam @ Joseph</t>
  </si>
  <si>
    <t>13.05.1979</t>
  </si>
  <si>
    <t xml:space="preserve">
1, Mariyamman Kovil Street,
Thirasu, Panruti [Tk],
Cuddalore [Dt] – 607205,
Tamilnadu.
</t>
  </si>
  <si>
    <t>Trinity Penticostal  Assembly</t>
  </si>
  <si>
    <t>TN0389</t>
  </si>
  <si>
    <t xml:space="preserve">Rev. S. Santha Selvamoni </t>
  </si>
  <si>
    <t>03.05.1963</t>
  </si>
  <si>
    <t>devakirubai1963@gmail.com</t>
  </si>
  <si>
    <t xml:space="preserve">
No:115,Mariamman Koil Street,
Vippedu Village,
Kanchipuram(Dt) – 631502
Tamilnadu.
</t>
  </si>
  <si>
    <t>God’s Grace Miracle Ministries</t>
  </si>
  <si>
    <t>TN0390</t>
  </si>
  <si>
    <t>Rev. A. Stephen</t>
  </si>
  <si>
    <t>15.05.1985</t>
  </si>
  <si>
    <t>stephenyudha2012@gmail.com</t>
  </si>
  <si>
    <t xml:space="preserve">
No:17,Sannaithe street,
Pudupalayam [Po] , Cheyar(TK),
Thiruvannamalai(DT) – 631702
Tamilnadu.
</t>
  </si>
  <si>
    <t>Salem Zion Church</t>
  </si>
  <si>
    <t>TN0391</t>
  </si>
  <si>
    <t>Rev. P. Daniel</t>
  </si>
  <si>
    <t>15.07.1967</t>
  </si>
  <si>
    <t xml:space="preserve">
27/9B,Metupalayam street,
Chenna Kanchipuram,
Kanchipuram (Dt) – 631501
Tamilnadu.
</t>
  </si>
  <si>
    <t>Ebiron Prayer House</t>
  </si>
  <si>
    <t>TN0392</t>
  </si>
  <si>
    <t>Rev. G. Solomon @ Saravanan</t>
  </si>
  <si>
    <t>10.07.1974</t>
  </si>
  <si>
    <t>gpfchurch5@gmail.com</t>
  </si>
  <si>
    <t xml:space="preserve">
No.88, Kallanguthu Street,
Thirumukudal Village,Uthiramerur,
Kanchipuram (Dt) – 631606
Tamilnadu.
</t>
  </si>
  <si>
    <t>29.06.2019</t>
  </si>
  <si>
    <t>TN0393</t>
  </si>
  <si>
    <t xml:space="preserve">Rev. C. Karthikstephen  </t>
  </si>
  <si>
    <t>20.07.1987</t>
  </si>
  <si>
    <t>karthikstephens@gmail.com</t>
  </si>
  <si>
    <t xml:space="preserve">
1/1989, Chakkadevi Street,
Pandian Nagar,
Virudhunagar [Dt] – 626001,
Tamilnadu.
</t>
  </si>
  <si>
    <t>In the Way Of  Life Church</t>
  </si>
  <si>
    <t>16.10.2015 O7</t>
  </si>
  <si>
    <t>TN0394</t>
  </si>
  <si>
    <t xml:space="preserve">Rev. M. Mahimaraja </t>
  </si>
  <si>
    <t>missionaryspiritblb@gmail.com</t>
  </si>
  <si>
    <t xml:space="preserve">
6083-A, 
Housing Board Colony Sector-3,
Ballabgarh, 
Faridabad [Dt] – 121004, Haryana.
</t>
  </si>
  <si>
    <t>In The Footsteps Of Christ Church</t>
  </si>
  <si>
    <t>Faridabad</t>
  </si>
  <si>
    <t>Haryana</t>
  </si>
  <si>
    <t>01.11.2016</t>
  </si>
  <si>
    <t>TN0395</t>
  </si>
  <si>
    <t xml:space="preserve">Rev. J. Francis Xavier </t>
  </si>
  <si>
    <t>22.05.1961</t>
  </si>
  <si>
    <t xml:space="preserve">
11, Thiru.V.Ka.Street,
Ponmalai Patti,
Trichy [Dt] – 620004, Tamilnadu.
</t>
  </si>
  <si>
    <t>House Of Jesus Ministries</t>
  </si>
  <si>
    <t>TN0396</t>
  </si>
  <si>
    <t xml:space="preserve">Rev. D. Robert Lawrence </t>
  </si>
  <si>
    <t xml:space="preserve">
3/329, 2nd Street, Thirunagar,
North Kattur,Trichy [Dt] – 620019,
Tamilnadu.
</t>
  </si>
  <si>
    <t>Vinnahathoothu Jesus Comes Good News Prayer Ministries</t>
  </si>
  <si>
    <t>TN0397</t>
  </si>
  <si>
    <t>24.11.1936</t>
  </si>
  <si>
    <t xml:space="preserve">
15, Thiru.V.Ka.Street,
Ponmalai Patti,
Trichy [Dt] – 620004, Tamilnadu.
</t>
  </si>
  <si>
    <t>Jesus Deliverance Ministries</t>
  </si>
  <si>
    <t>TN0398</t>
  </si>
  <si>
    <t xml:space="preserve">Rev. K. Paul </t>
  </si>
  <si>
    <t xml:space="preserve">
No. 16, Gandhi Street, Anbu Nagar, Vandalore [Po] – 600048,
New Perungalathur, Chennai [Dt],
Tamilnadu.
</t>
  </si>
  <si>
    <t>Host Of Heaven Church</t>
  </si>
  <si>
    <t>TN0399</t>
  </si>
  <si>
    <t xml:space="preserve">Rev. N. John </t>
  </si>
  <si>
    <t>10.10.1954</t>
  </si>
  <si>
    <t xml:space="preserve">
No. 5, Navab Tottam,  Nesavalar Colony,
Woraiyur, Trichy [Dt] – 620003,
Tamilnadu.
</t>
  </si>
  <si>
    <t>TN0400</t>
  </si>
  <si>
    <t>Rev. M. Jenitta</t>
  </si>
  <si>
    <t>27.07.1986</t>
  </si>
  <si>
    <t xml:space="preserve">85,West Street,
Ampathumelnaharam-613101
Thiruvaiyaru[Tk]
Thanjore [Dt], Tamilnadu.
</t>
  </si>
  <si>
    <t>TN0401</t>
  </si>
  <si>
    <t xml:space="preserve">Rev. C. Suresh </t>
  </si>
  <si>
    <t>samcsuresh@rediffmail.com</t>
  </si>
  <si>
    <t xml:space="preserve">
# 183, Gandhipuram 3rd Cross,
Temple Street, Whitefield,
Bangalore – 560066,
Karnataka State.
</t>
  </si>
  <si>
    <t xml:space="preserve">Good Shepherd Church Of God </t>
  </si>
  <si>
    <t>TN0402</t>
  </si>
  <si>
    <t xml:space="preserve">Rev. P. Ananth  </t>
  </si>
  <si>
    <t>12.03.1984</t>
  </si>
  <si>
    <t xml:space="preserve">
A2/160, Township, Kailasapuram,
Thiruverumbur [Tk], 
Trichy [Dt] – 620014,
Tamilnadu.
</t>
  </si>
  <si>
    <t>Peniel Ministries</t>
  </si>
  <si>
    <t>TN0403</t>
  </si>
  <si>
    <t xml:space="preserve">Rev. W. Joy Amala Prabhu </t>
  </si>
  <si>
    <t>02.10.1983</t>
  </si>
  <si>
    <t xml:space="preserve">
21,22, 3rd Street, Sanjeevi Nagar, 
Anaiyur, 
Madurai [Dt] – 625017,
Tamilnadu.
</t>
  </si>
  <si>
    <t>Church Of  Revival Praise Worship</t>
  </si>
  <si>
    <t>TN0404</t>
  </si>
  <si>
    <t xml:space="preserve">Rev. J.P. Joni Edwin Raj </t>
  </si>
  <si>
    <t>15.05.1972</t>
  </si>
  <si>
    <t xml:space="preserve">
12/47/A1, Mannarvilai Veedu,
Trituapuram, (po), Vilavancode, 
Kanniyakumari [Dt] – 629163,
Tamilnadu.
</t>
  </si>
  <si>
    <t>Church Of  Holy Sprit</t>
  </si>
  <si>
    <t>24.04.2018</t>
  </si>
  <si>
    <t>19.02.2019</t>
  </si>
  <si>
    <t>TN0405</t>
  </si>
  <si>
    <t>Rev. K. Shoba</t>
  </si>
  <si>
    <t>24.10.1983</t>
  </si>
  <si>
    <t xml:space="preserve">
12/47/A1, Mannarvilai Veedu,
Trituapuram,Vilavancode, 
Kanniyakumari [Dt] – 629163,
Tamilnadu.
</t>
  </si>
  <si>
    <t>TN0406</t>
  </si>
  <si>
    <t>Rev. Y. Blessy Joy</t>
  </si>
  <si>
    <t>19.01.1986</t>
  </si>
  <si>
    <t>ajithkblessy@gmail.com</t>
  </si>
  <si>
    <t xml:space="preserve">Hebron Church
Mulakupotta,Udiyankulangara,
Neyattinkara,
Tiruvananthapuram [Dt] – 695122,
Kerala.
</t>
  </si>
  <si>
    <t>Hebron Church</t>
  </si>
  <si>
    <t>TN0407</t>
  </si>
  <si>
    <t xml:space="preserve">Rev. K. Ajith </t>
  </si>
  <si>
    <t>15.06.1982</t>
  </si>
  <si>
    <t>TN0408</t>
  </si>
  <si>
    <t xml:space="preserve">Rev. Aby  P. Thomas  </t>
  </si>
  <si>
    <t xml:space="preserve">
297/2, Kallarschoolpinpuram,
K.M.Patty, Uthamapalayam [Tk],
Theni [Dt] – 625530, Tamilnadu.
</t>
  </si>
  <si>
    <t>Apostolic Faith Mission Church</t>
  </si>
  <si>
    <t>Active      Not in use</t>
  </si>
  <si>
    <t>TN0409</t>
  </si>
  <si>
    <t xml:space="preserve">Rev. D. Samuel </t>
  </si>
  <si>
    <t>09.07.1985</t>
  </si>
  <si>
    <t>sdsamuel111@gmail.com</t>
  </si>
  <si>
    <t xml:space="preserve">
98, North C.A.R.Street, Keeranur,
Kulathur [Tk], 
Pudukkottai [Dt] – 622502,
Tamilnadu.
</t>
  </si>
  <si>
    <t>Jesus Lives Church</t>
  </si>
  <si>
    <t>TN0410</t>
  </si>
  <si>
    <t>Rev. V. Dorairaj Mathew</t>
  </si>
  <si>
    <t>13.11.1953</t>
  </si>
  <si>
    <t xml:space="preserve">
54 A, Nadakottai Road,
Koniyampatti [Po] – 624220,
Nilakkottai [Tk],Dindigul [Dt],
Tamilnadu.
</t>
  </si>
  <si>
    <t>Blessing Prayer Church</t>
  </si>
  <si>
    <t>TN0411</t>
  </si>
  <si>
    <t xml:space="preserve">Rev. M. Henry Selvaraj </t>
  </si>
  <si>
    <t>01.01.1953</t>
  </si>
  <si>
    <t>truthbeforegod@gmail.com</t>
  </si>
  <si>
    <t xml:space="preserve">Revival Fire Church
331, Kavibharathi Nagar,
Udaiyanpatti, K.K.Nagar,
Trichy – 620021,
Tamilnadu.
</t>
  </si>
  <si>
    <t>Revival Fire Church</t>
  </si>
  <si>
    <t>TN0412</t>
  </si>
  <si>
    <t>Rev. Arockiya selvi Henry Selvaraj</t>
  </si>
  <si>
    <t>09.02.1955</t>
  </si>
  <si>
    <t xml:space="preserve">
331, Kavibharathi Nagar,
Udaiyanpatti, K.K.Nagar,
Trichy – 620021,
Tamilnadu.
</t>
  </si>
  <si>
    <t>TN0413</t>
  </si>
  <si>
    <t xml:space="preserve">Rev. S. Anand </t>
  </si>
  <si>
    <t>Rev. S. Stephen Nagappan</t>
  </si>
  <si>
    <t>01.05.1973</t>
  </si>
  <si>
    <t>Creator2012@yahoo.com</t>
  </si>
  <si>
    <t xml:space="preserve">
389, TTC Nagar, Adhanoor,
Guduvancheri,Sriperumpathur [Tk], 
Kanchipuram [Dt] – 603202,
Tamilnadu.
</t>
  </si>
  <si>
    <t>Creator Mission Church</t>
  </si>
  <si>
    <t>15.11.2017</t>
  </si>
  <si>
    <t>TN0414</t>
  </si>
  <si>
    <t xml:space="preserve">Rev. G. Murugesan @ Timothy </t>
  </si>
  <si>
    <t>Rev. Y. Santhakumar</t>
  </si>
  <si>
    <t>10.01.1982</t>
  </si>
  <si>
    <t>timothyFGT@gmail.com</t>
  </si>
  <si>
    <t xml:space="preserve">Believers Church
New Colony, Madapalli,
Tirupathur [Tk],
Vellore [Dt] – 635653,Tamilnadu
</t>
  </si>
  <si>
    <t>TN0415</t>
  </si>
  <si>
    <t xml:space="preserve">Rev. A. Kannaian @ Job Kannaian </t>
  </si>
  <si>
    <t>12.10.1969</t>
  </si>
  <si>
    <t xml:space="preserve">
620, Sowloor,Tirupathur [Tk],
Vellore [Dt] – 635653,
Tamilnadu.
</t>
  </si>
  <si>
    <t>Jesus is the Door Church</t>
  </si>
  <si>
    <t>TN0416</t>
  </si>
  <si>
    <t xml:space="preserve">Rev. D. Vencent @ Velu </t>
  </si>
  <si>
    <t>07.05.1977</t>
  </si>
  <si>
    <t xml:space="preserve">
97, Anna Nagar, 
Madapalli, Tirupathur [Tk],
Vellore [Dt] – 635653,
Tamilnadu.
</t>
  </si>
  <si>
    <t>Follower Fellowship Church</t>
  </si>
  <si>
    <t>TN0417</t>
  </si>
  <si>
    <t xml:space="preserve">Rev. M. Kannan </t>
  </si>
  <si>
    <t>10.03.1976</t>
  </si>
  <si>
    <t>kannanm944@gmail.com</t>
  </si>
  <si>
    <t xml:space="preserve">
601, Sowloor, 
Kurubakeri Pudhur [Po] – 635653,
Tirupathur [Tk],Vellore [Dt],
Tamilnadu.
</t>
  </si>
  <si>
    <t>TN0418</t>
  </si>
  <si>
    <t xml:space="preserve">Rev. J. Dominic Xavio </t>
  </si>
  <si>
    <t>15.02.1981</t>
  </si>
  <si>
    <t xml:space="preserve">
237, Salem Main Road, 
Chinna Semakottai,Pantrutti [Tk],
Cuddalore [Dt] – 607106,
Tamilnadu.
</t>
  </si>
  <si>
    <t>TN0419</t>
  </si>
  <si>
    <t>Rev. K. Sathish @ Johnson</t>
  </si>
  <si>
    <t>16.04.1984</t>
  </si>
  <si>
    <t xml:space="preserve">
2/73, South Street,G.Ariyur, Thirukkovilur, 
Villupuram [Dt] – 605751,
Tamilnadu.
</t>
  </si>
  <si>
    <t>TN0420</t>
  </si>
  <si>
    <t xml:space="preserve">Rev. S. Joseph </t>
  </si>
  <si>
    <t>04.06.1967</t>
  </si>
  <si>
    <t>trichyjoseph01@gmail.com</t>
  </si>
  <si>
    <t xml:space="preserve">
No.189, Sundar Nagar, 
Mathur – 622515, Kulathur [Tk],
Pudukkottai [Dt], Tamilnadu.
</t>
  </si>
  <si>
    <t>Everlasting Mercy Full Prayer House</t>
  </si>
  <si>
    <t>12.04.2016 O8</t>
  </si>
  <si>
    <t>TN0421</t>
  </si>
  <si>
    <t>Rev. C. Yobu @ Murugasan</t>
  </si>
  <si>
    <t>16.09.1979</t>
  </si>
  <si>
    <t xml:space="preserve">
303, Pambaru Dam,
Marampatti – 635207,
Uthangarai [Tk],Krishnagiri [Dt],
Tamilnadu.
</t>
  </si>
  <si>
    <t>Bethel Gate of Sky Ministries</t>
  </si>
  <si>
    <t>12.12.2017</t>
  </si>
  <si>
    <t>TN0422</t>
  </si>
  <si>
    <t>Rev. Victor A JeyaPaul</t>
  </si>
  <si>
    <t>01.07.1965</t>
  </si>
  <si>
    <t>141, Post office South Street, Kodi mangalam, Thiruparangundrum, Madurai - 625234.</t>
  </si>
  <si>
    <t>United Mission India Prayer House</t>
  </si>
  <si>
    <t>TN0423</t>
  </si>
  <si>
    <t xml:space="preserve">Rev. J. Thomas Thanasekaran </t>
  </si>
  <si>
    <t>03.06.1973</t>
  </si>
  <si>
    <t xml:space="preserve"> 
8, Vaguthankuppam Road,
Nazareth – 628617,  
Tiruchendur [Tk],Thoothukudi [Dt],
Tamilnadu.
</t>
  </si>
  <si>
    <t xml:space="preserve">Church Of Good Shepherd  </t>
  </si>
  <si>
    <t>TN0424</t>
  </si>
  <si>
    <t xml:space="preserve">Rev. G. Margose  </t>
  </si>
  <si>
    <t>10.11.1954</t>
  </si>
  <si>
    <t xml:space="preserve">
No.7-715/1/A, Subhash Nagar,
Ida Jeedimetla, Malkajgiri,
Rangareddy, Hyderabad – 500055,
Andhra Pradesh.
</t>
  </si>
  <si>
    <t>Jesus Christ Ministry Pentecostal Fellowship</t>
  </si>
  <si>
    <t>Ranga Reddy</t>
  </si>
  <si>
    <t>Telangana</t>
  </si>
  <si>
    <t>TN0425</t>
  </si>
  <si>
    <t>Rev.P. Hamlin Jeba Sargunam</t>
  </si>
  <si>
    <t>Rev.Y. Satheesh</t>
  </si>
  <si>
    <t>08.03.1979</t>
  </si>
  <si>
    <t>hamlinggm@gmail.com</t>
  </si>
  <si>
    <t>Opposite of L.I.G 20, Housing Board Colony, Sadar, Bhagatsing Ward, Betul, Madhya Pradesh- 460001.</t>
  </si>
  <si>
    <t>Gate Of Glory Church</t>
  </si>
  <si>
    <t>Betul</t>
  </si>
  <si>
    <t>Madhya Pradesh</t>
  </si>
  <si>
    <t>TN0426</t>
  </si>
  <si>
    <t>Rev.A. Peter Chakravarthi</t>
  </si>
  <si>
    <t>Rev.B. Enoch</t>
  </si>
  <si>
    <t>02.06.1970</t>
  </si>
  <si>
    <t>115, Sedhiyur post, Chidambaram [TK], Cuddalore - 608305.</t>
  </si>
  <si>
    <t>TN0427</t>
  </si>
  <si>
    <t xml:space="preserve">Rev. D. Baskar Solomon </t>
  </si>
  <si>
    <t xml:space="preserve">The Indian Pentecostal Church Of God
Mettu Street, 
Keerapalayam – 608602,
Chidambaram [Tk], Cuddalore [Dt],
Tamilnadu.
</t>
  </si>
  <si>
    <t>The Indian Pentecostal Church Of God</t>
  </si>
  <si>
    <t>TN0428</t>
  </si>
  <si>
    <t xml:space="preserve">Rev. K. Karunakaran </t>
  </si>
  <si>
    <t>05.09.1968</t>
  </si>
  <si>
    <t xml:space="preserve">
1/313-24, Sunderraj Nagar,
State Bank colony,
Keelavadagarai – 625601,
Periyakulam [Tk], Theni [Dt], Tamilnadu.
</t>
  </si>
  <si>
    <t>Redeemers Fellowship Church</t>
  </si>
  <si>
    <t>Willing</t>
  </si>
  <si>
    <t>TN0429</t>
  </si>
  <si>
    <t xml:space="preserve">Rev. B. Suresh Babu  </t>
  </si>
  <si>
    <t>24.11.1979</t>
  </si>
  <si>
    <t xml:space="preserve">
4/138, South Street, Odaikkarai,
Karisalpatti – 627414,
Tirunelveli [Dt], Tamilnadu.
</t>
  </si>
  <si>
    <t>TN0430</t>
  </si>
  <si>
    <t>Rev. S. Raja</t>
  </si>
  <si>
    <t>11.03.1966</t>
  </si>
  <si>
    <t>A/502, Bethel Apartments, MJM Road,
Near Devtara Building, RAM Dev Park Road, 
Mira Road - 401107, Thane [Dt], Maharashtra.</t>
  </si>
  <si>
    <t xml:space="preserve">Flem Prayer Centre   </t>
  </si>
  <si>
    <t>Thane</t>
  </si>
  <si>
    <t>Maharastra</t>
  </si>
  <si>
    <t>TN0431</t>
  </si>
  <si>
    <t>Rev. P. Sugumar</t>
  </si>
  <si>
    <t>11.02.1976</t>
  </si>
  <si>
    <t xml:space="preserve">17/30B1, Amalinagar, 
Karumathampatty-641659,
Sulur [Tk],  Coimbatore [Dt],
Tamilnadu.
</t>
  </si>
  <si>
    <t>Living Stone Jesus Ministries</t>
  </si>
  <si>
    <t>TN0432</t>
  </si>
  <si>
    <t xml:space="preserve">Rev. L. Ebinezer  </t>
  </si>
  <si>
    <t>13.10.1979</t>
  </si>
  <si>
    <t xml:space="preserve">
97/2, Subbhathallayout, 
Rathinapuri - 641027,
Coimbatore South [Tk], 
Coimbatore [Dt], Tamilnadu. 
</t>
  </si>
  <si>
    <t>Bethel Worship Center</t>
  </si>
  <si>
    <t>TN0433</t>
  </si>
  <si>
    <t>Rev. G.P. Abel</t>
  </si>
  <si>
    <t>01.08.1979</t>
  </si>
  <si>
    <t xml:space="preserve"> 
1/196, Madhuraiveeran Street, 
Vadugapalayam - 641107, 
Annur [Tk], Coimbatore [Dt],
Tamilnadu.
</t>
  </si>
  <si>
    <t>God Grace Prayer House</t>
  </si>
  <si>
    <t>TN0434</t>
  </si>
  <si>
    <t>Rev. T. Larans @ Mohan Dass</t>
  </si>
  <si>
    <t>02.03.1976</t>
  </si>
  <si>
    <t>2/316, Pazhaiya Amman Kovil Street, Sunthar Home, Veerapandi, Tiruppur, Tamil Nadu  - 641605.</t>
  </si>
  <si>
    <t>Holy Sprit Full Gospel Church</t>
  </si>
  <si>
    <t>Tirupur</t>
  </si>
  <si>
    <t>TN045</t>
  </si>
  <si>
    <t>Rev.J. Viju</t>
  </si>
  <si>
    <t>74/1, Kil Kodappamund, Udhagamandalam, Stone House Hill, Nilgiris - 643002.</t>
  </si>
  <si>
    <t>Sharon Prayer House</t>
  </si>
  <si>
    <t>TN0436</t>
  </si>
  <si>
    <t xml:space="preserve">Rev. M. Ravichandran </t>
  </si>
  <si>
    <t>09.03.1982</t>
  </si>
  <si>
    <t xml:space="preserve">
12/43A, Barathiyar Nagar, Krishnapuram Sulur [Tk], 
Coimbatore [Dt], Tamilnadu.                                            
</t>
  </si>
  <si>
    <t>Yesu Sugamalikirar Jeba Veedu</t>
  </si>
  <si>
    <t>02.06.2017</t>
  </si>
  <si>
    <t>08.05.2018</t>
  </si>
  <si>
    <t>TN0437</t>
  </si>
  <si>
    <t>Rev. R. Philip @ Rangasamy</t>
  </si>
  <si>
    <t>23.03.1968</t>
  </si>
  <si>
    <t xml:space="preserve">
3/414, Pattatharachi-641602,
Athu Palayam [Tk],
Tirupur [Dt], Tamilnadu.
</t>
  </si>
  <si>
    <t>Praise The Lord Church</t>
  </si>
  <si>
    <t>TN0438</t>
  </si>
  <si>
    <t xml:space="preserve">Rev. S. David Sam Thomas  </t>
  </si>
  <si>
    <t>08.07.1984</t>
  </si>
  <si>
    <t>holinessministriesindia@gmail.com</t>
  </si>
  <si>
    <t xml:space="preserve">
36/2, Sathiya Nagar, 
Karamadai-641104, Mettupalayam [Tk], 
Coimbatore [Dt], Tamilnadu
</t>
  </si>
  <si>
    <t>All Mighty God's Church</t>
  </si>
  <si>
    <t>TN0439</t>
  </si>
  <si>
    <t xml:space="preserve">Rev. J. Arulmani  </t>
  </si>
  <si>
    <t>10.09.1969</t>
  </si>
  <si>
    <t xml:space="preserve">
78, Bharathi Nagar,  Karamadai Road,
Mettupalayam[Tk], Coimbatore [Dt]- 631301,
Tamilnadu
</t>
  </si>
  <si>
    <t>Lord Light Of Jesus</t>
  </si>
  <si>
    <t>TN0440</t>
  </si>
  <si>
    <t>Rev.C. Ramakrishnan  Nehemiah</t>
  </si>
  <si>
    <t>07.06.1970</t>
  </si>
  <si>
    <t>prnehem@gmail.com</t>
  </si>
  <si>
    <t xml:space="preserve"> 
2/306B, Green Park Avenue,
Bellladhi-641104,
Karamadai [Tk], Ooty [Dt],
Tamilnadu.
</t>
  </si>
  <si>
    <t>Jesus Saves Ministries</t>
  </si>
  <si>
    <t>TN0441</t>
  </si>
  <si>
    <t xml:space="preserve">Rev. R. Kiruba Samuel  </t>
  </si>
  <si>
    <t>08.06.1971</t>
  </si>
  <si>
    <t xml:space="preserve">
417, Karumbuthottam,
 Veerapandi-641605,
Tirupur [Dt],
Tamilnadu.
</t>
  </si>
  <si>
    <t>Jesus Saviour Church</t>
  </si>
  <si>
    <t>TN0442</t>
  </si>
  <si>
    <t xml:space="preserve">Rev. D. Jayakumar  </t>
  </si>
  <si>
    <t>26.02.1975</t>
  </si>
  <si>
    <t xml:space="preserve">
Rice Mill Street,
Town Devadhanapatti-625602
Periyakulam [Tk], Theni [Dt], 
Tamilnadu.
</t>
  </si>
  <si>
    <t>TN0443</t>
  </si>
  <si>
    <t xml:space="preserve">Rev. Paul Prestridge  </t>
  </si>
  <si>
    <t>05.10.1980</t>
  </si>
  <si>
    <t>prestridge_2000@yahoo.com</t>
  </si>
  <si>
    <t xml:space="preserve">
308, Trichy Road, 
Sulur [Tk], 
Coimbatore [Dt], Tamilnadu.
</t>
  </si>
  <si>
    <t>Paul's Arise And Shine Ministries</t>
  </si>
  <si>
    <t>TN0444</t>
  </si>
  <si>
    <t xml:space="preserve">Rev. S. Rachel Agnes  </t>
  </si>
  <si>
    <t>26.07.1965</t>
  </si>
  <si>
    <t xml:space="preserve">
No.5, Sheebanagar, 
Puthur,Mapped,
Thambaram, Chennai – 600126,
Tamilnadu.
</t>
  </si>
  <si>
    <t>Horeb Ministries</t>
  </si>
  <si>
    <t>TN0445</t>
  </si>
  <si>
    <t xml:space="preserve">Rev. S.S. Sunil  </t>
  </si>
  <si>
    <t>Rev. C. N. Ajimon</t>
  </si>
  <si>
    <t>24.05.1988</t>
  </si>
  <si>
    <t>sunilsuvartha@gmail.com</t>
  </si>
  <si>
    <t xml:space="preserve">
Pra.160, Pappadu, Nettayam,
Thiruvananthapuram – 695013,
Kerala. 
</t>
  </si>
  <si>
    <t>Suvartha Soldiers Church</t>
  </si>
  <si>
    <t>TN0446</t>
  </si>
  <si>
    <t xml:space="preserve">Rev. K. Vinodkumar </t>
  </si>
  <si>
    <t>25.05.1977</t>
  </si>
  <si>
    <t xml:space="preserve">
621, Pananinna, Kanjiramkulam, 
Neyyattinkara, 
Thiruvananthapuram – 695524,
Kerala.
</t>
  </si>
  <si>
    <t>Prayer Pitch India</t>
  </si>
  <si>
    <t>TN0447</t>
  </si>
  <si>
    <t xml:space="preserve">Rev. S. Pappachan  </t>
  </si>
  <si>
    <t>23.05.1965</t>
  </si>
  <si>
    <t xml:space="preserve">
Vellamvila, 
Aramada – 695032,
Thiruvananthapuram [Dt], Kerala.
</t>
  </si>
  <si>
    <t>Shiba Gospel Church</t>
  </si>
  <si>
    <t>TN0448</t>
  </si>
  <si>
    <t xml:space="preserve">Rev. S. Jinu  </t>
  </si>
  <si>
    <t>15.04.1990</t>
  </si>
  <si>
    <t xml:space="preserve">
16/476, Thettivila, 
Peringammala, Kalliyoor,
Thiruvananthapuram – 695042,
Kerala.
</t>
  </si>
  <si>
    <t>El-Shadhai Grace Mission Church Of India</t>
  </si>
  <si>
    <t>TN0449</t>
  </si>
  <si>
    <t xml:space="preserve">Rev. R. Vijaya Rajan  </t>
  </si>
  <si>
    <t>20.05.1973</t>
  </si>
  <si>
    <t xml:space="preserve">
Nadoorkolla, 
Kollayil, Neyyattinkara,
Thiruvananthapuram – 695122,
Kerala.
</t>
  </si>
  <si>
    <t>Hosanna Fellowship Church</t>
  </si>
  <si>
    <t>TN0450</t>
  </si>
  <si>
    <t xml:space="preserve">Rev. M. Binu  </t>
  </si>
  <si>
    <t>01.01.1974</t>
  </si>
  <si>
    <t xml:space="preserve">
263, Subin Nivas, Kotiyakodu,
Neyyardam – 695572,
Kattakada,
Thiruvananthapuram [Dt], Kerala.
</t>
  </si>
  <si>
    <t>TN0451</t>
  </si>
  <si>
    <t>Rev. N. C. Sajimon</t>
  </si>
  <si>
    <t>br.sajigrace@gmail.com</t>
  </si>
  <si>
    <t xml:space="preserve">
Grace Villa, Elaicode, 
Panniyode, Kattakada,
Thiruvananthapuram – 695575,
Kerala.
</t>
  </si>
  <si>
    <t>TN0452</t>
  </si>
  <si>
    <t xml:space="preserve">Rev. N. Yeasudasan  </t>
  </si>
  <si>
    <t>18.07.1956</t>
  </si>
  <si>
    <t xml:space="preserve">Remya Bhavan, Kottiyakonam,
Mylakara (po), Kallikadu, Kattakada,
Thiruvananthapuram – 695572,
Kerala.
</t>
  </si>
  <si>
    <t>Seenay Gospel Ministry Of India</t>
  </si>
  <si>
    <t>TN0453</t>
  </si>
  <si>
    <t xml:space="preserve">Rev. N. Bibin  </t>
  </si>
  <si>
    <t>30.05.1982</t>
  </si>
  <si>
    <t xml:space="preserve"> 
5-35-1, Anucode, Vazhavillai,
Kollankode, Villavankodu,
Kanniyakumari – 629160,
Tamilnadu.
</t>
  </si>
  <si>
    <t xml:space="preserve">El-Shadhai Grace Mission </t>
  </si>
  <si>
    <t>TN0454</t>
  </si>
  <si>
    <t>Rev.M.G. Retheesh Kumar</t>
  </si>
  <si>
    <t>Rev.C.N. Ajimon</t>
  </si>
  <si>
    <t>23.05.1983</t>
  </si>
  <si>
    <t>retheeshkumar39@gmail.com</t>
  </si>
  <si>
    <t>H.No. 254/3, Ephratha Cottage, Parakonam, Mylam, Cheriyakonni Post, Trivandrum, Kerala - 695013</t>
  </si>
  <si>
    <t>Ephratha Feast Church Of Pentecost</t>
  </si>
  <si>
    <t>Trivandrum</t>
  </si>
  <si>
    <t>TN0455</t>
  </si>
  <si>
    <t>Rev. N. S. Justin Jaya Murugan</t>
  </si>
  <si>
    <t>12.04.1975</t>
  </si>
  <si>
    <t xml:space="preserve">
Rettiyarvattam, Thippasamudhram,
Thimnamathur, Vengalapuram,
Thirupatthur [Tk],Vellore – 635653,
Tamilnadu. 
</t>
  </si>
  <si>
    <t>Meetpar Jeba Aalayam</t>
  </si>
  <si>
    <t>TN0456</t>
  </si>
  <si>
    <t xml:space="preserve">Rev. A. Gunaseelan  </t>
  </si>
  <si>
    <t>12.04.1955</t>
  </si>
  <si>
    <t xml:space="preserve">
Kadhirampatti Village,
Agaram [Po], Thirupatthur [Tk],
Vellore – 635653, Tamilnadu.
</t>
  </si>
  <si>
    <t>Kirubayin Aalayam</t>
  </si>
  <si>
    <t>TN0457</t>
  </si>
  <si>
    <t>Rev. N. Thirupathi @ John</t>
  </si>
  <si>
    <t>20.04.1982</t>
  </si>
  <si>
    <t xml:space="preserve">
10/51, Velampalayam Village, Thoppampatty(po), Rasipuram,
Namakkal – 636406,
Tamilnadu.
</t>
  </si>
  <si>
    <t>Yesuvin Jeba Veedu</t>
  </si>
  <si>
    <t>TN0458</t>
  </si>
  <si>
    <t xml:space="preserve">Rev. M. Chinna Thambi @ David  </t>
  </si>
  <si>
    <t>15.04.1950</t>
  </si>
  <si>
    <t>1/506, A8, Selva Nagar, 
Collectrate Back Side, TNHB Near,  
Dharmapuri, Tamil Nadu - 635853.</t>
  </si>
  <si>
    <t>Indian Christian Missionary Center</t>
  </si>
  <si>
    <t>Dharmapuri</t>
  </si>
  <si>
    <t>TN0459</t>
  </si>
  <si>
    <t xml:space="preserve">Rev. S. Siva Sankar @ Stephen  </t>
  </si>
  <si>
    <t>13.06.1976</t>
  </si>
  <si>
    <t xml:space="preserve">
1/464, Theradi Street,
Theerthamalai, Harur, 
Dharmapuri – 636906,
Tamilnadu.
</t>
  </si>
  <si>
    <t>Yesuve Aaruthal Jeba Veedu</t>
  </si>
  <si>
    <t>TN0460</t>
  </si>
  <si>
    <t xml:space="preserve">Rev. M. Kumaresan @ Aron  </t>
  </si>
  <si>
    <t>Rev. M. Kannan</t>
  </si>
  <si>
    <t>22.08.1987</t>
  </si>
  <si>
    <t xml:space="preserve">
Sowlur, Kurumbageri Pudur,
Thirupathur,
Tamilnadu - 635653.
</t>
  </si>
  <si>
    <t>Yesuve Sathiyam Thirusabai</t>
  </si>
  <si>
    <t>TN0461</t>
  </si>
  <si>
    <t>Rev. P. Ajith</t>
  </si>
  <si>
    <t>25.06.1988</t>
  </si>
  <si>
    <t xml:space="preserve">
450, Ward – 30, Angoor Palayam Road, Cumbum,
 Uthmapalayam [Tk], Theni [Dt], Tamilnadu.
</t>
  </si>
  <si>
    <t>TN0462</t>
  </si>
  <si>
    <t xml:space="preserve">Rev. S. Arokyaraj  </t>
  </si>
  <si>
    <t>25.09.1977</t>
  </si>
  <si>
    <t xml:space="preserve">
44/B4, Ambedkar Colony,
Kamatchipuram, Uthamapalayam,
Theni - 625520, 
Tamilnadu.
</t>
  </si>
  <si>
    <t>TN0463</t>
  </si>
  <si>
    <t xml:space="preserve">Rev. P. K. Vinod  
</t>
  </si>
  <si>
    <t>06.02.1977</t>
  </si>
  <si>
    <t xml:space="preserve">
Nedumkandam – 685552, 
Udumbanchola,
Idukki [Dt], 
Kerala.
</t>
  </si>
  <si>
    <t>Login Church</t>
  </si>
  <si>
    <t>TN0464</t>
  </si>
  <si>
    <t>Rev. S. Anbu Kumar @ James</t>
  </si>
  <si>
    <t>21.04.1981</t>
  </si>
  <si>
    <t>jameskerala@gmail.com</t>
  </si>
  <si>
    <t xml:space="preserve">
24/B4, Ambedkar Colony,
Kamatchipuram, 
Uthamapalayam, Theni - 625520, 
Tamilnadu.
</t>
  </si>
  <si>
    <t>Expired</t>
  </si>
  <si>
    <t>TN0465</t>
  </si>
  <si>
    <t xml:space="preserve">Rev. K. B. Ginu  </t>
  </si>
  <si>
    <t>08.03.1981</t>
  </si>
  <si>
    <t xml:space="preserve">420 – Kalluzhathil, Kozhimala,
Thiruvalla – 689541,
Pathanamthitta [Dt],
Kerala.
</t>
  </si>
  <si>
    <t>In Christ Fellowship Church</t>
  </si>
  <si>
    <t>Pathanamthitta</t>
  </si>
  <si>
    <t>TN0466</t>
  </si>
  <si>
    <t xml:space="preserve">Rev. D. Antoni Raj  </t>
  </si>
  <si>
    <t>16.04.1957</t>
  </si>
  <si>
    <t>d_antoniraj@yahoo.com</t>
  </si>
  <si>
    <t xml:space="preserve">
A-304 - Vel Avenue,
11/1 – Royal Road, 
Cantonment – 620001,
Trichy [Dt], Tamilnadu.
</t>
  </si>
  <si>
    <t>Living Redeemer Church</t>
  </si>
  <si>
    <t>TN0467</t>
  </si>
  <si>
    <t xml:space="preserve">Rev. S. Edwin Rajasekar  </t>
  </si>
  <si>
    <t>04.04.1973</t>
  </si>
  <si>
    <t xml:space="preserve">
45, JK Nagar Extension,
 Kajamalai – 620023,
Trichy [Dt],
Tamilnadu.
</t>
  </si>
  <si>
    <t>Power Christian Assembly Church</t>
  </si>
  <si>
    <t>TN0468</t>
  </si>
  <si>
    <t>Rev. E. Anthoniammal</t>
  </si>
  <si>
    <t>29.11.1975</t>
  </si>
  <si>
    <t>TN0469</t>
  </si>
  <si>
    <t>Rev. S. Selvin</t>
  </si>
  <si>
    <t>18.04.1979</t>
  </si>
  <si>
    <t>shalomblindministries@gmail.com</t>
  </si>
  <si>
    <t xml:space="preserve">
A-169, Yamunai Salai, 
Theeran Managar – 620012, Manikandam,Trichy [Dt],
Tamilnadu.
</t>
  </si>
  <si>
    <t>Shalom Church</t>
  </si>
  <si>
    <t>TN0470</t>
  </si>
  <si>
    <t xml:space="preserve">Rev. J. Solomon  </t>
  </si>
  <si>
    <t>26.10.1990</t>
  </si>
  <si>
    <t>beneshalomdurai@gmail.com</t>
  </si>
  <si>
    <t xml:space="preserve">
No.18-17-1B, Ambedkar  Colony,
Ponnur – 522124,
Ponnur [Tk], Guntur [Dt],
Andhra Pradesh.
</t>
  </si>
  <si>
    <t>Church Of Living Waters</t>
  </si>
  <si>
    <t>Guntur</t>
  </si>
  <si>
    <t>Andra Pradesh</t>
  </si>
  <si>
    <t>TN0471</t>
  </si>
  <si>
    <t>Rev. R. Samraj  @ MuthuKrishnan</t>
  </si>
  <si>
    <t>06.11.1981</t>
  </si>
  <si>
    <t xml:space="preserve">
2/735, S.C.M.S. School Nagar, N.G.O. Colony, Satchiyapuram, Sivakasi- 626124, Tamilnadu.</t>
  </si>
  <si>
    <t>Suvishesa Akkini Ministry</t>
  </si>
  <si>
    <t>TN0472</t>
  </si>
  <si>
    <t xml:space="preserve">Rev. S. Udhaya Kumar  </t>
  </si>
  <si>
    <t>gospelofsalvation@gmail.com</t>
  </si>
  <si>
    <t xml:space="preserve">
No.17, Kottaivasal Street, Veeravanallur, 
Ambasamudram [Tk], Tirunelveli [Dt] – 627426,
Tamilnadu. 
</t>
  </si>
  <si>
    <t xml:space="preserve">Gospel Of Salvation </t>
  </si>
  <si>
    <t>12.10.2016 O9</t>
  </si>
  <si>
    <t>TN0473</t>
  </si>
  <si>
    <t xml:space="preserve">Rev. J. Paul Durai  </t>
  </si>
  <si>
    <t>02.03.1955</t>
  </si>
  <si>
    <t xml:space="preserve">
Door No.4, Devnath Singh Chawl,
Subhash Nagar, Jarimari [W],
Kurla [Tk], Mumbai [Dt] – 400072,
Maharastra.
</t>
  </si>
  <si>
    <t xml:space="preserve">Peniel New Life Mission </t>
  </si>
  <si>
    <t>Mumbai</t>
  </si>
  <si>
    <t>18/10/2021</t>
  </si>
  <si>
    <t>TN0474</t>
  </si>
  <si>
    <t xml:space="preserve">Rev. A. Suresh Kumar  </t>
  </si>
  <si>
    <t>Rev. K. S. Vincent</t>
  </si>
  <si>
    <t>01.01.1979</t>
  </si>
  <si>
    <t xml:space="preserve">3/385, Manchadininnavila Veedu,
Boundermukku, 
Parandode – 695542,
Nedumangadu [Tk],
Thiruvananthapuram [Dt],
Kerala.
</t>
  </si>
  <si>
    <t>Holy Spirt Church</t>
  </si>
  <si>
    <t>TN0475</t>
  </si>
  <si>
    <t xml:space="preserve">Rev. E. Johnson  </t>
  </si>
  <si>
    <t>06.05.1972</t>
  </si>
  <si>
    <t xml:space="preserve">
475, kalana kuppam pudur,                    
Yelagiri Post, Tirupattur, 
Tamil Nadu - 635853.</t>
  </si>
  <si>
    <t>TN0476</t>
  </si>
  <si>
    <t>Rev. J.L. Saju John</t>
  </si>
  <si>
    <t>24.05.1981</t>
  </si>
  <si>
    <t xml:space="preserve">
TC-51/1491, Malamelkunnu,
Sathyaan Nagar, 
Industrial Estate – 695019,
Thiruvananthapuram [Dt], 
Kerala.
</t>
  </si>
  <si>
    <t>Kanan Gospel Church</t>
  </si>
  <si>
    <t>TN0477</t>
  </si>
  <si>
    <t xml:space="preserve">Rev. D. Sathibai  </t>
  </si>
  <si>
    <t xml:space="preserve"> 
1/197F, Vashingdon Nagar,
Kanakkampalayam,
Perumanallur [CT] Tn,
Tirupur [Dt] – 641666, Tamilnadu.
</t>
  </si>
  <si>
    <t>International Miracle Foundation</t>
  </si>
  <si>
    <t>TN0478</t>
  </si>
  <si>
    <t>Rev. J. Bastin Solomon Christopher</t>
  </si>
  <si>
    <t>11.04.1971</t>
  </si>
  <si>
    <t>bastinsolomon@gmail.com</t>
  </si>
  <si>
    <t xml:space="preserve">
21, Zion Street, Kamaraj Nagar, Gorimedu,                 Puducherry – 605006
</t>
  </si>
  <si>
    <t>IPC Rehoboth</t>
  </si>
  <si>
    <t>TN0479</t>
  </si>
  <si>
    <t>Rev.R. Thomas</t>
  </si>
  <si>
    <t>Rev. I. Innazee Muthu</t>
  </si>
  <si>
    <t>05.06.1973</t>
  </si>
  <si>
    <t xml:space="preserve">
19/21, Sevapur – 621311,
Sevapur, Kadavoor [Tk], Karur [Dt],
Tamilnadu.
</t>
  </si>
  <si>
    <t>Kartharin Samathana Sabai</t>
  </si>
  <si>
    <t>TN0480</t>
  </si>
  <si>
    <t xml:space="preserve">Rev. S. Dhaveedhu @ Kandan  </t>
  </si>
  <si>
    <t>21.04.1979</t>
  </si>
  <si>
    <t xml:space="preserve">
227, Kottai Medu Theru,
Vazhudavur, 
Villupuram [Dt] – 605502,
Tamilnadu.
</t>
  </si>
  <si>
    <t>Zion Parvatha Jeba Veedu</t>
  </si>
  <si>
    <t>TN0481</t>
  </si>
  <si>
    <t>Rev. R. David Thangadurai</t>
  </si>
  <si>
    <t>07.06.1976</t>
  </si>
  <si>
    <t xml:space="preserve">
87, Thirumurugan Nagar,
Thirubuvanai,
Puducherry – 605107,
</t>
  </si>
  <si>
    <t>New Life Church</t>
  </si>
  <si>
    <t>TN0482</t>
  </si>
  <si>
    <t>Rev. H. Selvam</t>
  </si>
  <si>
    <t>18.05.1970</t>
  </si>
  <si>
    <t xml:space="preserve">9, Pillayarkovil street,
Thirubuvanai post - 605107
Pudhucherry
</t>
  </si>
  <si>
    <t>Jesus's Ministry</t>
  </si>
  <si>
    <t>TN0483</t>
  </si>
  <si>
    <t>Rev. R. Abraham @ Shanmugam</t>
  </si>
  <si>
    <t>Rev. Paulpalani</t>
  </si>
  <si>
    <t>09.02.1951</t>
  </si>
  <si>
    <t xml:space="preserve">
21, North Street, Melvanakkambadi – 606703,
Chengam [Tk], Tiruvannamalai [Dt],
Tamilnadu.
</t>
  </si>
  <si>
    <t>Glory Prayer House</t>
  </si>
  <si>
    <t>TN0484</t>
  </si>
  <si>
    <t xml:space="preserve">Rev. J. Marshelraj  </t>
  </si>
  <si>
    <t>14.01.1957</t>
  </si>
  <si>
    <t xml:space="preserve">
26, Alam Street,
Good Shed Road,
Trichy [Dt] – 620001,
Tamilnadu.
</t>
  </si>
  <si>
    <t>TN0485</t>
  </si>
  <si>
    <t xml:space="preserve">Rev. R. Sagayaraj  </t>
  </si>
  <si>
    <t>18.09.1968</t>
  </si>
  <si>
    <t xml:space="preserve">
13, 2nd Street, Nethaji Nagar,
Uppalam, Puducherry – 605001,
</t>
  </si>
  <si>
    <t>TN0486</t>
  </si>
  <si>
    <t>Rev. V. Peter Paul</t>
  </si>
  <si>
    <t>11.03.1975</t>
  </si>
  <si>
    <t>petervpaul@gmail.com</t>
  </si>
  <si>
    <t xml:space="preserve">
1-1-56, Sharol Cottage,
Panorama Nagar,
Bodinayakanur [Tk],
Theni [Dt] – 625513, Tamilnadu.
</t>
  </si>
  <si>
    <t>Ruah Hope Center</t>
  </si>
  <si>
    <t>TN0487</t>
  </si>
  <si>
    <t>Rev. A. Charles Binny @ Gajendren</t>
  </si>
  <si>
    <t>25.02.1986</t>
  </si>
  <si>
    <t>charlesgajendran@gmail.com</t>
  </si>
  <si>
    <t xml:space="preserve">
69, Ramamoorthi Nagar,
Sangiliyandapuram,
Trichy [Dt] – 620001, Tamilnadu.
</t>
  </si>
  <si>
    <t>Praise Be To Jesus Church</t>
  </si>
  <si>
    <t>TN0488</t>
  </si>
  <si>
    <t>Rev. M. Mohan Lawrence</t>
  </si>
  <si>
    <t>20.05.1985</t>
  </si>
  <si>
    <t xml:space="preserve">134, Pranacewaa Thoppu,
Vannarap pettai - 605101
 Pudhucherry
</t>
  </si>
  <si>
    <t>19.04.2017 O10</t>
  </si>
  <si>
    <t>TN0489</t>
  </si>
  <si>
    <t>Rev. P. Isriel</t>
  </si>
  <si>
    <t>29.05.1981</t>
  </si>
  <si>
    <t xml:space="preserve">Apostolic Christian Ministries Foundation
3/883/1, Paraipatti, Sivakasi [Tk],
Virudhunagar [Dt] – 626189,
Tamilnadu.
</t>
  </si>
  <si>
    <t>Apostolic Christian Ministries</t>
  </si>
  <si>
    <t>TN0490</t>
  </si>
  <si>
    <t>Rev. S. Mangalsingh</t>
  </si>
  <si>
    <t>01.01.1955</t>
  </si>
  <si>
    <t>ifscmission@gmail.com</t>
  </si>
  <si>
    <t xml:space="preserve">Retasinghfarm,
Bagpurkalan - 121004
Palwal (Dist)
Haryana
</t>
  </si>
  <si>
    <t>Palwal</t>
  </si>
  <si>
    <t>TN0491</t>
  </si>
  <si>
    <t xml:space="preserve">Rev. I. Issac Palas  </t>
  </si>
  <si>
    <t>Rev. J. P. Joni Edwin Raj</t>
  </si>
  <si>
    <t>15.05.1970</t>
  </si>
  <si>
    <t xml:space="preserve">Rays Of Hope Ministry
25-23/7D, Palode, 
Vadakkavilagam, Vilavancode [Tk],
Kanyakumari [Dt] – 629162,
Tamilnadu.
</t>
  </si>
  <si>
    <t>Rays Of Hope</t>
  </si>
  <si>
    <t>TN0492</t>
  </si>
  <si>
    <t>Rev. P. Amala</t>
  </si>
  <si>
    <t>20.04.1974</t>
  </si>
  <si>
    <t>TN0493</t>
  </si>
  <si>
    <t>Rev. S. Esther</t>
  </si>
  <si>
    <t>20.11.1990</t>
  </si>
  <si>
    <t xml:space="preserve">1/ 1989, Chakka Devi street,
Pandiyan Nagar,
Virudhu Nagar - 626001
Tamilnadu.
</t>
  </si>
  <si>
    <t>In The Way Of Life Ministry</t>
  </si>
  <si>
    <t>TN0494</t>
  </si>
  <si>
    <t xml:space="preserve">Rev. M. Jerome  </t>
  </si>
  <si>
    <t>06.02.1980</t>
  </si>
  <si>
    <t xml:space="preserve">
9/583, Silon Colony,
Anaiyur,Sivakasi West [Tk],
Virudhunagar [Dt] – 626124,
Tamilnadu.
</t>
  </si>
  <si>
    <t>TN0495</t>
  </si>
  <si>
    <t xml:space="preserve">Rev. V. Dhasaian  </t>
  </si>
  <si>
    <t>14.03.1958</t>
  </si>
  <si>
    <t xml:space="preserve">
7-99-E2, Alancholai,
Vilavancode [Tk],
Kanyakumari [Dt] – 629101,
Tamilnadu.
</t>
  </si>
  <si>
    <t>Indian Christian Church Service</t>
  </si>
  <si>
    <t>TN0496</t>
  </si>
  <si>
    <t xml:space="preserve">Rev. R. Job Sekar  </t>
  </si>
  <si>
    <t>Rev. R. John Durai</t>
  </si>
  <si>
    <t>01.03.1968</t>
  </si>
  <si>
    <t xml:space="preserve">
1/179, Palkai Nagar,
Vadapalanji, Nagamalaipudur,
Thiruparankundram [Tk],
Madurai [Dt] – 625021,
Tamilnadu.
</t>
  </si>
  <si>
    <t>My Beloved Jesus Prayer Ministry</t>
  </si>
  <si>
    <t>TN0497</t>
  </si>
  <si>
    <t xml:space="preserve">Rev. P. Simeon @ Nagarajan  </t>
  </si>
  <si>
    <t>10.09.1981</t>
  </si>
  <si>
    <t>kpnrajan.08@gmail.com</t>
  </si>
  <si>
    <t xml:space="preserve">
5/150-28, Chinnamoopanpatti,
Virudhunagar [Dt] – 626001,
Tamilnadu.
</t>
  </si>
  <si>
    <t>Gypsy New Life Church</t>
  </si>
  <si>
    <t>TN0498</t>
  </si>
  <si>
    <t xml:space="preserve">Rev. M.I. Joseph Amalraj  </t>
  </si>
  <si>
    <t>28.11.1952</t>
  </si>
  <si>
    <t xml:space="preserve">
74/6, Sakthi Nagar, 2nd Main Road,
Karumandapam,
Trichy [Dt] – 620001, Tamilnadu.
</t>
  </si>
  <si>
    <t>Praise Of Zion Ministries</t>
  </si>
  <si>
    <t>19.04.2022</t>
  </si>
  <si>
    <t>TN0499</t>
  </si>
  <si>
    <t xml:space="preserve">Rev. Dr. S.M. Pushpa Rani  </t>
  </si>
  <si>
    <t>24.03.1959</t>
  </si>
  <si>
    <t>josepushpa@hotmail.com</t>
  </si>
  <si>
    <t xml:space="preserve">
74-6/28, Sakthi Nagar, 
2nd Main Road, Karumandapam,
Trichy [Dt] – 620001, Tamilnadu.
</t>
  </si>
  <si>
    <t>TN0500</t>
  </si>
  <si>
    <t xml:space="preserve">Rev. P. Amali  </t>
  </si>
  <si>
    <t>20.06.1953</t>
  </si>
  <si>
    <t xml:space="preserve">
1/139, Philominalpuram,
Pappakurichi, Kattur,
Trichy [Dt] – 620019, 
Tamilnadu. 
</t>
  </si>
  <si>
    <t>TN0501</t>
  </si>
  <si>
    <t xml:space="preserve">Rev. P. Jenitta  </t>
  </si>
  <si>
    <t>03.06.1960</t>
  </si>
  <si>
    <t xml:space="preserve">
3/846, Venugopal Nagar 2ndstreet, Pappakurichi, Kattur,
Trichy [Dt] – 620019, Tamilnadu. 
</t>
  </si>
  <si>
    <t>TN0502</t>
  </si>
  <si>
    <t>16.02.1949</t>
  </si>
  <si>
    <t xml:space="preserve">
3/329, 2nd Street, Thirunagar,
North Kattur, Trichy [Dt] – 620019,
Tamilnadu.
</t>
  </si>
  <si>
    <t>The House Of Hagios In Jesus Christ</t>
  </si>
  <si>
    <t>TN0503</t>
  </si>
  <si>
    <t xml:space="preserve">Rev. R. Kiran Rustom  </t>
  </si>
  <si>
    <t>Rev. John Subar Sing</t>
  </si>
  <si>
    <t>04.12.1982</t>
  </si>
  <si>
    <t xml:space="preserve">
24/14, Kalimar,
Colachel, Kalkulam [Tk],
Kanniyakumari [Dt] – 629251,
Tamilnadu.
</t>
  </si>
  <si>
    <t>Jesus Lifts Us Ministries</t>
  </si>
  <si>
    <t>TN0504</t>
  </si>
  <si>
    <t xml:space="preserve">Rev. A. Devasahayam  </t>
  </si>
  <si>
    <t>Rev. M. Chinnathambi Yesudoss</t>
  </si>
  <si>
    <t>04.03.1968</t>
  </si>
  <si>
    <t>PCImunnar@gmail.com</t>
  </si>
  <si>
    <t xml:space="preserve">
3/532, South Division,
Chittuvarrai Estate, Devikulam [Tk],
Idukki [Dt] – 685615, Kerala.
</t>
  </si>
  <si>
    <t>Pentecostal Church Of India</t>
  </si>
  <si>
    <t>16.04.2018</t>
  </si>
  <si>
    <t>TN0505</t>
  </si>
  <si>
    <t xml:space="preserve">Rev. D. Samuvel  </t>
  </si>
  <si>
    <t>08.08.1991</t>
  </si>
  <si>
    <t>freedommunnar@gmail.com</t>
  </si>
  <si>
    <t xml:space="preserve">85 Ettrythrri, BL RAM, Chinnalkannal Village, Suriyanelli - 685618, Idukki Dt, Kerala
</t>
  </si>
  <si>
    <t>Freedom Miracle Church</t>
  </si>
  <si>
    <t>TN0506</t>
  </si>
  <si>
    <t xml:space="preserve">Rev. A.V. Babu  </t>
  </si>
  <si>
    <t>27.12.1962</t>
  </si>
  <si>
    <t>avbabu1962@gmail.com</t>
  </si>
  <si>
    <t>TN0507</t>
  </si>
  <si>
    <t xml:space="preserve">Rev. M. Selvaraj  </t>
  </si>
  <si>
    <t>02.05.1968</t>
  </si>
  <si>
    <t xml:space="preserve">
Jammnapudur Village, 
Tirupattur [Tk],
Tamilnadu - 635652.
</t>
  </si>
  <si>
    <t>CSI Holy Trinity Church</t>
  </si>
  <si>
    <t>TN0508</t>
  </si>
  <si>
    <t xml:space="preserve">Rev. John Jacob  </t>
  </si>
  <si>
    <t>20.03.1979</t>
  </si>
  <si>
    <t xml:space="preserve">
Poikakalayil House,  Kozhimala,
Thiruvalla [Tk],
Pathanamthitta [Dt] - 689541,
Kerala.
</t>
  </si>
  <si>
    <t>Land Of Jesus Ministry</t>
  </si>
  <si>
    <t>23.10.2018</t>
  </si>
  <si>
    <t>TN0509</t>
  </si>
  <si>
    <t>Rev. K. Jeyakantham @ Calep</t>
  </si>
  <si>
    <t>25.11.1972</t>
  </si>
  <si>
    <t xml:space="preserve">West Alaveddy, Alaveddy
Jaffna[Dt], Nothern Province
Sri Lanka.
</t>
  </si>
  <si>
    <t>The Shynagogue Ministries</t>
  </si>
  <si>
    <t>Jaffna</t>
  </si>
  <si>
    <t>Srilanka</t>
  </si>
  <si>
    <t>07.08.2019</t>
  </si>
  <si>
    <t>03.12..2019</t>
  </si>
  <si>
    <t>TN0510</t>
  </si>
  <si>
    <t xml:space="preserve">Rev. F. Don Bosco  </t>
  </si>
  <si>
    <t>31.01.1962</t>
  </si>
  <si>
    <t>fbosco1962@gmail.com</t>
  </si>
  <si>
    <t xml:space="preserve">
43, 8th Main Road, Ganesh Nagar Extension,
Thiruverumbur [Tk], Trichy [Dt] – 620019,
Tamilnadu.
</t>
  </si>
  <si>
    <t>Holy Liberty Church Of Jesus</t>
  </si>
  <si>
    <t>TN0511</t>
  </si>
  <si>
    <t xml:space="preserve">Rev. P. Babu  </t>
  </si>
  <si>
    <t>01.09.1972</t>
  </si>
  <si>
    <t xml:space="preserve">
270, K S S Road, Ambedkar Nagar,
Behid Government School, Bandepalya, Bangalore – 560068,
Karnataka.
</t>
  </si>
  <si>
    <t>TN0512</t>
  </si>
  <si>
    <t xml:space="preserve">Rev. V. Karthikeyan @ Aasa  </t>
  </si>
  <si>
    <t>18.04.1983</t>
  </si>
  <si>
    <t>revivalaasa@gmail.com</t>
  </si>
  <si>
    <t xml:space="preserve">
No. 643, AnnaSalai, 
Thirukalimedu [Tk],
Kanchipuram [Dt] – 631501,
Tamilnadu.
</t>
  </si>
  <si>
    <t>Zion Heavenly Gate Of Church</t>
  </si>
  <si>
    <t>TN0513</t>
  </si>
  <si>
    <t xml:space="preserve">Rev. K. Salamon  </t>
  </si>
  <si>
    <t>20.01.1982</t>
  </si>
  <si>
    <t>pastorsalamon20@gmail.com</t>
  </si>
  <si>
    <t xml:space="preserve">
17/329, Annai Sathiya Nagar,
Military Street, 
Kanchipuram [Dt] – 631502,
Tamilnadu.
</t>
  </si>
  <si>
    <t>Church Of Hope</t>
  </si>
  <si>
    <t>TN0514</t>
  </si>
  <si>
    <t>Rev.J.Sujin</t>
  </si>
  <si>
    <t>05.06.1980</t>
  </si>
  <si>
    <t xml:space="preserve">7/53B,Paruthivilai,
Mondaikadu,Kalkullam
Kanniyakumari[Dt]-629252
Tamilnadu
</t>
  </si>
  <si>
    <t>Jesus Living Ministry</t>
  </si>
  <si>
    <t>12.10.2017 O11</t>
  </si>
  <si>
    <t>TN0515</t>
  </si>
  <si>
    <t>Mrs.S.Chenthil Mary</t>
  </si>
  <si>
    <t>13.05.1981</t>
  </si>
  <si>
    <t xml:space="preserve">
8/22A1,Kariyavillai,
Mondaikadu,Kalkullam-629252
Kanniyakumari[Dt]
Tamilnadu.
</t>
  </si>
  <si>
    <t>TN0516</t>
  </si>
  <si>
    <t>Rev.Noble P M Varughese</t>
  </si>
  <si>
    <t>04.05.1974</t>
  </si>
  <si>
    <t>nobele33@gmail.com</t>
  </si>
  <si>
    <t xml:space="preserve">43,Laksminilaya,Virat nagar
Hosur-Mainroad,Bomanahalli
Bangalore[Dt]-560068
Karnataka
</t>
  </si>
  <si>
    <t>Ebenezer Mission Church</t>
  </si>
  <si>
    <t>TN0517</t>
  </si>
  <si>
    <t>Rev. I. Rabel</t>
  </si>
  <si>
    <t>12.05.1971</t>
  </si>
  <si>
    <t xml:space="preserve">51,Chenkara Estate
Chenkara,Peermedu
Idukki[Dt], Kerala
</t>
  </si>
  <si>
    <t>Heavenly Prayer Center</t>
  </si>
  <si>
    <t>TN0518</t>
  </si>
  <si>
    <t>Rev.B.Simson</t>
  </si>
  <si>
    <t>20.05.1979</t>
  </si>
  <si>
    <t>johnbsimson2010@gmail.com</t>
  </si>
  <si>
    <t>160 A, Nalvazhi Church Street, Ponneri, Tirupattur, Tamil Nadu - 635851.</t>
  </si>
  <si>
    <t>Nalvazhi Church</t>
  </si>
  <si>
    <t>TN0519</t>
  </si>
  <si>
    <t>Rev.R.Murugan @John David</t>
  </si>
  <si>
    <t>01.05.1991</t>
  </si>
  <si>
    <t>john.etgh@gmail.com</t>
  </si>
  <si>
    <t xml:space="preserve">2/205,Kamarajar Colony
Eruthukaranpatti-621713
Ariyalur[Dt] Tamilnadu  
</t>
  </si>
  <si>
    <t>Ariel Revival Church</t>
  </si>
  <si>
    <t>Ariyalur</t>
  </si>
  <si>
    <t>TN0520</t>
  </si>
  <si>
    <t>Rev.M.Marimuthu @Mark William</t>
  </si>
  <si>
    <t>08.06.1981</t>
  </si>
  <si>
    <t xml:space="preserve">4/200,Keel Veethi Nallampatti
Samanur [Pt]-636806
Palakkodu [Tk], Dharumapuri[Dt]
Tamilnadu.
</t>
  </si>
  <si>
    <t>Praise Evangelical Church</t>
  </si>
  <si>
    <t>TN0521</t>
  </si>
  <si>
    <t>Rev.C.Selvam</t>
  </si>
  <si>
    <t xml:space="preserve">35A,Kovil Street,
Balur Vill Kothur-635808
Gudiyattam,Vellore[Dt]
Tamilnadu.
</t>
  </si>
  <si>
    <t>Heavenly Gate Church</t>
  </si>
  <si>
    <t>TN0522</t>
  </si>
  <si>
    <t>Rev.C.Adhimoolam @ Thomas</t>
  </si>
  <si>
    <t>11.02.1973</t>
  </si>
  <si>
    <t xml:space="preserve">1/32,Kumbarahalli
B.Pallipatti-635301
Pappireddaipatti, Dharmapurai[Dt]
Tamilnadu.
</t>
  </si>
  <si>
    <t>St. Paul Church</t>
  </si>
  <si>
    <t>TN0523</t>
  </si>
  <si>
    <t>Rev.P.Sasikumar</t>
  </si>
  <si>
    <t>03.06.1975</t>
  </si>
  <si>
    <t xml:space="preserve">1/266,R.C.Chettipatti
Kottamettupatti
Omalur-636455, Salem[Dt]
Tamilnadu.
</t>
  </si>
  <si>
    <t>Christian Loving Healed</t>
  </si>
  <si>
    <t>TN0524</t>
  </si>
  <si>
    <t>Rev.S.G.Reminisa Magdalene</t>
  </si>
  <si>
    <t>02.04.1984</t>
  </si>
  <si>
    <t>magdalenereminisha@gmail.com</t>
  </si>
  <si>
    <t xml:space="preserve">
15,Tranquebar House
Melaputhur-620001
Trichy [Dt], Tamilnadu.
</t>
  </si>
  <si>
    <t>New Jerusalem Church</t>
  </si>
  <si>
    <t>TN0525</t>
  </si>
  <si>
    <t>Rev.J.JoyAchsah</t>
  </si>
  <si>
    <t>18.08.1976</t>
  </si>
  <si>
    <t>achsahjoy8@gmail.com</t>
  </si>
  <si>
    <t xml:space="preserve">
91-1,Alraj Street,
Swaminathapuram-636009
Selam [Dt], Tamilnadu.
</t>
  </si>
  <si>
    <t>Elshadai Bethel Mission</t>
  </si>
  <si>
    <t>TN0526</t>
  </si>
  <si>
    <t>Rev.A.Antony Marvel Jerome</t>
  </si>
  <si>
    <t>06.05.1988</t>
  </si>
  <si>
    <t xml:space="preserve">
1A,Kasthuri Veethi
R.C.Street,Palangantham-625003
Madurai [Dt], Tamilnadu
</t>
  </si>
  <si>
    <t>Jesus Blessings Church</t>
  </si>
  <si>
    <t>07.03.2019</t>
  </si>
  <si>
    <t>TN0527</t>
  </si>
  <si>
    <t>Rev.Y.John Stanley</t>
  </si>
  <si>
    <t>Rev. Ramakrishnan Nehemiah</t>
  </si>
  <si>
    <t>09.04.1964</t>
  </si>
  <si>
    <t xml:space="preserve">
5/474,Karolina New Colony
Coonoor-643102
Udagamandalam,Nilgiris[Dt]
Tamilnadu
</t>
  </si>
  <si>
    <t>TN0528</t>
  </si>
  <si>
    <t>Rev.P.Puvi Shantha PPriyan</t>
  </si>
  <si>
    <t>08.05.1989</t>
  </si>
  <si>
    <t>ulagam007@gmail.com</t>
  </si>
  <si>
    <t xml:space="preserve">
1/68C,N.K.Colony,Poolangudy,
Palanganangudi-620025
Thiruverumbur,Trichy[Dt]
Tamilnadu.
</t>
  </si>
  <si>
    <t>12.04.2018 O12</t>
  </si>
  <si>
    <t>TN0529</t>
  </si>
  <si>
    <t>Rev. M. John Kamalesh</t>
  </si>
  <si>
    <t>28.12.1977</t>
  </si>
  <si>
    <t>gloriouscloudministries@gmail.com</t>
  </si>
  <si>
    <t xml:space="preserve">
5/1, thamarai 8th Street,
Ezhil Nagar-620014
Tiruverumbur, Trichy [Dt]
Tamilnadu.
</t>
  </si>
  <si>
    <t>Glorious Cloud Ministries</t>
  </si>
  <si>
    <t>TN0530</t>
  </si>
  <si>
    <t>Rev. J. Louis Lordson</t>
  </si>
  <si>
    <t>13.05.1990</t>
  </si>
  <si>
    <t xml:space="preserve">
113/E1, Sooryodhayam
Shankar Abodes-620005
Thiruvanaikkovil, Trichy [Dt]
Tamilnadu.
</t>
  </si>
  <si>
    <t>TN0531</t>
  </si>
  <si>
    <t>Rev. E. Anandan</t>
  </si>
  <si>
    <t>Rev. K. Salamon</t>
  </si>
  <si>
    <t>12.04.1983</t>
  </si>
  <si>
    <t>anandanappu123@gmail.com</t>
  </si>
  <si>
    <t xml:space="preserve">1/116,  New Panapakkam Colony,
Nedumbaram [Po]
Thiruthanni[Tk],  Tiruvallur [Dt]
Tamilnadu - 631204.
</t>
  </si>
  <si>
    <t>Church of Hope</t>
  </si>
  <si>
    <t>TN0532</t>
  </si>
  <si>
    <t>Rev.M.Annadurai @ Ezra</t>
  </si>
  <si>
    <t>02.07.1979</t>
  </si>
  <si>
    <t xml:space="preserve">
125/126,8th Cross,B Block,
Subashnagar ,Begur-560068
Bangalore [Dt]
Karnataka.
</t>
  </si>
  <si>
    <t>Grace Ministries</t>
  </si>
  <si>
    <t>TN0533</t>
  </si>
  <si>
    <t>Rev. J. Babu</t>
  </si>
  <si>
    <t>25.05.1974</t>
  </si>
  <si>
    <t>bethesdaagchurch@gmail.com</t>
  </si>
  <si>
    <t xml:space="preserve">2, Ambadkar Colony
13th “A” Cross, 4th  Main,
N. S. Palaya BTM 2nd Stage-560076
Bangalore [Dt], Karnataka.
</t>
  </si>
  <si>
    <t>Bethesda A.G Church</t>
  </si>
  <si>
    <t>TN0534</t>
  </si>
  <si>
    <t>Rev. M. Martin Muniasamy</t>
  </si>
  <si>
    <t>12.06.1956</t>
  </si>
  <si>
    <t xml:space="preserve">3/181, Sentamil Nagar Vani[Po]
Ramanathapuram-623536
Ramanathapuram[Dt]
Tamilnadu.
</t>
  </si>
  <si>
    <t>Church Of The Living God</t>
  </si>
  <si>
    <t>Ramanathapuram</t>
  </si>
  <si>
    <t>TN0535</t>
  </si>
  <si>
    <t>Rev. V. Chandran Samuel</t>
  </si>
  <si>
    <t>09.02.1980</t>
  </si>
  <si>
    <t xml:space="preserve">2/168/1, Christchurch Street
M.  Duraisamypuram-626124
Sivakasi[Tk], Virudunagar[Dt]
Tamilnadu.
</t>
  </si>
  <si>
    <t>Christ's New Covenant Church</t>
  </si>
  <si>
    <t>TN0536</t>
  </si>
  <si>
    <t>Rev. D. Balu Justin Raj</t>
  </si>
  <si>
    <t>28.01.1974</t>
  </si>
  <si>
    <t>jestinbrother@gmail.com</t>
  </si>
  <si>
    <t xml:space="preserve">S-130, TNHB Nagar
Anaiyur [Po]-625018
Madurai North [Tk]
Madurai [Dt], Tamilnadu.
</t>
  </si>
  <si>
    <t>New Covenant Church</t>
  </si>
  <si>
    <t>TN0537</t>
  </si>
  <si>
    <t>Rev. J. S. Domnique</t>
  </si>
  <si>
    <t>22.11.1962</t>
  </si>
  <si>
    <t>dominique.richu@gmail.com</t>
  </si>
  <si>
    <t xml:space="preserve">401, Udaya Towers
Duraisamy Nagar-625010
Madurai [Dt] Tamilnadu.
</t>
  </si>
  <si>
    <t>TN0538</t>
  </si>
  <si>
    <t>Rev. S. Maria Savaridoss</t>
  </si>
  <si>
    <t>13.02.1975</t>
  </si>
  <si>
    <t>elohimsministries@gmail.com</t>
  </si>
  <si>
    <t xml:space="preserve">3/3A, SLS Nagar
Sulur-641402
Coimbatore[Dt]
Tamilnadu.
</t>
  </si>
  <si>
    <t>Elohim Prayer House</t>
  </si>
  <si>
    <t>TN0539</t>
  </si>
  <si>
    <t>Rev. N. Ashogan Philip</t>
  </si>
  <si>
    <t>24.05.1974</t>
  </si>
  <si>
    <t xml:space="preserve">145/126, Sallakulam
Kulasaekarankottai-625218
Vadipatti[Tk]
Dindigul [Dt] Tamilnadu.
</t>
  </si>
  <si>
    <t>Fire Anointing Prayer House</t>
  </si>
  <si>
    <t>TN0540</t>
  </si>
  <si>
    <t>Rev. M. Gideon Panneerselvam</t>
  </si>
  <si>
    <t>10.12.1975</t>
  </si>
  <si>
    <t xml:space="preserve">89/2,  Road Street
Marutham,Irungur-604407
Aroct [Tk]
Vellore [Dt] Tamilnadu.
</t>
  </si>
  <si>
    <t>Kirubayinal Vanathin Vasal Church</t>
  </si>
  <si>
    <t>TN0541</t>
  </si>
  <si>
    <t>Rev. G. Kumar</t>
  </si>
  <si>
    <t>02.03.1972</t>
  </si>
  <si>
    <t xml:space="preserve">106,Pallikuda Street
Serampattu-604407
Vadagampattu,Cheyyar[Tk]
Tiruvannamalai[Dt]
Tamilnadu.
</t>
  </si>
  <si>
    <t>New Life Faith Prayer House</t>
  </si>
  <si>
    <t>TN0542</t>
  </si>
  <si>
    <t>Rev.  C. Danial</t>
  </si>
  <si>
    <t>10.06.1959</t>
  </si>
  <si>
    <t xml:space="preserve">103 A, New Colony
T. Kunnathur -605803
Villupuram [Dt], Tamilnadu.
</t>
  </si>
  <si>
    <t>Good Shepherd Church</t>
  </si>
  <si>
    <t>17/02/2022</t>
  </si>
  <si>
    <t>TN0543</t>
  </si>
  <si>
    <t>Rev. P. S. I. Jeevanandham</t>
  </si>
  <si>
    <t>20.05.1967</t>
  </si>
  <si>
    <t>jeevananthampsi@gmail.com</t>
  </si>
  <si>
    <t xml:space="preserve">2D,
Poothanayaki Amman Kovil Street
Thuvarankuritchi
Manapparai[Tk], Trichirappalli[Dt]
Tamilnadu.
</t>
  </si>
  <si>
    <t>Mahanaim Living Gate Church</t>
  </si>
  <si>
    <t>TN0544</t>
  </si>
  <si>
    <t>Rev. A.Jasintha Mary</t>
  </si>
  <si>
    <t>06.07.1968</t>
  </si>
  <si>
    <t>TN0545</t>
  </si>
  <si>
    <t>Rev. A. Aaron @ Kaniyappan</t>
  </si>
  <si>
    <t>05.10.1969</t>
  </si>
  <si>
    <t xml:space="preserve">45/2, New Street 9th Cross
Cheyyar-604407
Tiruvannamalai [Dt]
Tamilnadu.
</t>
  </si>
  <si>
    <t>Jesus Loves You Church</t>
  </si>
  <si>
    <t>TN0546</t>
  </si>
  <si>
    <t>Rev. F. Apparaj</t>
  </si>
  <si>
    <t>17.04.1973</t>
  </si>
  <si>
    <t xml:space="preserve">Rajamalai Factory Division
Nyamakad Estate, 
Kannan Devan Hills
Dhevikulam-685612, Idukki [Dt]
Kerala.
</t>
  </si>
  <si>
    <t>Ithu Vanathin Vasal Church</t>
  </si>
  <si>
    <t>TN0547</t>
  </si>
  <si>
    <t>Rev. L. Perianayagassamy @ Arulraj</t>
  </si>
  <si>
    <t>16.01.1953</t>
  </si>
  <si>
    <t xml:space="preserve">13, Saintanthuvan Street
Muthialpet-605003
Puducherry.
</t>
  </si>
  <si>
    <t>Akkini Karmel Parvatha Church</t>
  </si>
  <si>
    <t>TN0548</t>
  </si>
  <si>
    <t>Rev. T.Mercy Nirmala</t>
  </si>
  <si>
    <t>Rev.S. Johnson Durai</t>
  </si>
  <si>
    <t>02.05.1974</t>
  </si>
  <si>
    <t xml:space="preserve">24, MKS Nagar
Pillayarpalayam
Dindigul-624001
Dindigul [Dt], Tamilnadu.
</t>
  </si>
  <si>
    <t>Rehma Ministry</t>
  </si>
  <si>
    <t>TN0549</t>
  </si>
  <si>
    <t>Rev. P. Arul Gnana Prakasam</t>
  </si>
  <si>
    <t>29.10.1972</t>
  </si>
  <si>
    <t>TN0550</t>
  </si>
  <si>
    <t>Rev. M. Mohan</t>
  </si>
  <si>
    <t>Rev. M. Martin Muniyasamy</t>
  </si>
  <si>
    <t>18.04.1981</t>
  </si>
  <si>
    <t>samjus4u1981@gmail.com</t>
  </si>
  <si>
    <t xml:space="preserve">3/181,Sentamil Nagar
Vani [Po]- 623 536
Ramanathapuram[Dt]
Tamil Nadu.
</t>
  </si>
  <si>
    <t>16.10.2018 O13</t>
  </si>
  <si>
    <t>TN0551</t>
  </si>
  <si>
    <t>Rev. P. Christina Ester Rani</t>
  </si>
  <si>
    <t>21.11.1993</t>
  </si>
  <si>
    <t xml:space="preserve">1/68 C, N. K. Colony
Poolangudi,
Palanganangudi-620025
Trichy[Dt]
Tamil Nadu.
</t>
  </si>
  <si>
    <t>TN0552</t>
  </si>
  <si>
    <t>Rev. S. Selvaraj</t>
  </si>
  <si>
    <t>02.03.1964</t>
  </si>
  <si>
    <t xml:space="preserve">10, Madha Koil Street 
Marakkanam [Po] - 604303
Tindivanam [Tk]
Villupuram [Dt], Tamil Nadu.
</t>
  </si>
  <si>
    <t xml:space="preserve">Zion Church  </t>
  </si>
  <si>
    <t>TN0553</t>
  </si>
  <si>
    <t>Rev. N. Jebamary</t>
  </si>
  <si>
    <t>18.06.1987</t>
  </si>
  <si>
    <t xml:space="preserve">3-1-107, Cumbum Mainroad
1st Street, Palanichettypatti
Theni - 625531
Theni [Dt]
Tamil Nadu.
</t>
  </si>
  <si>
    <t>Lord's Hammer Deliverence Prayer House</t>
  </si>
  <si>
    <t>TN0554</t>
  </si>
  <si>
    <t>Rev. R. Nagarajan @ Daniel</t>
  </si>
  <si>
    <t>05.03.1984</t>
  </si>
  <si>
    <t>TN0555</t>
  </si>
  <si>
    <t>Rev. J. Ezekia</t>
  </si>
  <si>
    <t>Rev. B. Simson</t>
  </si>
  <si>
    <t>16.09.1993</t>
  </si>
  <si>
    <t>jrezekia@gmail.com</t>
  </si>
  <si>
    <t xml:space="preserve">01, Pudur, Anna Nagar-635751
Vaniyambadi [Tk], Vellore [Dt]
Tamil Nadu.
</t>
  </si>
  <si>
    <t>Amen Fellowshi Prayer House</t>
  </si>
  <si>
    <t>TN0556</t>
  </si>
  <si>
    <t>Rev. S. Adhi</t>
  </si>
  <si>
    <t>21.03.1980</t>
  </si>
  <si>
    <t xml:space="preserve">170, Pudumanai
Balur, Kottur - 635808
Vellore [Dt], Tamil Nadu.
</t>
  </si>
  <si>
    <t>Light Of Jesus Prayer House</t>
  </si>
  <si>
    <t>TN0557</t>
  </si>
  <si>
    <t>Rev. Rajini Samuvel</t>
  </si>
  <si>
    <t>20.05.1978</t>
  </si>
  <si>
    <t xml:space="preserve">100,Thennan Street
Balur, Kottur -635808
Pernambat, Vellore [Dt]
Tamil Nadu.
</t>
  </si>
  <si>
    <t xml:space="preserve">Yesu Nammodu Irukirar </t>
  </si>
  <si>
    <t>TN0558</t>
  </si>
  <si>
    <t>Rev. J. Dinagaran</t>
  </si>
  <si>
    <t>12.02.1978</t>
  </si>
  <si>
    <t xml:space="preserve">155,Mettu Street
Balur, Kothur - 635808
Pernambat, Vellore [Dt]
Tamil Nadu.
</t>
  </si>
  <si>
    <t>Gathzamane Prayer House</t>
  </si>
  <si>
    <t>TN0559</t>
  </si>
  <si>
    <t>Rev. A. Joseph</t>
  </si>
  <si>
    <t xml:space="preserve">138, Mettu Street
Balur, Kothur -635808
Pernambat, Velloure [Dt]
Tamil Nadu.
</t>
  </si>
  <si>
    <t>TN0560</t>
  </si>
  <si>
    <t>Rev. C. Joseph Kannan</t>
  </si>
  <si>
    <t>22.07.1959</t>
  </si>
  <si>
    <t xml:space="preserve">2/11 A, Mettu Street, Balur, Kottur - 635808, Velloure [Dt] Tamil Nadu.
</t>
  </si>
  <si>
    <t>TN0561</t>
  </si>
  <si>
    <t>Rev. Bama Simson</t>
  </si>
  <si>
    <t>07.04.1980</t>
  </si>
  <si>
    <t>TN0562</t>
  </si>
  <si>
    <t>Rev. G. Paul Saravanna Kumar</t>
  </si>
  <si>
    <t>01.12.1980</t>
  </si>
  <si>
    <t>saravanaooty72@gmail.com</t>
  </si>
  <si>
    <t xml:space="preserve">126/172, S F R C Colony
Finger Post -643006
Udhagamandalam
Nilgiris [Dt]
</t>
  </si>
  <si>
    <t>Jesus Fire Ministries</t>
  </si>
  <si>
    <t>Nilgris</t>
  </si>
  <si>
    <t>TN0563</t>
  </si>
  <si>
    <t>Rev. S. Esai</t>
  </si>
  <si>
    <t>13.03.1966</t>
  </si>
  <si>
    <t>christforvillagemission@gmail.com</t>
  </si>
  <si>
    <t xml:space="preserve">445/3, Mettu Street
Koosalipatti ,Iluppaiyurani-628502
Kovilpatti, Thoothukudi [Dt]
Tamil Nadu.
</t>
  </si>
  <si>
    <t>Christ For Village Mission</t>
  </si>
  <si>
    <t>TN0564</t>
  </si>
  <si>
    <t>Rev. Finson Cherian</t>
  </si>
  <si>
    <t>Rev. John Jacob</t>
  </si>
  <si>
    <t>23.04.1994</t>
  </si>
  <si>
    <t>Finsoncherian1994@gmail.com</t>
  </si>
  <si>
    <t xml:space="preserve">Kuzhumuriyil House
Nellimala [Po] -689542
Eraviperoor, Pathanamthitta [Dt]
Kerala.
</t>
  </si>
  <si>
    <t xml:space="preserve">New Covenant Church </t>
  </si>
  <si>
    <t>11.04.2019 O14</t>
  </si>
  <si>
    <t>TN0565</t>
  </si>
  <si>
    <t>Rev. V. Sahaya Rani</t>
  </si>
  <si>
    <t>06.11.1963</t>
  </si>
  <si>
    <t xml:space="preserve">9/269, Enayam Chinnathurai
Enayam,vilavancode -629193
Kanyakumari [Dt]
Tamil Nadu.
</t>
  </si>
  <si>
    <t>Yesu Nam Sabai</t>
  </si>
  <si>
    <t>TN0566</t>
  </si>
  <si>
    <t xml:space="preserve">Rev. M. Jithrey Hashan </t>
  </si>
  <si>
    <t>17.09.1987</t>
  </si>
  <si>
    <t>TN0567</t>
  </si>
  <si>
    <t>Rev. J. Jack</t>
  </si>
  <si>
    <t>Rev. J. Isaac</t>
  </si>
  <si>
    <t>02.07.1987</t>
  </si>
  <si>
    <t>enzelata@gmail.com</t>
  </si>
  <si>
    <t xml:space="preserve">10/11, Srinivasa Nagar,
7th Main Road, 8th Cross
Sri Rangam - 620017
Trichy [Dt], Tamil Nadu.
</t>
  </si>
  <si>
    <t>The House Of God</t>
  </si>
  <si>
    <t>TN0568</t>
  </si>
  <si>
    <t>Rev. I. James Rajan</t>
  </si>
  <si>
    <t>30.12.1956</t>
  </si>
  <si>
    <t xml:space="preserve">77, Thendral Nagar,
Thiruverumbur- 620007
Trichy [Dt], Tamil Nadu.
</t>
  </si>
  <si>
    <t>TN0569</t>
  </si>
  <si>
    <t>Rev. D. A. H. Stephen</t>
  </si>
  <si>
    <t>25.12.1972</t>
  </si>
  <si>
    <t>dahs4jesus@yahoo.co.in</t>
  </si>
  <si>
    <t xml:space="preserve">6 A, Budhar Street,KannanNagar, Winterpet -  631005 Arakkonam,      Ranipet [Dt]  Tamil Nadu.
</t>
  </si>
  <si>
    <t>New Covenant Blessed Peniel Church</t>
  </si>
  <si>
    <t>TN0570</t>
  </si>
  <si>
    <t>Rev. B. N. Lawrence</t>
  </si>
  <si>
    <t>30.08.1967</t>
  </si>
  <si>
    <t>pastorlawrencehdtc@gmail.com</t>
  </si>
  <si>
    <t xml:space="preserve">54/2, Church Street,
Pakkirithaka Jolarpet - 635853
Tirupattur, 
Tamil Nadu.
</t>
  </si>
  <si>
    <t>Holy Divine Tabernacle Church</t>
  </si>
  <si>
    <t>TN0571</t>
  </si>
  <si>
    <t xml:space="preserve">Rev. P. Mercy Lawrence </t>
  </si>
  <si>
    <t>16.04.1970</t>
  </si>
  <si>
    <t>TN0572</t>
  </si>
  <si>
    <t>Rev. G. Kamaraj David @ David</t>
  </si>
  <si>
    <t>10.05.1981</t>
  </si>
  <si>
    <t xml:space="preserve">4/8,  Perumbadi village, Agragaram po, Gudiyatham Tk, Vellore District
 632601
Tamil Nadu.
</t>
  </si>
  <si>
    <t>Church Of Grace</t>
  </si>
  <si>
    <t>TN0573</t>
  </si>
  <si>
    <t>Rev. Megala Gracy</t>
  </si>
  <si>
    <t>03.11.1984</t>
  </si>
  <si>
    <t xml:space="preserve">4/8, Gudiyatham, Perumbadi
Gudiyatham- 632601
Velloure [Dt], Tamil Nadu.
</t>
  </si>
  <si>
    <t>TN0574</t>
  </si>
  <si>
    <t>Rev. G. Munisamy @ Noah</t>
  </si>
  <si>
    <t>10.05.1971</t>
  </si>
  <si>
    <t xml:space="preserve">242/106, Mariyamman Street, Agravaram, Moongupattu- 632601
Gudiyatham, Vellore [Dt]
Tamil Nadu.
</t>
  </si>
  <si>
    <t>TN0575</t>
  </si>
  <si>
    <t>Rev. R. Tamilazhagan Billygraham</t>
  </si>
  <si>
    <t>07.05.1986</t>
  </si>
  <si>
    <t>thangatamil7@gmail.com</t>
  </si>
  <si>
    <t xml:space="preserve">31/381 B, Mettusoolagarai- 635304
Uthangarai, Krishnagiri [Dt]
Tamil Nadu.
</t>
  </si>
  <si>
    <t>Kartharin Akkini Kalanchiyam</t>
  </si>
  <si>
    <t>TN0576</t>
  </si>
  <si>
    <t>Rev. S. John Peter</t>
  </si>
  <si>
    <t>15.07.1977</t>
  </si>
  <si>
    <t xml:space="preserve">6/262, South Street
Old Batlagundu- 624202,
Nillakottai, Dindigul [Dt]
Tamil Nadu.
</t>
  </si>
  <si>
    <t>Yesuvin Vallamai Ministry</t>
  </si>
  <si>
    <t>TN0577</t>
  </si>
  <si>
    <t>Rev. J. Mathews Joseph Raj</t>
  </si>
  <si>
    <t>23.05.1950</t>
  </si>
  <si>
    <t>mathews.Jo2305@gmail.com</t>
  </si>
  <si>
    <t xml:space="preserve">107, Chitra Township,
Pallavaram, kanchipuram[Dt]
Chennai- 600043
Tamil Nadu.
</t>
  </si>
  <si>
    <t>TN0578</t>
  </si>
  <si>
    <t>Rev. Jeyakumar Thomas</t>
  </si>
  <si>
    <t>21.05.1970</t>
  </si>
  <si>
    <t xml:space="preserve">57/1 F5, 8th East Cross Street,
Shenoy Nagar,
Chennai - 600030
Tamil Nadu.
</t>
  </si>
  <si>
    <t>Light House Grace Church</t>
  </si>
  <si>
    <t>TN0579</t>
  </si>
  <si>
    <t>Rev.  P. Aaron Sankar</t>
  </si>
  <si>
    <t>28.04.1973</t>
  </si>
  <si>
    <t xml:space="preserve">18/A, Rangasamuthiram, 
Gudiyattam- 632601, Agravaram,
Vellore [Dt]
Tamil Nadu.
</t>
  </si>
  <si>
    <t>Church Of The Creator Of The Most High</t>
  </si>
  <si>
    <t>TN0580</t>
  </si>
  <si>
    <t>Rev.  N. S. Babu</t>
  </si>
  <si>
    <t>03.04.1976</t>
  </si>
  <si>
    <t xml:space="preserve">34, Chandiran Street,
Perumalpet, Vaniyambadi- 635751
Vellore[Dt],
Tamil Nadu.
</t>
  </si>
  <si>
    <t>Jesus Living God Ministry</t>
  </si>
  <si>
    <t>TN0581</t>
  </si>
  <si>
    <t>Rev. G. Saraswathi Angelin</t>
  </si>
  <si>
    <t>solomonraja21@gmail.com</t>
  </si>
  <si>
    <t xml:space="preserve">5/47, Gangaiamman Kovil Street,
Siruniyam Sholavaram,
Ponneri - 600067, Thiruvallur [Dt]
Tamil Nadu. 
</t>
  </si>
  <si>
    <t>Jesus Is Alive</t>
  </si>
  <si>
    <t>TN0582</t>
  </si>
  <si>
    <t>Rev. P. Justin Joseph</t>
  </si>
  <si>
    <t>Rev. John Subar Singh</t>
  </si>
  <si>
    <t>03.06.1968</t>
  </si>
  <si>
    <t>justinp787@gmail.com</t>
  </si>
  <si>
    <t xml:space="preserve">5- 183B, Cheval Vilai,  Karungal-629157, Kalakulam, Kanyakumari [Dt], Tamilnadu.
</t>
  </si>
  <si>
    <t>15.10.2019 O15</t>
  </si>
  <si>
    <t>TN0583</t>
  </si>
  <si>
    <t xml:space="preserve">Rev.  Roy George </t>
  </si>
  <si>
    <t>30.05.1972</t>
  </si>
  <si>
    <t>roygeorgejfa12@gmail.com</t>
  </si>
  <si>
    <t>Kanjiramnilkunnathil, Mallassery - 689646, Konni, Pathanamthitta [Dt], Kerala.</t>
  </si>
  <si>
    <t>Life Gate Church</t>
  </si>
  <si>
    <t>TN0584</t>
  </si>
  <si>
    <t>Rev. M. Joshva</t>
  </si>
  <si>
    <t>22.01.1976</t>
  </si>
  <si>
    <t xml:space="preserve">5/ 240, Indra Colony, 
Kadaneri - 626149, Srivilliputhur, Virudhunagar [Dt]
Tamilnadu. 
</t>
  </si>
  <si>
    <t>Kirubai Jeba Aykkia Sabai</t>
  </si>
  <si>
    <t>TN0585</t>
  </si>
  <si>
    <t>Rev. A. Paulraj</t>
  </si>
  <si>
    <t xml:space="preserve">105/ 271, Thrumancholai, Pudur, Vaniyambadi - 635751
Vaniyambadi, Tirupattur,
Vellore [Dt], Tamilnadu. 
</t>
  </si>
  <si>
    <t>Revival Prayer House</t>
  </si>
  <si>
    <t>Tirupattur</t>
  </si>
  <si>
    <t>TN0586</t>
  </si>
  <si>
    <t xml:space="preserve">Rev. G. Antony </t>
  </si>
  <si>
    <t>20.06.1979</t>
  </si>
  <si>
    <t xml:space="preserve">27/ 30, Kali Amman Kovil Street,
Thenthiruperai - 628623, 
Tiruchendur, Thoothukkudi [Dt]
Tamilnadu. 
</t>
  </si>
  <si>
    <t>Ephron Deva Sanga Sabai</t>
  </si>
  <si>
    <t>TN0587</t>
  </si>
  <si>
    <t>Rev. D. V. Isaac Timothy</t>
  </si>
  <si>
    <t>22.11.1972</t>
  </si>
  <si>
    <t>penielchristianassembly_try@yahoo.com</t>
  </si>
  <si>
    <t xml:space="preserve">47 -A/ 364, Duraisamypuram, 
Palakkarai - 620001, Trichy [Dt]
Tamilnadu.
</t>
  </si>
  <si>
    <t>Peniel Christian Assembly</t>
  </si>
  <si>
    <t>TN0588</t>
  </si>
  <si>
    <t xml:space="preserve"> Rev. E. Johnson Williams</t>
  </si>
  <si>
    <t>Rev. S. Anand</t>
  </si>
  <si>
    <t>19.11.1972</t>
  </si>
  <si>
    <t>williamsjin@gmail.com</t>
  </si>
  <si>
    <t xml:space="preserve">143, Narayanapuram, Nandhivaram, 
Goduvancheri -603202, Chengalpet, Kancheepuram [Dt]
Tamilnadu. </t>
  </si>
  <si>
    <t>TN0589</t>
  </si>
  <si>
    <t>Rev. P. A. Senthilkumar</t>
  </si>
  <si>
    <t>30.05.1976</t>
  </si>
  <si>
    <t xml:space="preserve">3/422, Pachidippallam, Peramachiur, 
Muthunaickenpatti - 636304,
Omalur, Salem [Dt], Tamilnadu.
</t>
  </si>
  <si>
    <t>Saviour Of World Mission</t>
  </si>
  <si>
    <t>TN0590</t>
  </si>
  <si>
    <t>Rev. S. Balasuramani @ Samsonpaul</t>
  </si>
  <si>
    <t>20.05.1969</t>
  </si>
  <si>
    <t>sarajahs@gmail.com</t>
  </si>
  <si>
    <t xml:space="preserve">87, Ashok Nagar, 
Pudukkottai - 622001,
Pudukkottai [Dt], Tamilnadu.
</t>
  </si>
  <si>
    <t>ICCM</t>
  </si>
  <si>
    <t>TN0591</t>
  </si>
  <si>
    <t>Rev. C. Christopher</t>
  </si>
  <si>
    <t>Rev.T. Sebastian</t>
  </si>
  <si>
    <t>04.03.1977</t>
  </si>
  <si>
    <t>christopherbethelchurch@gmail.com</t>
  </si>
  <si>
    <t xml:space="preserve">No-6, 2nd Cross Indira Nagar,
Gorimedu- 605006,
Puducherry.
</t>
  </si>
  <si>
    <t>St.Thomas Bethel Church</t>
  </si>
  <si>
    <t>11.11.2020 O16</t>
  </si>
  <si>
    <t>TN0592</t>
  </si>
  <si>
    <t>Rev.S. Rajkumar</t>
  </si>
  <si>
    <t>Rev.B. Simson</t>
  </si>
  <si>
    <t>05.03.1989</t>
  </si>
  <si>
    <t>rimona531989@gmail.com</t>
  </si>
  <si>
    <t>4/319, CSI Church Street, Alagarsamypuram, Periyakulam-625601, Theni Dt</t>
  </si>
  <si>
    <t>Holy Christ Ministry India Church</t>
  </si>
  <si>
    <t>Koraput</t>
  </si>
  <si>
    <t>Odisha</t>
  </si>
  <si>
    <t>13.04.2021 O17</t>
  </si>
  <si>
    <t>Active         in odisha</t>
  </si>
  <si>
    <t>TN0593</t>
  </si>
  <si>
    <t>Rev.R. Samuel Babu</t>
  </si>
  <si>
    <t>Missionary</t>
  </si>
  <si>
    <t>10.09.1982</t>
  </si>
  <si>
    <t>2/110, LIC Colony, Koraput,                                                                  Odisha- 764020                                                  India</t>
  </si>
  <si>
    <t>Agape Church</t>
  </si>
  <si>
    <t>TN0594</t>
  </si>
  <si>
    <t>Rev.S. Mohan</t>
  </si>
  <si>
    <t>Rev.A. Chinna Appadoss</t>
  </si>
  <si>
    <t>01.04.1964</t>
  </si>
  <si>
    <t>28A, Keelapatti Last Street,                                       Sriviliputhur- 626125, Virudhunagar Dt</t>
  </si>
  <si>
    <t>Jesus Christ Mission</t>
  </si>
  <si>
    <t>TN0595</t>
  </si>
  <si>
    <t>Rev.M. Shanthi</t>
  </si>
  <si>
    <t>30.04.1987</t>
  </si>
  <si>
    <t>iniya21610@gmail.com</t>
  </si>
  <si>
    <t>2/6/1801, 4th Street Aasari Colony, Anayur, Sivakasi- 626124</t>
  </si>
  <si>
    <t>Gospel Power Mission</t>
  </si>
  <si>
    <t>TN0596</t>
  </si>
  <si>
    <t>Rev.S. Justin</t>
  </si>
  <si>
    <t>23.05.1984</t>
  </si>
  <si>
    <t>S.Justinsamuel@gmail.com</t>
  </si>
  <si>
    <t>9/225, CSI Church Street, Elayirampannai, Sathur-626201, Viruthunagar, Tamil Nadu</t>
  </si>
  <si>
    <t>St.Paul's Church</t>
  </si>
  <si>
    <t>TN0597</t>
  </si>
  <si>
    <t>Rev.R. Larans</t>
  </si>
  <si>
    <t>15.12.1990</t>
  </si>
  <si>
    <t>3/34, Kurunji Nagar, Venkatachalapuram, Sathur-626203, Viruthunagar, Tamil Nadu</t>
  </si>
  <si>
    <t>Jesus Lives Apostolic Christian Assembly</t>
  </si>
  <si>
    <t>TN0598</t>
  </si>
  <si>
    <t>Rev.S. Arulraj</t>
  </si>
  <si>
    <t>Rev.G. Edwin Joseph Selvaraj</t>
  </si>
  <si>
    <t>24.04.1960</t>
  </si>
  <si>
    <t>325, Vasantham Nagar, Mettu Colony, Dalapathi, Nanguneri TK, Pin: 627101, Tirunelveli DT</t>
  </si>
  <si>
    <t>Evangelical Bible Assembly</t>
  </si>
  <si>
    <t>TN0599</t>
  </si>
  <si>
    <t>Rev.A. Jawahar</t>
  </si>
  <si>
    <t>14.07.1974</t>
  </si>
  <si>
    <t>48B/5/51, North Street, Karunkannan kudiyiruppu, Nanguneri TK, Pin:627101, Tirunelveli DT</t>
  </si>
  <si>
    <t>TN0600</t>
  </si>
  <si>
    <t>Rev. Samuel D. Elango</t>
  </si>
  <si>
    <t>11.04.1972</t>
  </si>
  <si>
    <t>samdelango@gmail.com</t>
  </si>
  <si>
    <t>No.26, 5th Cross Street, KS Garden, Peravellore, Pin: 600082, Chennai, Tamil Nadu</t>
  </si>
  <si>
    <t>Apostolic Gospel Church</t>
  </si>
  <si>
    <t>TN0601</t>
  </si>
  <si>
    <t>Rev.H. Simpson Rajkumar</t>
  </si>
  <si>
    <t>13.12.1961</t>
  </si>
  <si>
    <t>22, N.M.K Colony Main Road, T.V.S Toll Gate, Kallukuzhi, Trichy, Tamil Nadu - 620020.</t>
  </si>
  <si>
    <t>Tiruchy Pentecostal Synagogue</t>
  </si>
  <si>
    <t>TN0602</t>
  </si>
  <si>
    <t>Rev.S. Bastin Raja</t>
  </si>
  <si>
    <t>Rev.F. Anthonyraj</t>
  </si>
  <si>
    <t>31.07.1979</t>
  </si>
  <si>
    <t>Plot No.45, Divya Nagar, Olaiyur, Trichy KK Nagar, Srirangam-620021, Trichy</t>
  </si>
  <si>
    <t>The Church Of Bethania</t>
  </si>
  <si>
    <t>TN0603</t>
  </si>
  <si>
    <t>Rev.A. Sagaya Ravi</t>
  </si>
  <si>
    <t>12.05.1987</t>
  </si>
  <si>
    <t>sagayaravi0@gmail.com</t>
  </si>
  <si>
    <t>4/182H, Royal City East extension, Nagamangalam-620012, Trichy</t>
  </si>
  <si>
    <t>TN0604</t>
  </si>
  <si>
    <t>Rev. John Jebaraj</t>
  </si>
  <si>
    <t>22.10.1987</t>
  </si>
  <si>
    <t>leviministriesjj@gmail.com</t>
  </si>
  <si>
    <t>F3111, Shoba Elan Apartments, Coimbatore- 641006, North Coimbatore, Tamil Nadu</t>
  </si>
  <si>
    <t>Kings Generation</t>
  </si>
  <si>
    <t>TN0605</t>
  </si>
  <si>
    <t>Rev.D. Charly Amal Singh</t>
  </si>
  <si>
    <t>11.11.1989</t>
  </si>
  <si>
    <t>levichurch.mdu@gmail.com</t>
  </si>
  <si>
    <t>F1 Eswar Illam, Ponmeni-625010, Madurai North, Tamil Nadu</t>
  </si>
  <si>
    <t>Levi International Church</t>
  </si>
  <si>
    <t>TN0606</t>
  </si>
  <si>
    <t>Rev.J. Caleb</t>
  </si>
  <si>
    <t>Rev. D. Antoniraj</t>
  </si>
  <si>
    <t>26.04.1981</t>
  </si>
  <si>
    <t>No.4, Revival Nagar, Ramalinga Nagar, South Extn. Puthur, Trichy-620017</t>
  </si>
  <si>
    <t>Revival Christian Worship Center</t>
  </si>
  <si>
    <t>TN0607</t>
  </si>
  <si>
    <t>Rev.J. Xavier Paulraj</t>
  </si>
  <si>
    <t>Rev.D. Antoniraj</t>
  </si>
  <si>
    <t>28.07.1973</t>
  </si>
  <si>
    <t>xavierpaulrajj1@gmail.com</t>
  </si>
  <si>
    <t>36/C, 5th Street Extension, Serviceman Colony, Ponmalai, Trichy-620004</t>
  </si>
  <si>
    <t xml:space="preserve">Moses On The Rock </t>
  </si>
  <si>
    <t>TN0608</t>
  </si>
  <si>
    <t>Rev.V. Aravinth</t>
  </si>
  <si>
    <t>Rev.C. Joseph Kannan</t>
  </si>
  <si>
    <t>02.06.1995</t>
  </si>
  <si>
    <t>61, Mettu Street, Balur Village, Pernambut TK, 635808, Vellore, Tamil Nadu</t>
  </si>
  <si>
    <t>TN0609</t>
  </si>
  <si>
    <t>Rev. Jackson Suresh Kuamr</t>
  </si>
  <si>
    <t>26.01.1984</t>
  </si>
  <si>
    <t>pastorjacksonsuresh@gmail.com</t>
  </si>
  <si>
    <t>No.483, Lakshmi Nagar, Tirupattur-635601, Tamil Nadu</t>
  </si>
  <si>
    <t>Elim Tamil Church</t>
  </si>
  <si>
    <t>TN0610</t>
  </si>
  <si>
    <t>Rev.P. Viswanathan Victor</t>
  </si>
  <si>
    <t>03.04.1988</t>
  </si>
  <si>
    <t>bibleviswa@gmail.com</t>
  </si>
  <si>
    <t>1/23A, BK Nagar, Karupanur Road, Tirupattur- 635601, Tamil Nadu</t>
  </si>
  <si>
    <t>Heavenly Voice Prayer House</t>
  </si>
  <si>
    <t>TN0611</t>
  </si>
  <si>
    <t>Rev.J. Andhireya</t>
  </si>
  <si>
    <t>22.04.1974</t>
  </si>
  <si>
    <t>3B, Anganvadi Street, Kothamarikuppam Village, Pernambet- 635805, Vellore</t>
  </si>
  <si>
    <t>Misba Pentecostal Church</t>
  </si>
  <si>
    <t>21/03/2021</t>
  </si>
  <si>
    <t>TN0612</t>
  </si>
  <si>
    <t>Rev.M. Moorthy Gideon</t>
  </si>
  <si>
    <t>01.05.1958</t>
  </si>
  <si>
    <t>No.24, Madapalli Village, Madavalam Post- 635653, Tirupattur, Tamil Nadu</t>
  </si>
  <si>
    <t>TN0613</t>
  </si>
  <si>
    <t>Rev.M. Mohandass</t>
  </si>
  <si>
    <t>13.06.1993</t>
  </si>
  <si>
    <t>304, 1st Street, Pantherapalli, Mittalam Post, Tirupattur, Tamil Nadu</t>
  </si>
  <si>
    <t>Elrohi Church</t>
  </si>
  <si>
    <t>TN0614</t>
  </si>
  <si>
    <t xml:space="preserve">Rev. MV. Pedhuru </t>
  </si>
  <si>
    <t>25.10.1951</t>
  </si>
  <si>
    <t>23/19, Kuppusamy Street, Sunnambukalai , Jolarpettai- 635851, Tirupattur</t>
  </si>
  <si>
    <t>Jesus Miracle Gospel Church</t>
  </si>
  <si>
    <t>TN0615</t>
  </si>
  <si>
    <t>Rev. Onesimus K. Gopi</t>
  </si>
  <si>
    <t>10.08.1970</t>
  </si>
  <si>
    <t>2/34, Adithiravindar Colony, Reddiyur-635851, Tirupattur, Tamil Nadu</t>
  </si>
  <si>
    <t>TN0616</t>
  </si>
  <si>
    <t>Rev.V. Augustine Christopher</t>
  </si>
  <si>
    <t>27.04.1981</t>
  </si>
  <si>
    <t>augustinesubha@gmail.com</t>
  </si>
  <si>
    <t>3/842, Venugopal Nagar, 2nd Street, North Kattur-620019, Thiruvarambur, Trichy</t>
  </si>
  <si>
    <t>TN0617</t>
  </si>
  <si>
    <t>Rev.A. Subha</t>
  </si>
  <si>
    <t>TN0618</t>
  </si>
  <si>
    <t>Rev.K. Selvin</t>
  </si>
  <si>
    <t>Rev.M. Rajendran</t>
  </si>
  <si>
    <t>01.03.1983</t>
  </si>
  <si>
    <t>selvinjancy@gmail.com</t>
  </si>
  <si>
    <t>312/A, Karadikuzhy, Peermade- 685531, Idukki, Kerala</t>
  </si>
  <si>
    <t>TN0619</t>
  </si>
  <si>
    <t>Rev.J. Christopher</t>
  </si>
  <si>
    <t>25.02.1990</t>
  </si>
  <si>
    <t>chrisasha@gmail.com</t>
  </si>
  <si>
    <t>06, Ambedkar Colony, Lower Camp, Uthamapalayam- 625518, Theni</t>
  </si>
  <si>
    <t>Healing AG Church</t>
  </si>
  <si>
    <t>Active    Visited</t>
  </si>
  <si>
    <t>TN0620</t>
  </si>
  <si>
    <t>Rev. David M. Shankaran</t>
  </si>
  <si>
    <t>05.02.1983</t>
  </si>
  <si>
    <t>99C, Maruthuva Nagar, Kallur, Gudiyatham- 632602, Vellore</t>
  </si>
  <si>
    <t>Almighty God Prayer House</t>
  </si>
  <si>
    <t>TN0621</t>
  </si>
  <si>
    <t>Rev.S. Tamilmani</t>
  </si>
  <si>
    <t>24.06.1984</t>
  </si>
  <si>
    <t>703, Makkanur, Achamangalam- 635651, Tirupattur, Tamil Nadu</t>
  </si>
  <si>
    <t>TN0622</t>
  </si>
  <si>
    <t>Rev.A. Raja Solomon</t>
  </si>
  <si>
    <t>Rev.S. Anand</t>
  </si>
  <si>
    <t>03.05.1975</t>
  </si>
  <si>
    <t>Plot No 118, Arul Nagar, Nandeevaram, Guduvancheri West, Kancheepuram, Tamil Nadu - 603211.</t>
  </si>
  <si>
    <t>Chengalpet</t>
  </si>
  <si>
    <t>TN0623</t>
  </si>
  <si>
    <t>Rev. Radha Anand</t>
  </si>
  <si>
    <t>10.07.1972</t>
  </si>
  <si>
    <t>anand.radha31@yahoo.com</t>
  </si>
  <si>
    <t xml:space="preserve">52, Neithal Street, Arul Nagar, Guduvanchery- 603202, Chengalpet </t>
  </si>
  <si>
    <t>TN0624</t>
  </si>
  <si>
    <t>Rev.S. Paul Kumaran</t>
  </si>
  <si>
    <t>17.08.1982</t>
  </si>
  <si>
    <t>paulkumaaran@gmail.com</t>
  </si>
  <si>
    <t>737/28, Ambalan Street, Govindapuram, Vaniyambadi- 635751, Tirupattur</t>
  </si>
  <si>
    <t>Glory Of The Lord Church</t>
  </si>
  <si>
    <t>TN0625</t>
  </si>
  <si>
    <t>Rev.P. Gunasekar Raja</t>
  </si>
  <si>
    <t>25.08.1985</t>
  </si>
  <si>
    <t>4/155, Mullai theru, Kurunji Nagar, Athikulam- 625014, Madurai</t>
  </si>
  <si>
    <t>TN0626</t>
  </si>
  <si>
    <t>Rev. Soundarajan</t>
  </si>
  <si>
    <t>Rev.J.A.D Samuel</t>
  </si>
  <si>
    <t>24.05.1970</t>
  </si>
  <si>
    <t>820, Aatru Theru, Kookal- 624103, KodaiKanal, Dindigul</t>
  </si>
  <si>
    <t>Word Of Christ Ministries</t>
  </si>
  <si>
    <t>TN0627</t>
  </si>
  <si>
    <t>Rev. Saraswathi @ Santhi</t>
  </si>
  <si>
    <t>TN0628</t>
  </si>
  <si>
    <t>Rev. Shadrach</t>
  </si>
  <si>
    <t>08.01.1965</t>
  </si>
  <si>
    <t>123/B, South Colony, Agaramcheri Village, Gudiyattam- 635804, Vellore</t>
  </si>
  <si>
    <t>Satyabarar Yesuvin Church</t>
  </si>
  <si>
    <t>TN0629</t>
  </si>
  <si>
    <t>Rev. Kumar M. Simeon</t>
  </si>
  <si>
    <t>17.04.1990</t>
  </si>
  <si>
    <t>kumarrachel2218@gmail.com</t>
  </si>
  <si>
    <t>3/365B, Narimedu Village,Kaveripattinam- 635112, Krishnagiri</t>
  </si>
  <si>
    <t>Jesus Mercy Prayer House</t>
  </si>
  <si>
    <t>TN0630</t>
  </si>
  <si>
    <t>Rev.M. Jedidiah Durairaj</t>
  </si>
  <si>
    <t>24.08.1992</t>
  </si>
  <si>
    <t>8/2, Chidambaram Nagar, Sattur, Viruthunagar- 626203</t>
  </si>
  <si>
    <t>Tamil Baptist Church</t>
  </si>
  <si>
    <t>19.04.2021</t>
  </si>
  <si>
    <t>TN0631</t>
  </si>
  <si>
    <t>Rev.P. Suresh Kumar</t>
  </si>
  <si>
    <t>15.08.1977</t>
  </si>
  <si>
    <t>14/225A, Pallikunnu, Peermade-685531, Idukki</t>
  </si>
  <si>
    <t xml:space="preserve">Anbin Karam </t>
  </si>
  <si>
    <t>TN0632</t>
  </si>
  <si>
    <t>Rev.Y. Joshua Stephen Doss</t>
  </si>
  <si>
    <t>12.07.1994</t>
  </si>
  <si>
    <t>jsdjosh.12@gmail.com</t>
  </si>
  <si>
    <t>No.4-7K, 16 Cross Renga Nagar, Trichy- 620102, Srirangam, Tamil Nadu</t>
  </si>
  <si>
    <t>TN0633</t>
  </si>
  <si>
    <t>Rev.Steffi Deva Antony</t>
  </si>
  <si>
    <t>03.10.1988</t>
  </si>
  <si>
    <t>A-304, Vel Avenue, 11/1 Royal Road, Contonment, Trichy- 620001</t>
  </si>
  <si>
    <t>TN0634</t>
  </si>
  <si>
    <t>Rev.A. Jesuraj</t>
  </si>
  <si>
    <t>08.05.1986</t>
  </si>
  <si>
    <t>A-304, Vel Avenue, 11/1 Royal Road, Contonment, Trichy- 620002</t>
  </si>
  <si>
    <t>TN0635</t>
  </si>
  <si>
    <t>Rev. Edwin Fredrick Yovel</t>
  </si>
  <si>
    <t>Rev. John Kamalesh</t>
  </si>
  <si>
    <t>27.09.1990</t>
  </si>
  <si>
    <t>edwinfredricky@gmail.com</t>
  </si>
  <si>
    <t>60 H, IPC Prayer House, Thailakulam, Pullambadi, Lalgudi TK, Trichy, Tamil Nadu - 621711.</t>
  </si>
  <si>
    <t>IPC Prayer House</t>
  </si>
  <si>
    <t>TN0636</t>
  </si>
  <si>
    <t>Rev.D. Abel</t>
  </si>
  <si>
    <t>Rev.A. Chinnappa Doss</t>
  </si>
  <si>
    <t>09.09.1976</t>
  </si>
  <si>
    <t>abel09091976@gmail.com</t>
  </si>
  <si>
    <t>1/354 D, Anna Colony, Vadamala Puram, Sivakasi, Virudhunagar - 626130.</t>
  </si>
  <si>
    <t>Virudhunagar</t>
  </si>
  <si>
    <t>TN0637</t>
  </si>
  <si>
    <t>Rev.S. James</t>
  </si>
  <si>
    <t>11.11.1986</t>
  </si>
  <si>
    <t>HeavenJJames1986@gmail.com</t>
  </si>
  <si>
    <t>TN0638</t>
  </si>
  <si>
    <t>Rev.K. Ranjith Charles</t>
  </si>
  <si>
    <t>14.02.1981</t>
  </si>
  <si>
    <t>1/119, R.C. street, Meenam Patti,        Sivakasi, Virudhunagar - 626189.</t>
  </si>
  <si>
    <t>TN0639</t>
  </si>
  <si>
    <t>Rev.K. Peter Magendiran</t>
  </si>
  <si>
    <t>10.06.1963</t>
  </si>
  <si>
    <t>94, Adhi Dravidar Vattam, Tirupattur,               Thirupattur - 635854</t>
  </si>
  <si>
    <t xml:space="preserve">             Miracle Jesus Prayer House</t>
  </si>
  <si>
    <t>TN0640</t>
  </si>
  <si>
    <t>Rev.T. Murugan @ Santhosh</t>
  </si>
  <si>
    <t>Rev.F.  Anthony Raj</t>
  </si>
  <si>
    <t>02.05.1984</t>
  </si>
  <si>
    <t>santhoshjesus15@gmail.com</t>
  </si>
  <si>
    <t>59/1, Main Road, Palakkarai,                       Trichy - 620001</t>
  </si>
  <si>
    <t xml:space="preserve">                Elroi Vision Church</t>
  </si>
  <si>
    <t>11.11.2021 O18</t>
  </si>
  <si>
    <t>TN0641</t>
  </si>
  <si>
    <t>Rev.M. Babu @ Meshak</t>
  </si>
  <si>
    <t>Rev.D. John Abraham</t>
  </si>
  <si>
    <t>16.04.1992</t>
  </si>
  <si>
    <t>meshakpms685@gmail.com</t>
  </si>
  <si>
    <t>163-1, JJ Nagar, Mela Colony, Kalakad, Nanguneri, Tirunelveli - 627501.</t>
  </si>
  <si>
    <t>Shalom Newlife Ministry</t>
  </si>
  <si>
    <t>Tirunelveli</t>
  </si>
  <si>
    <t>TN0642</t>
  </si>
  <si>
    <t>Rev.I. Immanuel Clement Giftson</t>
  </si>
  <si>
    <t>Rev.J. Stephen</t>
  </si>
  <si>
    <t>19.12.1990</t>
  </si>
  <si>
    <t>immanuelclementgiftson@gmail.com</t>
  </si>
  <si>
    <t>3/213 A, Church Backside, Thondamuthur, Pollachi, Coimbatore - 642123.</t>
  </si>
  <si>
    <t>Church Of Redeemer Jesus</t>
  </si>
  <si>
    <t>TN0643</t>
  </si>
  <si>
    <t>Rev.S. Aaron Sherwin</t>
  </si>
  <si>
    <t>Rev. Simson</t>
  </si>
  <si>
    <t>22.01.1988</t>
  </si>
  <si>
    <t>sa.ambeth1988@gmail.com</t>
  </si>
  <si>
    <t>4/176, Azhagarsamy Puram, Periyakulam,  Theni - 625601.</t>
  </si>
  <si>
    <t>Zion Church Of God</t>
  </si>
  <si>
    <t>TN0644</t>
  </si>
  <si>
    <t>Rev.S. Jesu Das</t>
  </si>
  <si>
    <t>Rev.C.J. Suba Singh</t>
  </si>
  <si>
    <t>27.07.1959</t>
  </si>
  <si>
    <t>5/477, Pullai House, Andoor, Vendalicode post, Thuckalay, Kanyakumari - 629161.</t>
  </si>
  <si>
    <t>Jesus Deliverance Church</t>
  </si>
  <si>
    <t>Kanyakumari</t>
  </si>
  <si>
    <t>TN0645</t>
  </si>
  <si>
    <t>Rev.G. Sham Gandhi</t>
  </si>
  <si>
    <t>Rev. John Durai</t>
  </si>
  <si>
    <t>08.04.1977</t>
  </si>
  <si>
    <t>shamshalom@gmail.com</t>
  </si>
  <si>
    <t>94/2, New No.28, 3 rd C Cross, Lingaraja Puram, St.Thomas Town, Bangalore, Karnataka-560084.</t>
  </si>
  <si>
    <t>New Better Covenant Church</t>
  </si>
  <si>
    <t>TN0646</t>
  </si>
  <si>
    <t>Rev.Moselle Amalorpavane Sadish</t>
  </si>
  <si>
    <t>23.05.1972</t>
  </si>
  <si>
    <t>4, RUE DE L 'ORMETEAU, MORANGIS, 91420, FRANCE.</t>
  </si>
  <si>
    <t>Deva Vallamai Sabai</t>
  </si>
  <si>
    <t>France</t>
  </si>
  <si>
    <t>Freance</t>
  </si>
  <si>
    <t>TN0647</t>
  </si>
  <si>
    <t>Rev.N. Chandra Mani</t>
  </si>
  <si>
    <t>17.12.1981</t>
  </si>
  <si>
    <t>acasamvel@gmail.com</t>
  </si>
  <si>
    <t>259/13, Indhira Nagar, Pullala Kottai Road, Virudhunagar - 626001.</t>
  </si>
  <si>
    <t>TN0648</t>
  </si>
  <si>
    <t>Rev.G. Rajapandian</t>
  </si>
  <si>
    <t>10.03.1983</t>
  </si>
  <si>
    <t>arise7513@gmail.com</t>
  </si>
  <si>
    <t>34/35, Kurinchi Garden, Camranpet, Pallikonda, Anaicut, Vellore - 635809.</t>
  </si>
  <si>
    <t>Bethel Jesus With Us Church</t>
  </si>
  <si>
    <t>TN0649</t>
  </si>
  <si>
    <t>Rev.J. Paulraj</t>
  </si>
  <si>
    <t>02.06.1974</t>
  </si>
  <si>
    <t>69, Pakkam Palayam, Vellore - 632107.</t>
  </si>
  <si>
    <t>TN0650</t>
  </si>
  <si>
    <t>Rev.R. Manova Rose</t>
  </si>
  <si>
    <t>manova.rose@gmail.com</t>
  </si>
  <si>
    <t xml:space="preserve">37, Boulten Puram, 3rd Street, Thoothukudi - 628003. </t>
  </si>
  <si>
    <t>El- Bethel Prayer House</t>
  </si>
  <si>
    <t>Thoothukudi</t>
  </si>
  <si>
    <t>TN0651</t>
  </si>
  <si>
    <t>Rev.G. Arul</t>
  </si>
  <si>
    <t>03.07.1978</t>
  </si>
  <si>
    <t>No.1, Bangaru Nagar, Kaarappaari, Thindal (Mel), Erode - 638012.</t>
  </si>
  <si>
    <t>Kartharin Satham Jebaveedu</t>
  </si>
  <si>
    <t>12.04.2022 O19</t>
  </si>
  <si>
    <t>TN0652</t>
  </si>
  <si>
    <t xml:space="preserve">Rev.S. GnanaPrakasam </t>
  </si>
  <si>
    <t>03.06.1984</t>
  </si>
  <si>
    <t>159/4,  Mel Street, Vaniyam Badi, Thuraiyeri, Tirupattur - 635751.</t>
  </si>
  <si>
    <t>Church Of Jesus Christ</t>
  </si>
  <si>
    <t>TN0653</t>
  </si>
  <si>
    <t>Rev.R. Prakash Kumar</t>
  </si>
  <si>
    <t>04.09.1980</t>
  </si>
  <si>
    <t>1/56, Church Street, Odiyathur, Anaikattu, Vellore - 635809.</t>
  </si>
  <si>
    <t>Mahanaim Prayer House</t>
  </si>
  <si>
    <t>TN0654</t>
  </si>
  <si>
    <t>Rev.G. Isaac</t>
  </si>
  <si>
    <t>16.05.1988</t>
  </si>
  <si>
    <t>698/3, Mariyamman Koil Street, Moongapattu Village, Agravaram post, Gudiyatham, Vellore- 632601.</t>
  </si>
  <si>
    <t>Voice Of Jesus Church</t>
  </si>
  <si>
    <t>TN0655</t>
  </si>
  <si>
    <t>Rev.I. Wilona</t>
  </si>
  <si>
    <t>17.05.1989</t>
  </si>
  <si>
    <t>TN0656</t>
  </si>
  <si>
    <t>Rev.A. Sundar Raj</t>
  </si>
  <si>
    <t>02.06.1958</t>
  </si>
  <si>
    <t>sundarrajarulanantham88@gmail.com</t>
  </si>
  <si>
    <t>88, Mariyamman Kovil Street, Salamanatham Village, Vellore - 632319.</t>
  </si>
  <si>
    <t>TN0657</t>
  </si>
  <si>
    <t>Rev. Ganesh Shriniwasan Reddy</t>
  </si>
  <si>
    <t>Rev.T. Anand Raj</t>
  </si>
  <si>
    <t>23.01.1969</t>
  </si>
  <si>
    <t>gsreddy1969@gmail.com</t>
  </si>
  <si>
    <t>HN 0242, Adarsh Nagar, Pimple Gurav, Havali, Pune - 411061. Maharasta.</t>
  </si>
  <si>
    <t>Kingdom Of Heaven Ministries</t>
  </si>
  <si>
    <t>Pune</t>
  </si>
  <si>
    <t>TN0658</t>
  </si>
  <si>
    <t>Rev.D. Chris David Samuel</t>
  </si>
  <si>
    <t>05.07.1987</t>
  </si>
  <si>
    <t>dfrchris@gmail.com</t>
  </si>
  <si>
    <t>10/3, Chetty 1st Street, Melayanam Bakkam, Maduravoyal, Tiruvallur - 600095.</t>
  </si>
  <si>
    <t xml:space="preserve">Father's Dream Mission </t>
  </si>
  <si>
    <t>Tiruvallur</t>
  </si>
  <si>
    <t>TN0659</t>
  </si>
  <si>
    <t>Rev.G. Paul Sekar</t>
  </si>
  <si>
    <t>02.05.1958</t>
  </si>
  <si>
    <t>10, Paada Salai Street, Periya Nolambur, Maduravoyal, Tiruvallur - 600095.</t>
  </si>
  <si>
    <t>TN0660</t>
  </si>
  <si>
    <t>Rev.N. Kalidhasan @ Joshva</t>
  </si>
  <si>
    <t>12.05.1979</t>
  </si>
  <si>
    <t>n.kalidhasanpunitha@gmail.com</t>
  </si>
  <si>
    <t>3-3-44, Muthaliyar Fort, Middle Street, Sholavandan, Vadipatti, Madurai - 625214.</t>
  </si>
  <si>
    <t>Shadow Of The Cross Ministries</t>
  </si>
  <si>
    <t>25.04.2023</t>
  </si>
  <si>
    <t>TN0661</t>
  </si>
  <si>
    <t>Rev.J. Shyam Raj</t>
  </si>
  <si>
    <t>01.10.1998</t>
  </si>
  <si>
    <t>Karunai illam, Homeopathy College, NGO Nagar, 12th Street, Tirumangalam, Madurai - 625706.</t>
  </si>
  <si>
    <t>God's Light Ministries</t>
  </si>
  <si>
    <t>TN0662</t>
  </si>
  <si>
    <t>Rev.A. Muthu Kumar</t>
  </si>
  <si>
    <t>30.05.1975</t>
  </si>
  <si>
    <t>muthususan75@gmail.com</t>
  </si>
  <si>
    <t>No.6, PTC Colony, 5th Street, Sembakkam, Tambaram, Kancheepuram, Chennai - 600073.</t>
  </si>
  <si>
    <t>Church Of the Redeemer</t>
  </si>
  <si>
    <t>Kancheepuram</t>
  </si>
  <si>
    <t>TN0663</t>
  </si>
  <si>
    <t>Rev.A. Amalorpava Mari Jaisy</t>
  </si>
  <si>
    <t>46 A 24, Lazarus Church Road, RA Puram, Mylapore, Chennai - 600028.</t>
  </si>
  <si>
    <t>Elroi Church</t>
  </si>
  <si>
    <t>TN0664</t>
  </si>
  <si>
    <t>Rev.E. Sahaya  Joseph Antony</t>
  </si>
  <si>
    <t>05.06.1968</t>
  </si>
  <si>
    <t>Josephantonyedward@gmail.com</t>
  </si>
  <si>
    <t>No.4, Bharathiyar Street, Vengada mangalam, Kancheepuram - 600127.</t>
  </si>
  <si>
    <t>Hope In Jesus Christ Church</t>
  </si>
  <si>
    <t>TN0665</t>
  </si>
  <si>
    <t>Rev.A. Amurutha Raj</t>
  </si>
  <si>
    <t>06.02.1963</t>
  </si>
  <si>
    <t>amirtharaj.1.n@gmail.com</t>
  </si>
  <si>
    <t>46A /24, Lazarus Church Road, RA Puram, Chennai - 600028.</t>
  </si>
  <si>
    <t>TN0666</t>
  </si>
  <si>
    <t>Rev.K. Margret</t>
  </si>
  <si>
    <t>05.03.1971</t>
  </si>
  <si>
    <t>No.4, Bharathiyar Street, Vengada mangalam, Chengalpattu - 600127.</t>
  </si>
  <si>
    <t>TN0667</t>
  </si>
  <si>
    <t>Rev.J. Joseph</t>
  </si>
  <si>
    <t>Rev.R. John Durai</t>
  </si>
  <si>
    <t>17.07.1993</t>
  </si>
  <si>
    <t>Plot No.4, Anbu Nagar, 2nd Street, Madurai - 625016.</t>
  </si>
  <si>
    <t xml:space="preserve">Madurai </t>
  </si>
  <si>
    <t>TN0668</t>
  </si>
  <si>
    <t>Rev.F. Shiney Cheryll</t>
  </si>
  <si>
    <t>14.07.1994</t>
  </si>
  <si>
    <t>TN0669</t>
  </si>
  <si>
    <t>Rev.R. Gamaliyal</t>
  </si>
  <si>
    <t>29.10.1979</t>
  </si>
  <si>
    <t>233, Gundala Palli, Kokkalur, Pernambut, Vellore - 635810.</t>
  </si>
  <si>
    <t>Rehoboth Gospel Prayer House</t>
  </si>
  <si>
    <t>TN0670</t>
  </si>
  <si>
    <t>Rev.S. Noble Jeba Hodson</t>
  </si>
  <si>
    <t>Rev.R.Sam Raj</t>
  </si>
  <si>
    <t>05.06.1985</t>
  </si>
  <si>
    <t>godson.jeba@gmail.com</t>
  </si>
  <si>
    <t>341, Church Street, Kooma Patti, Ramasamiya Puram, Watrap, Virudhunagar - 626133</t>
  </si>
  <si>
    <t>Elshaddai Neerey Prayer House</t>
  </si>
  <si>
    <t>TN0671</t>
  </si>
  <si>
    <t>Rev.D. Joe Alex Gnanam</t>
  </si>
  <si>
    <t>Rev.M. Jeddiah Durairaj</t>
  </si>
  <si>
    <t>10.06.1986</t>
  </si>
  <si>
    <t>388 C, Murugan Colony, Thiruthangal, Sivakasi, Virudhunagar - 626130.</t>
  </si>
  <si>
    <t>Berazim Church</t>
  </si>
  <si>
    <t>TN0672</t>
  </si>
  <si>
    <t>Rev.V. Joshua Navamony</t>
  </si>
  <si>
    <t>04.05.1981</t>
  </si>
  <si>
    <t>8/5G5, Annai Nagar-2, Arai kulam, Palayam Kottai, Tirunelveli - 627356.</t>
  </si>
  <si>
    <t>Nellai Apostolic Christian Assembly</t>
  </si>
  <si>
    <t>TN0673</t>
  </si>
  <si>
    <t>Rev.T. Sekar</t>
  </si>
  <si>
    <t>1155, Solai Colony, P.K.N. Road, Sivakasi, Virudhunagar - 626189.</t>
  </si>
  <si>
    <t>Comfort Temple</t>
  </si>
  <si>
    <t>TN0674</t>
  </si>
  <si>
    <t>Rev.V. Adhi Kesavan @ Aron</t>
  </si>
  <si>
    <t>Rev.P. Santhosam</t>
  </si>
  <si>
    <t>03.01.1986</t>
  </si>
  <si>
    <t>Bharathi nagar, Neelamangalam, Cheiyur, Kanchipuram - 603308.</t>
  </si>
  <si>
    <t>Glory King Of Jesus Church</t>
  </si>
  <si>
    <t>TN0675</t>
  </si>
  <si>
    <t>Rev.S. Arul Raj</t>
  </si>
  <si>
    <t>27.09.1998</t>
  </si>
  <si>
    <t>11/21, V.N. Perumal Street, Little Kanchipuram, Kanchipuram - 631501.</t>
  </si>
  <si>
    <t>TN0676</t>
  </si>
  <si>
    <t>Rev.M. Thamizharasan @ Wesly Paul</t>
  </si>
  <si>
    <t>13.11.1993</t>
  </si>
  <si>
    <t>242/106, Mariyamman Koil Street, Moongapattu Village, Agravaram post, Gudiyatham, Vellore - 632601.</t>
  </si>
  <si>
    <t>Grace Prayer House</t>
  </si>
  <si>
    <t>TN0677</t>
  </si>
  <si>
    <t>Rev.S. Arockiam</t>
  </si>
  <si>
    <t>23.04.1984</t>
  </si>
  <si>
    <t>205, MA Building, DD Main Road, R.S Mangalam, Thiruvadanai Tk, Ramanathapuram - 623525.</t>
  </si>
  <si>
    <t>TN0678</t>
  </si>
  <si>
    <t>Rev. Bhura Lal</t>
  </si>
  <si>
    <t>9 Std</t>
  </si>
  <si>
    <t>12.08.1974</t>
  </si>
  <si>
    <t>Married</t>
  </si>
  <si>
    <t>Bhura Kumari Bhura Lal</t>
  </si>
  <si>
    <t>Indian</t>
  </si>
  <si>
    <t>Rev.J. Paul Durai</t>
  </si>
  <si>
    <t>Ward 5, Rupji khoota village,                       Gungra Chota Post
Sajjangarh, Panswara District, 
Rajasthan.  Pin: 327602</t>
  </si>
  <si>
    <t>Peniel New Life Mission Church</t>
  </si>
  <si>
    <t>Rajasthan</t>
  </si>
  <si>
    <t>12.10.2022 O20</t>
  </si>
  <si>
    <t>TN0679</t>
  </si>
  <si>
    <t>Rev.Y. Sobhidas</t>
  </si>
  <si>
    <t>Jolly</t>
  </si>
  <si>
    <t>Rev.R. Gnana Inbavanan</t>
  </si>
  <si>
    <t>26.05.1975</t>
  </si>
  <si>
    <t>94 B, 2nd Street, Samykulam, Chinnamanur, 
Uthamapalayam (TK) Theni District, 
Tamilnadu, Pin - 625515</t>
  </si>
  <si>
    <t>Kingdom and Glory Church</t>
  </si>
  <si>
    <t>TN0680</t>
  </si>
  <si>
    <t>Rev.A. Samuvel Paulraj</t>
  </si>
  <si>
    <t>17.09.1996</t>
  </si>
  <si>
    <t>Unmarried</t>
  </si>
  <si>
    <t>119 E, Teachers street, KR Nagar Post,
Rajapalayam (Tk) Virudhunagar District,
 Tamil Nadu, Pin - 626108</t>
  </si>
  <si>
    <t>Kanmalai Jebaveedu</t>
  </si>
  <si>
    <t>TN0681</t>
  </si>
  <si>
    <t>Rev.A. Thamaraikkani</t>
  </si>
  <si>
    <t>05.03.1977</t>
  </si>
  <si>
    <t>Raja Kumarathi</t>
  </si>
  <si>
    <t>Mznagchurch@gmail.com</t>
  </si>
  <si>
    <t>209 A/2 Mount Zion, Cholapuram South,
Rajapalayam (TK) Virudhunagar Distrct
Tamil Nadu, Pin - 626139</t>
  </si>
  <si>
    <t>Assemblies of God Church</t>
  </si>
  <si>
    <t>TN0682</t>
  </si>
  <si>
    <t>Rev.K. Ponraj</t>
  </si>
  <si>
    <t>19.04.1976</t>
  </si>
  <si>
    <t>Sumathi</t>
  </si>
  <si>
    <t>160/2 Mount Zion, Cholapuram South,
  Rajapalayam (TK) Virudhunagar Distrct
  Tamil Nadu, Pin - 626139</t>
  </si>
  <si>
    <t>TN0683</t>
  </si>
  <si>
    <t>Rev.H. Thomas</t>
  </si>
  <si>
    <t>04.05.1995</t>
  </si>
  <si>
    <t>216/2 Mount Zion, Cholapuram South,
 Rajapalayam (TK) Virudhunagar Distrct
 Tamil Nadu, Pin - 626139</t>
  </si>
  <si>
    <t>TN0684</t>
  </si>
  <si>
    <t>Rev.K. Palani Kumar @ Daniel</t>
  </si>
  <si>
    <t>18.10.1966</t>
  </si>
  <si>
    <t>Daisy Juliet</t>
  </si>
  <si>
    <t>109 A Mount Zion, Cholapuram South,
  Rajapalayam (TK) Virudhunagar Distrct
  Tamil Nadu, Pin - 626139</t>
  </si>
  <si>
    <t>TN0685</t>
  </si>
  <si>
    <t>Rev.H. Benjamin</t>
  </si>
  <si>
    <t>05.03.1990</t>
  </si>
  <si>
    <t>Ruth Preethi Rose</t>
  </si>
  <si>
    <t>216/2 Mount Zion, Cholapuram South,
  Rajapalayam (TK) Virudhunagar Distrct
   Tamil Nadu, Pin - 626139</t>
  </si>
  <si>
    <t>TN0686</t>
  </si>
  <si>
    <t>Rev.A. Joel Paul Mani</t>
  </si>
  <si>
    <t>24.11.2000</t>
  </si>
  <si>
    <t>1A Pudhur East Street, Jolarpet,
Tirupattur District, Tamilnadu
Pin - 635851</t>
  </si>
  <si>
    <t>Zion Gospel Church</t>
  </si>
  <si>
    <t>TN0687</t>
  </si>
  <si>
    <t>Rev.A. Vedhamani</t>
  </si>
  <si>
    <t>30.12.1967</t>
  </si>
  <si>
    <t>TN0688</t>
  </si>
  <si>
    <t>Rev.L. Yonatthan</t>
  </si>
  <si>
    <t>Rev.R.Israel Anand</t>
  </si>
  <si>
    <t>11.06.1997</t>
  </si>
  <si>
    <t>236/4, Kannimar Kovil Street, Ezhil Nagar, Thiruverumbur, Trichy - 620014.</t>
  </si>
  <si>
    <t>Ebenezer Prayer Center</t>
  </si>
  <si>
    <t>TN0689</t>
  </si>
  <si>
    <t>Rev.A. Rajan</t>
  </si>
  <si>
    <t>27.09.1974</t>
  </si>
  <si>
    <t>antonyraajan@gmail.com</t>
  </si>
  <si>
    <t>6/49, Dr Ambedkar Salai, Sathanantha Puram, Thandalam post, Irandan kattalai, Kanchipuram - 600128.</t>
  </si>
  <si>
    <t>TN0690</t>
  </si>
  <si>
    <t>Rev.K. Williams</t>
  </si>
  <si>
    <t>11.03.1970</t>
  </si>
  <si>
    <t>56/2, Kaliappan Street, Kuppakonan Puthur, Coimbatore North, Coimbatore - 641038.</t>
  </si>
  <si>
    <t>Petra Faith Assembly</t>
  </si>
  <si>
    <t>TN0691</t>
  </si>
  <si>
    <t>Rev.A.J. Prabhu</t>
  </si>
  <si>
    <t>Rev.D. Balu Justin Raj</t>
  </si>
  <si>
    <t>13.08.1980</t>
  </si>
  <si>
    <t>holiministry@gmail.com</t>
  </si>
  <si>
    <t>H - 37, TNHB Colony, New Covenant Church Sector 1&amp;2, Madurai North, Madurai - 625017.</t>
  </si>
  <si>
    <t>TN0692</t>
  </si>
  <si>
    <t>Rev.M. Dinesh Milton</t>
  </si>
  <si>
    <t>05.01.1987</t>
  </si>
  <si>
    <t>mtcchurchvnb@gmail.com</t>
  </si>
  <si>
    <t>1089/19, G.Moorthy Nagar, Konamedu, Vaniyambadi, Thirupathur - 635751.</t>
  </si>
  <si>
    <t>MTC Church</t>
  </si>
  <si>
    <t>Thirupathur</t>
  </si>
  <si>
    <t>TN0693</t>
  </si>
  <si>
    <t>Rev.N. Santhosh Kumar</t>
  </si>
  <si>
    <t>16.07.1984</t>
  </si>
  <si>
    <t>dar_mani_san@yahoo.com</t>
  </si>
  <si>
    <t>14-A, Palandiamman Kovil Street, Vanuvam Pettai, Chennai - 600018.</t>
  </si>
  <si>
    <t>TN0694</t>
  </si>
  <si>
    <t>Rev.A. Innasi Arulappan</t>
  </si>
  <si>
    <t>Rev.C.J. Subar Singh</t>
  </si>
  <si>
    <t>15.05.1950</t>
  </si>
  <si>
    <t>8-56 B2, Kadampara vilai, Reetha puram, Kalkulam, Kanniyakumari - 629159.</t>
  </si>
  <si>
    <t>Jesus Lives Evangelical Ministry</t>
  </si>
  <si>
    <t>TN0695</t>
  </si>
  <si>
    <t>Rev. Regina Rani Chellam</t>
  </si>
  <si>
    <t>22.04.1980</t>
  </si>
  <si>
    <t>8/58 C, Manvilagam, Reetha Puram, Kalulam, Kanniyakumari - 629159.</t>
  </si>
  <si>
    <t>TN0696</t>
  </si>
  <si>
    <t>Rev. Mary Abila</t>
  </si>
  <si>
    <t>27.06.1975</t>
  </si>
  <si>
    <t>856-1, Manvilagam, Reetha Puram, Kalkulam, Kanniyakumari - 629159.</t>
  </si>
  <si>
    <t>TN0697</t>
  </si>
  <si>
    <t>Rev.N. Rajesh Kumar</t>
  </si>
  <si>
    <t>17.11.1998</t>
  </si>
  <si>
    <t>rajeshkumar1998@gmail.com</t>
  </si>
  <si>
    <t>910B, Pullu vilai, Melmidalam, Vilavakodu, Kanniyakumar - 629178.</t>
  </si>
  <si>
    <t>TN0698</t>
  </si>
  <si>
    <t xml:space="preserve">Rev. Dr. K. Ramesh Alias Martin </t>
  </si>
  <si>
    <t>Rev. J. Xavier Paulraj</t>
  </si>
  <si>
    <t>03.04.1975</t>
  </si>
  <si>
    <t>krmartincs@gmail.com</t>
  </si>
  <si>
    <t>14, Welder's Nagar, Thaaranallur, Trichy, Tamil Nadu - 620008.</t>
  </si>
  <si>
    <t>Gospel prayer Ministries</t>
  </si>
  <si>
    <t>12.04.2023 021</t>
  </si>
  <si>
    <t>TN 0699</t>
  </si>
  <si>
    <t>Rev. K. Vasantha</t>
  </si>
  <si>
    <t>Rev. D. Antoni Raj</t>
  </si>
  <si>
    <t>08.07.1953</t>
  </si>
  <si>
    <t>7/252, South Street, Palaya Patti,   Budhalur TK, Thanjavur,     Tamil Nadu - 613402.</t>
  </si>
  <si>
    <t>Tiruchy Pentecostal Synagague</t>
  </si>
  <si>
    <t>TN 0700</t>
  </si>
  <si>
    <t>Rev. S. Auxilia</t>
  </si>
  <si>
    <t>13.02.1965</t>
  </si>
  <si>
    <t>TN 0701</t>
  </si>
  <si>
    <t>Rev. V. Sam Prasanna</t>
  </si>
  <si>
    <t>28.05.1987</t>
  </si>
  <si>
    <t>920, 9A Konamedu, Vaniyambadi, Tirupattur, Tamil Nadu - 635751.</t>
  </si>
  <si>
    <t>Supernatural Glorious Church</t>
  </si>
  <si>
    <t>TN 0702</t>
  </si>
  <si>
    <t>Rev. M. Venkatesan @ Paul</t>
  </si>
  <si>
    <t>12.06.1993</t>
  </si>
  <si>
    <t>pricilapaul1672@gmail.com</t>
  </si>
  <si>
    <t>7 - 939, Madha Kovil Street, Koratankurichi, Ulundurpet, Kallakurichi, Tamil Nadu - 606102.</t>
  </si>
  <si>
    <t>Jesus Gospel Ministry</t>
  </si>
  <si>
    <t>Kallakurichi</t>
  </si>
  <si>
    <t>TN 0703</t>
  </si>
  <si>
    <t>Rev. K. Edision Raj</t>
  </si>
  <si>
    <t>Apostle</t>
  </si>
  <si>
    <t>02.04.1973</t>
  </si>
  <si>
    <t>edisionmissile2016@gmail.com</t>
  </si>
  <si>
    <t>197 C/23, Mount Zion Street, South Chola Puram, Rajapalayam, Virudhunagar, Tamil Nadu - 626139.</t>
  </si>
  <si>
    <t>Peniel Miracle Worship Church</t>
  </si>
  <si>
    <t>TN 0704</t>
  </si>
  <si>
    <t>Rev. S. Sam King</t>
  </si>
  <si>
    <t>26.01.1985</t>
  </si>
  <si>
    <t>samrajpwc2015@gmail.com</t>
  </si>
  <si>
    <t>1/186 H, Dhalavai Puram Main Road, Sundara Natchiyar  Puram, Rajapalayam, Virudhunagar, Tamil Nadu - 626142.</t>
  </si>
  <si>
    <t>Power Of Word Church</t>
  </si>
  <si>
    <t>TN 0705</t>
  </si>
  <si>
    <t>Rev. K. Moses Raja</t>
  </si>
  <si>
    <t>11.02.1974</t>
  </si>
  <si>
    <t>revivalmosesraja@gmail.com</t>
  </si>
  <si>
    <t>17 A 3/1, 6th Kamarajar Nagar, Rajapalayam, Virudhunagar, Tamil Nadu - 626117.</t>
  </si>
  <si>
    <t>Jesus Revival Church</t>
  </si>
  <si>
    <t>TN 0706</t>
  </si>
  <si>
    <t>Rev. C. Ashok Kumar</t>
  </si>
  <si>
    <t>15.06.1985</t>
  </si>
  <si>
    <t>No 36, First Floor Adhithra Garden Phase II, Soranchery, Pattabiram, Poonamallee, Thiruvallur, Tamil Nadu - 600072.</t>
  </si>
  <si>
    <t>You Are God's Church</t>
  </si>
  <si>
    <t>TN 0707</t>
  </si>
  <si>
    <t>Rev. M. Joseph Sahaya Raj</t>
  </si>
  <si>
    <t>28.12.1971</t>
  </si>
  <si>
    <t>Plot No 281, 8th Cross Vasan Nagar, Erattai Vaikkal, Vayalur Road, Trichy, Srirangam TK, Tamil Nadu - 620102.</t>
  </si>
  <si>
    <t>TN 0708</t>
  </si>
  <si>
    <t>Rev. M. Grace</t>
  </si>
  <si>
    <t>9 A / 1, Karuppanur Road, Sivarajpet, Tirupattur, Tamil Nadu - 635601.</t>
  </si>
  <si>
    <t>Miracle Jesus Prayer House</t>
  </si>
  <si>
    <t>TN 0709</t>
  </si>
  <si>
    <t>Rev. G. Unni Raj</t>
  </si>
  <si>
    <t>14.08.1983</t>
  </si>
  <si>
    <t>alphagates2020@gmail.com</t>
  </si>
  <si>
    <t>801/A, Fathima Malai, Puthanatham Road, Manaparai, Trichy, Tamil Nadu - 621306.</t>
  </si>
  <si>
    <t>Alpha Gates Ministries</t>
  </si>
  <si>
    <t>Khamam</t>
  </si>
  <si>
    <t>TN 0710</t>
  </si>
  <si>
    <t>Rev. Roy George</t>
  </si>
  <si>
    <t>roygeorge5577@gmail.com</t>
  </si>
  <si>
    <t>Kanjiramnilkunnathil,Mallasserry Po, Konni, Pathanam Thitta, Kerala - 689646.</t>
  </si>
  <si>
    <t>Apostolic Revival Church</t>
  </si>
  <si>
    <t>Reference Details</t>
  </si>
  <si>
    <t>Address</t>
  </si>
  <si>
    <t xml:space="preserve">Apostolic Christian Ministries Foundation
3/274 – D5  Mayiladundurai, Anuppankulam – 626 189, Sivakasi [Tk], Virudhunagar [Dt], 
Tamil Nadu. 
</t>
  </si>
  <si>
    <t xml:space="preserve">Faith Prayer Fellowship Church,
251, Sureyanalli [Po],
Idukki [Dt], Munnar, 
Kerala - 685618,
</t>
  </si>
  <si>
    <t>Zonal Head</t>
  </si>
  <si>
    <t xml:space="preserve">Bethel Faith Prayer House 
27, 2nd Street, Mannarpuram,
Trichy – 620020, 
Tamilnadu. 
</t>
  </si>
  <si>
    <t>Kanniyakumar</t>
  </si>
  <si>
    <t>Kanchipuram East</t>
  </si>
  <si>
    <t xml:space="preserve">Creator Mission Church
389, TTC Nagar, Adhanoor,
Guduvancheri,Sriperumpathur [Tk], 
Kanchipuram [Dt] – 603202, Tamilnadu.
</t>
  </si>
  <si>
    <t xml:space="preserve">124/53,Meddu Street
Balur Vill Kothur (PO)-635808
Gudiyatham,Vellore[Dt]
Tamilnadu.
</t>
  </si>
  <si>
    <t xml:space="preserve">Villupuram </t>
  </si>
  <si>
    <t xml:space="preserve">Apostolic Fellowship Tabernacle,
No:135, Kaloor Road, Appasamy Nagar, 
Tindivanam – 604 002, Tamil Nadu. 
</t>
  </si>
  <si>
    <t xml:space="preserve">Living Redeemer Church
A-304 - Vel Avenue,
11/1 – Royal Road, 
Cantonment – 620001,
Trichy [Dt], Tamilnadu.
</t>
  </si>
  <si>
    <t xml:space="preserve">New Covenant Gospel Church
No.202, Mariamman Koil, 
Agaram - Village, Thennari (Po) - 631604, 
Kanchipuram, Tamilnadu.
</t>
  </si>
  <si>
    <t xml:space="preserve">Christ Church
24/1, Kathavani, Karappattu (Po) – 635207,
Uthangarai (Tk), 
Krishnagiri (Dt), Tamilnadu. 
</t>
  </si>
  <si>
    <r>
      <rPr>
        <sz val="11"/>
        <color rgb="FF000000"/>
        <rFont val="Calibri"/>
        <family val="2"/>
      </rPr>
      <t xml:space="preserve">+91 </t>
    </r>
    <r>
      <rPr>
        <b/>
        <sz val="11"/>
        <color theme="1"/>
        <rFont val="Calibri"/>
        <family val="2"/>
      </rPr>
      <t>9787023637</t>
    </r>
  </si>
  <si>
    <t xml:space="preserve">Karunya Penticostal Church
17/1 Indra Nagar, Pathai [Po]- 627501, 
Kalakkadu [Via],Nanguneri [Tk], 
Nellai [Dt], Tamil Nadu.
</t>
  </si>
  <si>
    <t xml:space="preserve">Date </t>
  </si>
  <si>
    <t>Book Number</t>
  </si>
  <si>
    <t xml:space="preserve">Name </t>
  </si>
  <si>
    <t>Ministering Location</t>
  </si>
  <si>
    <t>Before Banns</t>
  </si>
  <si>
    <t>After Banns</t>
  </si>
  <si>
    <t>Marriage Register</t>
  </si>
  <si>
    <t>2014 -2015</t>
  </si>
  <si>
    <t>2015 - 2016</t>
  </si>
  <si>
    <t>2016-2017</t>
  </si>
  <si>
    <t>2017-2018</t>
  </si>
  <si>
    <t>2018-2019</t>
  </si>
  <si>
    <t>2019-2020</t>
  </si>
  <si>
    <t>From   -   To</t>
  </si>
  <si>
    <t xml:space="preserve">16.10.2013 </t>
  </si>
  <si>
    <t>01 _ 20</t>
  </si>
  <si>
    <t>Not</t>
  </si>
  <si>
    <t>TN0002</t>
  </si>
  <si>
    <t>Rev. Dr. Gabriel James</t>
  </si>
  <si>
    <t>Nagarcoil</t>
  </si>
  <si>
    <t>21_40</t>
  </si>
  <si>
    <t>Returned</t>
  </si>
  <si>
    <t>Rev. T. Anandraj</t>
  </si>
  <si>
    <t>41_60</t>
  </si>
  <si>
    <t>Rev. Clemant Alex</t>
  </si>
  <si>
    <t>61_80</t>
  </si>
  <si>
    <t>16.10.2013</t>
  </si>
  <si>
    <t>Rev. M. R. Davidraj</t>
  </si>
  <si>
    <t>81_100</t>
  </si>
  <si>
    <t>101_ 120</t>
  </si>
  <si>
    <t>121 _140</t>
  </si>
  <si>
    <r>
      <rPr>
        <sz val="11"/>
        <color theme="1"/>
        <rFont val="Calibri"/>
        <family val="2"/>
      </rPr>
      <t>12.02.2014</t>
    </r>
    <r>
      <rPr>
        <b/>
        <sz val="11"/>
        <color theme="1"/>
        <rFont val="Calibri"/>
        <family val="2"/>
      </rPr>
      <t xml:space="preserve"> </t>
    </r>
  </si>
  <si>
    <t>Rev. P. Pavlraj Kirubakaran</t>
  </si>
  <si>
    <t>Rev. Amos</t>
  </si>
  <si>
    <t>141_160</t>
  </si>
  <si>
    <t xml:space="preserve">12.04.2014 </t>
  </si>
  <si>
    <t>Rev. j. Job</t>
  </si>
  <si>
    <t>161_ 180</t>
  </si>
  <si>
    <t>Rev. Sean George</t>
  </si>
  <si>
    <t>181_ 200</t>
  </si>
  <si>
    <t>Rev. Sampath Salomon</t>
  </si>
  <si>
    <t>Uthama Palayam</t>
  </si>
  <si>
    <t>201_ 220</t>
  </si>
  <si>
    <t>Rev. J. Ambrose</t>
  </si>
  <si>
    <t>221_ 240</t>
  </si>
  <si>
    <t>Vanthavasi</t>
  </si>
  <si>
    <t>241_ 260</t>
  </si>
  <si>
    <t>Rev. Dr. Swamy Adimai Chinnapavu</t>
  </si>
  <si>
    <t>Tirnelveli</t>
  </si>
  <si>
    <t>261 _ 280</t>
  </si>
  <si>
    <t>Rev. K. Robert Kennady</t>
  </si>
  <si>
    <t>281 _300</t>
  </si>
  <si>
    <t>Pandicherry</t>
  </si>
  <si>
    <t>301_ 320</t>
  </si>
  <si>
    <t>Munnar</t>
  </si>
  <si>
    <t>321_ 340</t>
  </si>
  <si>
    <t>Rev. G. P. Arockia Swamy</t>
  </si>
  <si>
    <t>341 _360</t>
  </si>
  <si>
    <t xml:space="preserve">Rev.D. Ezekiel </t>
  </si>
  <si>
    <t>361 _380</t>
  </si>
  <si>
    <t>Rev. S. P. Yesupaul</t>
  </si>
  <si>
    <t>Nellai</t>
  </si>
  <si>
    <t>381 _400</t>
  </si>
  <si>
    <t>Mayiladuthurai</t>
  </si>
  <si>
    <t>401 _420</t>
  </si>
  <si>
    <t>Tiruchirapalli</t>
  </si>
  <si>
    <t>421 _440</t>
  </si>
  <si>
    <t>Rev. S. Lazarus</t>
  </si>
  <si>
    <t>Cheyyaam</t>
  </si>
  <si>
    <t>441 _460</t>
  </si>
  <si>
    <t>Rev. Y. Santha Kumar</t>
  </si>
  <si>
    <t>461- 480</t>
  </si>
  <si>
    <t>04.08.2015</t>
  </si>
  <si>
    <t>Rev. C. Paul</t>
  </si>
  <si>
    <t>Chittoor</t>
  </si>
  <si>
    <t>481 - 500</t>
  </si>
  <si>
    <t xml:space="preserve">16.10.2016 </t>
  </si>
  <si>
    <t>Rev. C. Daniel Kesavan</t>
  </si>
  <si>
    <t>501 -520</t>
  </si>
  <si>
    <t xml:space="preserve">09.02.2016 </t>
  </si>
  <si>
    <t>521 - 540</t>
  </si>
  <si>
    <t>Rev. J. Solomon</t>
  </si>
  <si>
    <t>Gantur</t>
  </si>
  <si>
    <t>541 - 560</t>
  </si>
  <si>
    <t xml:space="preserve">19.04.2016 </t>
  </si>
  <si>
    <t>561 - 580</t>
  </si>
  <si>
    <t>581 -600</t>
  </si>
  <si>
    <t>Rev. J. Paul Durai</t>
  </si>
  <si>
    <t>Mumbi</t>
  </si>
  <si>
    <t>601 - 620</t>
  </si>
  <si>
    <t xml:space="preserve">21.01.2017 </t>
  </si>
  <si>
    <t>381 - 400</t>
  </si>
  <si>
    <t xml:space="preserve">19.04.2017 </t>
  </si>
  <si>
    <t>621 -640</t>
  </si>
  <si>
    <t xml:space="preserve">12.04.2018 </t>
  </si>
  <si>
    <t>26 A</t>
  </si>
  <si>
    <t>Rev. D. Bala Justin Raj</t>
  </si>
  <si>
    <t>26 - 30</t>
  </si>
  <si>
    <t xml:space="preserve">26.04.2018 </t>
  </si>
  <si>
    <t>26 B</t>
  </si>
  <si>
    <t>Rev. M. Martin Munisamy</t>
  </si>
  <si>
    <t>31 - 35</t>
  </si>
  <si>
    <t>26 C</t>
  </si>
  <si>
    <t>Rev. S. Yesumuthu</t>
  </si>
  <si>
    <t>36 - 40</t>
  </si>
  <si>
    <t xml:space="preserve">25.09.2018 </t>
  </si>
  <si>
    <t>Rev. P. Sasikumar</t>
  </si>
  <si>
    <t>641 - 645</t>
  </si>
  <si>
    <t xml:space="preserve">16.10.2018 </t>
  </si>
  <si>
    <t>33 A</t>
  </si>
  <si>
    <t>646 -650</t>
  </si>
  <si>
    <t xml:space="preserve">21.12.2018 </t>
  </si>
  <si>
    <t>33 B</t>
  </si>
  <si>
    <t>Rev. John Abraham</t>
  </si>
  <si>
    <t>651 - 655</t>
  </si>
  <si>
    <t xml:space="preserve">21.05.2019 </t>
  </si>
  <si>
    <t xml:space="preserve"> 33 C</t>
  </si>
  <si>
    <t>656 - 660</t>
  </si>
  <si>
    <t>13.08.2019</t>
  </si>
  <si>
    <t>Pudhukottai</t>
  </si>
  <si>
    <t>661 - 665</t>
  </si>
  <si>
    <t>35B</t>
  </si>
  <si>
    <t>691-695</t>
  </si>
  <si>
    <t>11.11.2020</t>
  </si>
  <si>
    <t>33B</t>
  </si>
  <si>
    <t>Ponneri</t>
  </si>
  <si>
    <t>651-655</t>
  </si>
  <si>
    <t>34C</t>
  </si>
  <si>
    <t>Rev.G. Kamaraj David</t>
  </si>
  <si>
    <t>Gudiyattam</t>
  </si>
  <si>
    <t>676-680</t>
  </si>
  <si>
    <t>35C</t>
  </si>
  <si>
    <t>Rev.M. Martin</t>
  </si>
  <si>
    <t>696-700</t>
  </si>
  <si>
    <t>Rev.P. Phillip Senthil Kumar</t>
  </si>
  <si>
    <t>701-705</t>
  </si>
  <si>
    <t>13.04.2021</t>
  </si>
  <si>
    <t>36A</t>
  </si>
  <si>
    <t>Rev.D.V. Issac Timothy</t>
  </si>
  <si>
    <t>Palakarai, Trichy</t>
  </si>
  <si>
    <t>706-710</t>
  </si>
  <si>
    <t>TN</t>
  </si>
  <si>
    <t>23.05.2021</t>
  </si>
  <si>
    <t>34A</t>
  </si>
  <si>
    <t>666-670</t>
  </si>
  <si>
    <t>01.08.2023</t>
  </si>
  <si>
    <t>15.10.2022</t>
  </si>
  <si>
    <t>No. Of                         Renewal 022</t>
  </si>
  <si>
    <t>TN0711</t>
  </si>
  <si>
    <t>Rev. K. Merlin Meeha</t>
  </si>
  <si>
    <t>Pullu vilai, mel midalam,udayamarthandam, kanniya kumari, tamil nadu -629178.</t>
  </si>
  <si>
    <t>Jesus Lives Evangelcal Ministrie</t>
  </si>
  <si>
    <t>Kanniya kumari</t>
  </si>
  <si>
    <t>Tamil nadu</t>
  </si>
  <si>
    <t>01.08.2023 022</t>
  </si>
  <si>
    <t>TN0712</t>
  </si>
  <si>
    <t>Rev. Pavul Gnanabaranam</t>
  </si>
  <si>
    <t>member</t>
  </si>
  <si>
    <t>Rev. C. John Subar Sing</t>
  </si>
  <si>
    <t>TN0713</t>
  </si>
  <si>
    <t>Rev. M. Kieron Rajah</t>
  </si>
  <si>
    <t>27.05.1971</t>
  </si>
  <si>
    <t xml:space="preserve">       kideonrussel@gmail.com</t>
  </si>
  <si>
    <t>TN0714</t>
  </si>
  <si>
    <t>Rev. S. Moses Prawin paul</t>
  </si>
  <si>
    <t>Rev. L. Suresh Daniel</t>
  </si>
  <si>
    <t>08.03.1993</t>
  </si>
  <si>
    <t xml:space="preserve">       mosesprapa@gmail.com</t>
  </si>
  <si>
    <t>TN0715</t>
  </si>
  <si>
    <t>Rev. P. Vinoth</t>
  </si>
  <si>
    <t>15.07.1992</t>
  </si>
  <si>
    <t>36/37, Fathimaburam, Kumbakonam,Thanjavur,Tamil Nadu - 612001</t>
  </si>
  <si>
    <t>New Jerusalem Life Church</t>
  </si>
  <si>
    <t>TN0716</t>
  </si>
  <si>
    <t>Rev. R. Rajeswari</t>
  </si>
  <si>
    <t>28.01.1989</t>
  </si>
  <si>
    <t>TN0717</t>
  </si>
  <si>
    <t>Rev. A. Panneer Selvam</t>
  </si>
  <si>
    <t>Rev. M. Rajendran</t>
  </si>
  <si>
    <t>29.03.1960</t>
  </si>
  <si>
    <t xml:space="preserve">      panneerelcy@gmail.com</t>
  </si>
  <si>
    <t>304C, karadykuzhy, peermade, Idukki, Kerala - 685531</t>
  </si>
  <si>
    <t>Grace AG Church</t>
  </si>
  <si>
    <t>kerala</t>
  </si>
  <si>
    <t>1/55, Pulayankattuvilai, Kanjikuzhi, Kalkulam, Kanniya kumari, Tamil Nadu - 629169</t>
  </si>
  <si>
    <t>6/20, Ambalakalai, Puliyoorsalai, mancode(po), kanniya kumani, Tamil Nadu - 629152</t>
  </si>
  <si>
    <t>11/2, Susai Nager 3rd Street, Vilangudi, Madurai North, Madurai, Tamil Nadu - 625018</t>
  </si>
  <si>
    <t>57C, Singaram Street, Vannakanni, Kumbakonam, Thanjavur, Tamil Nadu - 612001</t>
  </si>
  <si>
    <t>TN0718</t>
  </si>
  <si>
    <t>Rev. T. Pratap</t>
  </si>
  <si>
    <t>Rev. Dr. R. John Durai</t>
  </si>
  <si>
    <t>20.07.1983</t>
  </si>
  <si>
    <t xml:space="preserve">       prathapt82@gmail.com</t>
  </si>
  <si>
    <t>2/179-1, Moongiltholuvu, Udumalaipettai, Tirupur, Tamil Nadu - 642202</t>
  </si>
  <si>
    <t xml:space="preserve">   Apostolic Family Church</t>
  </si>
  <si>
    <t>tamil nadu</t>
  </si>
  <si>
    <t>TN0719</t>
  </si>
  <si>
    <t>Rev. S. Solomon Raja</t>
  </si>
  <si>
    <t>21.05.1981</t>
  </si>
  <si>
    <t>5/47,Gangaiamman Koilst, Siruniyam Sholayaram, PonnerI, Thiruvallur, Tamil Nadu - 600067</t>
  </si>
  <si>
    <t>Jesus Alives Ministies</t>
  </si>
  <si>
    <t>TN0720</t>
  </si>
  <si>
    <t>Rev. J. Antoni Leema Juliet</t>
  </si>
  <si>
    <t>23.06.1959</t>
  </si>
  <si>
    <t>1/115-1, in ager-2, Makinampatti, Pollachi, Coimbatore, Tamil Nadu - 642003</t>
  </si>
  <si>
    <t>Jesus is True Light Ministry</t>
  </si>
  <si>
    <t>coimbutore</t>
  </si>
  <si>
    <t>TN0721</t>
  </si>
  <si>
    <t>Rev. A. Gnanasekeran</t>
  </si>
  <si>
    <t>Rev. G. KamaRaj David</t>
  </si>
  <si>
    <t>23.07.1959</t>
  </si>
  <si>
    <t>348/4, Anna Nager, Anaimallur(po), Anaimallur, Tamil Nadu - 632507</t>
  </si>
  <si>
    <t>Church of Family Counselling</t>
  </si>
  <si>
    <t>TN0722</t>
  </si>
  <si>
    <t>Rev. S. Frederick Sathyanathan</t>
  </si>
  <si>
    <t>Rev. T. Pushp Jothi</t>
  </si>
  <si>
    <t>05.03.1959</t>
  </si>
  <si>
    <t>TN0723</t>
  </si>
  <si>
    <t>74/6A, II Main Road, Karumandappam Sakthi Nager, Tiruchirapalli, Tamil Nadu - 620001</t>
  </si>
  <si>
    <t>Yerobah Ministries</t>
  </si>
  <si>
    <t>TN0724</t>
  </si>
  <si>
    <t>Rev. Y. Albert Benson</t>
  </si>
  <si>
    <t>TN0725</t>
  </si>
  <si>
    <t>TN0726</t>
  </si>
  <si>
    <t>Rev. S. Prathap Singh</t>
  </si>
  <si>
    <t>02.06.1963</t>
  </si>
  <si>
    <t>pushpajothifrederic@gmail.com</t>
  </si>
  <si>
    <t>Rev. J. Xavier Paul Raj</t>
  </si>
  <si>
    <t>Rev. Dr.G. Edvin Joseph Selvaraj</t>
  </si>
  <si>
    <t>27.08.1990</t>
  </si>
  <si>
    <t>albertbensoni1990@gmail.com</t>
  </si>
  <si>
    <t>14/41, G T Nadu Street,Ariyamangalam, Trichy, Tamil Nadu -620010</t>
  </si>
  <si>
    <t>Grace Prophetical Ministies</t>
  </si>
  <si>
    <t>Tami Nadu</t>
  </si>
  <si>
    <t>25.07.1985</t>
  </si>
  <si>
    <t>2/29, Pilliyarkouilstreet, Nagercoil, Thovazhai,Tamil Nadu - 629853</t>
  </si>
  <si>
    <t>Grace Ac Ministries</t>
  </si>
  <si>
    <t>Nagerkoil</t>
  </si>
  <si>
    <t>19.06.1984</t>
  </si>
  <si>
    <t>livingrockchurch07@gmail.com</t>
  </si>
  <si>
    <t>5/106, Varayuvillai,Manalikarai, Kothanllur, Kanyakumari,Tamil Nadu - 629164</t>
  </si>
  <si>
    <t>Living Rock Church</t>
  </si>
  <si>
    <t>Kanya kumari</t>
  </si>
  <si>
    <t>TN0727</t>
  </si>
  <si>
    <t>TN0728</t>
  </si>
  <si>
    <t>Rev. Y.Mary Rosalin</t>
  </si>
  <si>
    <t>Rev. K. Sudhakar</t>
  </si>
  <si>
    <t>21.07.1974</t>
  </si>
  <si>
    <t>Jesus Gospel Miracele Ministry</t>
  </si>
  <si>
    <t>2/26A, Reddiyua, Tirupattur, Tamil Nadu - 635851</t>
  </si>
  <si>
    <t>07.06.1980</t>
  </si>
  <si>
    <t>2/447, CP Kanadigai, Vanganoor- Post, Rkpet, Tamil nadu - 631304</t>
  </si>
  <si>
    <t>Rkpet</t>
  </si>
  <si>
    <t>New life Bleessing Church</t>
  </si>
  <si>
    <t>Expel</t>
  </si>
  <si>
    <r>
      <t xml:space="preserve">        </t>
    </r>
    <r>
      <rPr>
        <sz val="12"/>
        <color theme="1"/>
        <rFont val="Albertus Medium"/>
        <family val="2"/>
      </rPr>
      <t xml:space="preserve">  Apostolic Christian Assembly </t>
    </r>
  </si>
  <si>
    <r>
      <t xml:space="preserve">              </t>
    </r>
    <r>
      <rPr>
        <sz val="12"/>
        <color theme="1"/>
        <rFont val="Albertus Medium"/>
        <family val="2"/>
      </rPr>
      <t>Divine Love Church</t>
    </r>
  </si>
  <si>
    <r>
      <t xml:space="preserve">               </t>
    </r>
    <r>
      <rPr>
        <sz val="12"/>
        <color theme="1"/>
        <rFont val="Albertus Medium"/>
        <family val="2"/>
      </rPr>
      <t>Grace In Gate Of Heaven</t>
    </r>
  </si>
  <si>
    <r>
      <t xml:space="preserve">    </t>
    </r>
    <r>
      <rPr>
        <b/>
        <sz val="12"/>
        <color theme="1"/>
        <rFont val="Calibri"/>
        <family val="2"/>
      </rPr>
      <t xml:space="preserve">        njickum@gmail.com</t>
    </r>
  </si>
  <si>
    <t>E-mail Address</t>
  </si>
  <si>
    <t>Gender</t>
  </si>
  <si>
    <t>F</t>
  </si>
  <si>
    <t>Bishop &amp;chairman/synod member</t>
  </si>
  <si>
    <t>Vice Chairman/Synod Member</t>
  </si>
  <si>
    <t>D. O. S &amp; Synod Member</t>
  </si>
  <si>
    <t>Trustee/Synod Member</t>
  </si>
  <si>
    <t>Genaral Secratory/Synod Member</t>
  </si>
  <si>
    <t>Synod Secretory/Synod Member</t>
  </si>
  <si>
    <t>Financial Trustee/Synod Member</t>
  </si>
  <si>
    <t>M</t>
  </si>
  <si>
    <t xml:space="preserve">                           </t>
  </si>
  <si>
    <r>
      <t xml:space="preserve">  </t>
    </r>
    <r>
      <rPr>
        <b/>
        <sz val="12"/>
        <color theme="1"/>
        <rFont val="Open Sans"/>
      </rPr>
      <t xml:space="preserve">  M</t>
    </r>
  </si>
  <si>
    <t>D. O. S &amp;Trustee &amp; Synod Member</t>
  </si>
  <si>
    <t>Trustee/D.O.S/Synod Member</t>
  </si>
  <si>
    <t>active</t>
  </si>
  <si>
    <t>D.O.S &amp;Member</t>
  </si>
  <si>
    <t>Rev. A. Joseph DuraiRaj</t>
  </si>
  <si>
    <t>Veluore</t>
  </si>
  <si>
    <t>06.03.2024</t>
  </si>
  <si>
    <t>06.03..2024</t>
  </si>
  <si>
    <t>11.10.2023</t>
  </si>
  <si>
    <t xml:space="preserve">                   </t>
  </si>
  <si>
    <t>10.04.2024</t>
  </si>
  <si>
    <t>No. Of Renewel 023</t>
  </si>
  <si>
    <t>TN0729</t>
  </si>
  <si>
    <t>Rev. K. Mathew</t>
  </si>
  <si>
    <t>10th</t>
  </si>
  <si>
    <t>13.05.1975</t>
  </si>
  <si>
    <t>M. Joice Devapriyam</t>
  </si>
  <si>
    <t>Rev. Joseph Kannan</t>
  </si>
  <si>
    <t>13/1/3B, Diverson Road, Town, Polur,Tiruvannamalai - 606803</t>
  </si>
  <si>
    <t>Jesus Leads Church</t>
  </si>
  <si>
    <t>Tiruvannamalai</t>
  </si>
  <si>
    <t>10.04.2024023</t>
  </si>
  <si>
    <t>TN0730</t>
  </si>
  <si>
    <t>Rev. Abraham Isravel</t>
  </si>
  <si>
    <t>9th</t>
  </si>
  <si>
    <t>Rev. Paul Durai</t>
  </si>
  <si>
    <t>17.10.1964</t>
  </si>
  <si>
    <t>abja-18@yahoo.com</t>
  </si>
  <si>
    <t xml:space="preserve">Flat 103, New Prince Plaza Co Op, Beverly Park RD Kanakia, Mira Road (E), Thane - 401107,Maharashtra. </t>
  </si>
  <si>
    <t>Ebenezer Prayer Group Church</t>
  </si>
  <si>
    <t>10.04.2024 023</t>
  </si>
  <si>
    <t>TN0731</t>
  </si>
  <si>
    <t>Rev. Vimala Abraham</t>
  </si>
  <si>
    <t>12th</t>
  </si>
  <si>
    <t>Mrs. Vimala</t>
  </si>
  <si>
    <t>16.01.1970</t>
  </si>
  <si>
    <t>TN0732</t>
  </si>
  <si>
    <t>Rev. S. Reuban Devakumar</t>
  </si>
  <si>
    <t>Diploma</t>
  </si>
  <si>
    <t>Rev. Simson.B</t>
  </si>
  <si>
    <t>Mrs. Malarkodi.s</t>
  </si>
  <si>
    <t>16.11.1971</t>
  </si>
  <si>
    <t>reubandevakumar8@gmail.com</t>
  </si>
  <si>
    <t>No.23, Professor Nager 1st Street, New Town Vanniyambadi, Tirupattur, Tamil Nadu - 635751.</t>
  </si>
  <si>
    <t>Glorious Bethel Prayer House</t>
  </si>
  <si>
    <t>TN0733</t>
  </si>
  <si>
    <t>Rev. Marthal Raja</t>
  </si>
  <si>
    <t>Rev. Raja Selvaraj</t>
  </si>
  <si>
    <t>21.12.1973</t>
  </si>
  <si>
    <t>rajamarthal@gmail.com</t>
  </si>
  <si>
    <t>B/302, Behind PG Vora School, Sai Complex Mira Road, Thene - 401107, Maharastra.</t>
  </si>
  <si>
    <t>TN0734</t>
  </si>
  <si>
    <t>Rev. Pravin Shivkumar Gupta</t>
  </si>
  <si>
    <t>Single</t>
  </si>
  <si>
    <t>27.09.1995</t>
  </si>
  <si>
    <t>pravinogupta@gmail.com</t>
  </si>
  <si>
    <t>G - 1, Bahubali App. Saibaba Nagar, Navghar Road, Bhayander (E), Thane - 401105, Maharastra.</t>
  </si>
  <si>
    <t xml:space="preserve">FLEM Prayer Centre   </t>
  </si>
  <si>
    <t>TN0735</t>
  </si>
  <si>
    <t>Rev. Sachin Chandrakant Jugekar</t>
  </si>
  <si>
    <t>B.sc,</t>
  </si>
  <si>
    <t>03.02.2001</t>
  </si>
  <si>
    <t>House 07, Ataligoan, Ambival West, Kalyan, Thane - 421102, Maharashtra.</t>
  </si>
  <si>
    <t>TN0736</t>
  </si>
  <si>
    <t>Rev. Sunil Kanhaiya Walhekar</t>
  </si>
  <si>
    <t>B.A,</t>
  </si>
  <si>
    <t>09.03.2024</t>
  </si>
  <si>
    <t xml:space="preserve">Book No. 114, Pipe Line Galli, Shani Mandir Road, Near Murte Kirana Stuar, Thane - 421001, Maharastra </t>
  </si>
  <si>
    <t>Rev. Sunil Kumar</t>
  </si>
  <si>
    <t>7th</t>
  </si>
  <si>
    <t>R. Raja Kumari</t>
  </si>
  <si>
    <t>Rev. John Subar sing</t>
  </si>
  <si>
    <t>16.05.1975</t>
  </si>
  <si>
    <t>19/59, Pudhukaduvettivillai, Nagaram, Thakkalai, Kanyakumari.</t>
  </si>
  <si>
    <t xml:space="preserve">Kirupasanam Christhuvin Sabai </t>
  </si>
  <si>
    <t>TN0737</t>
  </si>
  <si>
    <t>TN0738</t>
  </si>
  <si>
    <t>TN0739</t>
  </si>
  <si>
    <t>TN0740</t>
  </si>
  <si>
    <t>TN0741</t>
  </si>
  <si>
    <t>TN0742</t>
  </si>
  <si>
    <t>TN0743</t>
  </si>
  <si>
    <t>TN0744</t>
  </si>
  <si>
    <t>TN0745</t>
  </si>
  <si>
    <t>TN0746</t>
  </si>
  <si>
    <t>TN0747</t>
  </si>
  <si>
    <t>TN0748</t>
  </si>
  <si>
    <t>TN0749</t>
  </si>
  <si>
    <t>TN0750</t>
  </si>
  <si>
    <t>TN0751</t>
  </si>
  <si>
    <t>TN0752</t>
  </si>
  <si>
    <t>Rev. Sugumar . KP</t>
  </si>
  <si>
    <t>Mrs. N. Shiny</t>
  </si>
  <si>
    <t>02.06.1981</t>
  </si>
  <si>
    <t>3/55A, Surveyer Street, Attikattuvilai, Agastheeswaram, Kanyakumari (DT), Tamil Nadu.</t>
  </si>
  <si>
    <t>Jehovah Salvation Church</t>
  </si>
  <si>
    <t>Rev. A. Sampath</t>
  </si>
  <si>
    <t>Mrs. Mary Sampath</t>
  </si>
  <si>
    <t>Rev. Chinnappadoss</t>
  </si>
  <si>
    <t>01.01.1969</t>
  </si>
  <si>
    <t>3/19, Duraiappan Colony Street, Kunnur, Srivilliputhur, Virudhunagar - 626138, Tamil Nadu.</t>
  </si>
  <si>
    <t>Yohovah Ruva Ratchaniya Sabai</t>
  </si>
  <si>
    <t>Rev. S.M.P. Selvakani</t>
  </si>
  <si>
    <t>B.A. History</t>
  </si>
  <si>
    <t>R. Ponnaiya</t>
  </si>
  <si>
    <t>10.05.1980</t>
  </si>
  <si>
    <t>4/2322/9, Muneeswaran, Naranapuram Road, Sivakasi, Virudhunagar - 626189, Tamil Nadu.</t>
  </si>
  <si>
    <t>Gethsemene Ministries</t>
  </si>
  <si>
    <t>Rev. X. Jegan Amburose</t>
  </si>
  <si>
    <t>Mrs. Loyola</t>
  </si>
  <si>
    <t>23.04.1993</t>
  </si>
  <si>
    <t>77, Ariyanagapuram, Viluppanur, Srivilliputhur, Virudhunagar - 626138, Tamil Nadu.</t>
  </si>
  <si>
    <t>Rev. A. Laser</t>
  </si>
  <si>
    <t>Mrs. Joy Agnes</t>
  </si>
  <si>
    <t>04.06.1984</t>
  </si>
  <si>
    <t>2/91, Pillayar Kovil Street, Keelagopalapuram, Srivilliputhur, Virudhunagar - 626126,tamil Nadu.</t>
  </si>
  <si>
    <t>Rev. M. Sathiyanathan</t>
  </si>
  <si>
    <t>B.E</t>
  </si>
  <si>
    <t>Mrs. J. Velankani Rosine</t>
  </si>
  <si>
    <t>23.12.1980</t>
  </si>
  <si>
    <t>No.3, MM. House, 1st Cross Gandhi Nagar Crawford, Trichy - 620012, Tamil Nadu.</t>
  </si>
  <si>
    <t>Grace Of God Tabernacle</t>
  </si>
  <si>
    <t>Rev. M. Felix</t>
  </si>
  <si>
    <t>MCA</t>
  </si>
  <si>
    <t>Mrs. A. Josephin Jeyarani</t>
  </si>
  <si>
    <t>15.05.1966</t>
  </si>
  <si>
    <t>felixsap@gmail.com</t>
  </si>
  <si>
    <t>P -31, 3rd Cross Street, Aruna Avenue Karumandapam, Trichy - 620001, Tamil Nadu.</t>
  </si>
  <si>
    <t>Bethel Revival Prayer Centre</t>
  </si>
  <si>
    <t>Rev. M. Benyameen</t>
  </si>
  <si>
    <t>H.S.C</t>
  </si>
  <si>
    <t>Mrs. E. Beula</t>
  </si>
  <si>
    <t>18.05.1982</t>
  </si>
  <si>
    <t>Rev. P. Augustin</t>
  </si>
  <si>
    <t>Mrs. Beula Augustin</t>
  </si>
  <si>
    <t>shalomaugustin@gmail.com</t>
  </si>
  <si>
    <t>451, Churakavila, Kakkavila (PO), Neyattinkara, Thiruvanathapuram, Kerala - 695506, Tamil Nadu.</t>
  </si>
  <si>
    <t>I-1-269, Kudayalivilai, Choozhal, Vilavancode, Kanyakumari - 629160, Tamil Nadu.</t>
  </si>
  <si>
    <t>Thiruvanathapuram</t>
  </si>
  <si>
    <t>Jehovah (Pentecostal) Church</t>
  </si>
  <si>
    <t>Rev. Vasuki Pauldurai</t>
  </si>
  <si>
    <t>Pauldurai</t>
  </si>
  <si>
    <t>08.09.1961</t>
  </si>
  <si>
    <t>Door No.4, Devnath Singh Chawl, Subhash Nagar Jarimari (W), Kurla - 400072, Tamil Nadu.</t>
  </si>
  <si>
    <t>Peniel New Life Mission</t>
  </si>
  <si>
    <t>Rev. T. Samuel</t>
  </si>
  <si>
    <t>Rev. Berin Jabez Grant</t>
  </si>
  <si>
    <t>Rev. P. Praveen</t>
  </si>
  <si>
    <t xml:space="preserve">Rev. A. Suresh   </t>
  </si>
  <si>
    <t>Rev. R. Joseph RaviChandran</t>
  </si>
  <si>
    <t>MSW</t>
  </si>
  <si>
    <t>Mrs. Sumithra</t>
  </si>
  <si>
    <t>01.05.1978</t>
  </si>
  <si>
    <t>josephravichandran4ngmail.com</t>
  </si>
  <si>
    <t>ELROLY Revival Church</t>
  </si>
  <si>
    <t>Mrs. Jebamalai</t>
  </si>
  <si>
    <t>Rev. A. Anad</t>
  </si>
  <si>
    <t>20.05.1983</t>
  </si>
  <si>
    <t>R.N. Kandgai, Roadside Street, Utthiranerur(TK), Kanchepuram(DT), TamilNadu - 603403.</t>
  </si>
  <si>
    <t>Near Jeyaram College, Chinnathiruoathi, Salem - 636008.</t>
  </si>
  <si>
    <t>Village Revival Church</t>
  </si>
  <si>
    <t>10.05.1990</t>
  </si>
  <si>
    <t>paulkavi10grace@gmail.com</t>
  </si>
  <si>
    <t>No. 15B, 15th Street, Sakthi Nagar, Nerkundram, Chennai - 600107.</t>
  </si>
  <si>
    <t>My People Worship Center</t>
  </si>
  <si>
    <t>M.Sc.,</t>
  </si>
  <si>
    <t>Rev. J. Joseph</t>
  </si>
  <si>
    <t>10.07.1997</t>
  </si>
  <si>
    <t>berindevadoss@gmail.com</t>
  </si>
  <si>
    <t>29/55, Perumal Reddy Street, Egmore, Chennai - 600008, Tamil Nadu.</t>
  </si>
  <si>
    <t>Torch Jesus Church</t>
  </si>
  <si>
    <t>Elijay Prophetic Ministries</t>
  </si>
  <si>
    <t>Plot no.11, park Town 1st Street, Anaiyur, Madurai - 625017, Tamil Nadu.</t>
  </si>
  <si>
    <t>14.12.1985</t>
  </si>
  <si>
    <t>Rev. J.Joseph</t>
  </si>
  <si>
    <t>Mrs. N. Mercy Flora</t>
  </si>
  <si>
    <t>Singule</t>
  </si>
  <si>
    <t>10.04.2021</t>
  </si>
  <si>
    <t>No. Of Renewel 024</t>
  </si>
  <si>
    <t>10.04.2023</t>
  </si>
  <si>
    <t xml:space="preserve">  </t>
  </si>
  <si>
    <t>1/4622/22-                 N.D.murugannagar, tholshop,pandianagar, virudhunagar-626001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</si>
</sst>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Open Sans"/>
    </font>
    <font>
      <sz val="18"/>
      <color theme="0"/>
      <name val="Open Sans"/>
    </font>
    <font>
      <b/>
      <sz val="20"/>
      <color theme="0"/>
      <name val="Open Sans"/>
    </font>
    <font>
      <b/>
      <sz val="17"/>
      <color theme="1"/>
      <name val="Open Sans"/>
    </font>
    <font>
      <b/>
      <sz val="14"/>
      <color theme="0"/>
      <name val="Open Sans"/>
    </font>
    <font>
      <sz val="14"/>
      <color theme="0"/>
      <name val="Open Sans"/>
    </font>
    <font>
      <b/>
      <sz val="14"/>
      <color theme="1"/>
      <name val="Open Sans"/>
    </font>
    <font>
      <b/>
      <sz val="12"/>
      <color theme="0"/>
      <name val="Open Sans"/>
    </font>
    <font>
      <b/>
      <sz val="11"/>
      <color theme="1"/>
      <name val="Open Sans"/>
    </font>
    <font>
      <sz val="18"/>
      <color theme="1"/>
      <name val="Open Sans"/>
    </font>
    <font>
      <sz val="14"/>
      <color theme="1"/>
      <name val="Open Sans"/>
    </font>
    <font>
      <sz val="14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6.05"/>
      <color theme="10"/>
      <name val="Calibri"/>
      <family val="2"/>
    </font>
    <font>
      <sz val="12"/>
      <color theme="1"/>
      <name val="Calibri"/>
      <family val="2"/>
    </font>
    <font>
      <b/>
      <sz val="12"/>
      <color theme="1"/>
      <name val="Open Sans"/>
    </font>
    <font>
      <sz val="12"/>
      <color theme="1"/>
      <name val="Calibri"/>
      <family val="2"/>
      <scheme val="minor"/>
    </font>
    <font>
      <sz val="12"/>
      <color theme="1"/>
      <name val="Open Sans"/>
    </font>
    <font>
      <b/>
      <i/>
      <sz val="12"/>
      <color theme="1"/>
      <name val="Open Sans"/>
    </font>
    <font>
      <strike/>
      <sz val="12"/>
      <color theme="1"/>
      <name val="Open Sans"/>
    </font>
    <font>
      <b/>
      <strike/>
      <sz val="12"/>
      <color theme="1"/>
      <name val="Open Sans"/>
    </font>
    <font>
      <strike/>
      <sz val="12"/>
      <color theme="1"/>
      <name val="Calibri"/>
      <family val="2"/>
    </font>
    <font>
      <sz val="12"/>
      <color theme="1"/>
      <name val="Albertus Medium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8" fillId="0" borderId="0" xfId="0" applyFont="1" applyAlignment="1">
      <alignment horizontal="center" vertical="center" textRotation="90"/>
    </xf>
    <xf numFmtId="0" fontId="20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 wrapText="1"/>
    </xf>
    <xf numFmtId="0" fontId="22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18" fillId="3" borderId="16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6" fillId="0" borderId="3" xfId="0" applyFont="1" applyBorder="1"/>
    <xf numFmtId="0" fontId="21" fillId="0" borderId="0" xfId="0" applyFont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/>
    <xf numFmtId="16" fontId="17" fillId="0" borderId="8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4" borderId="1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3" xfId="0" applyFont="1" applyFill="1" applyBorder="1"/>
    <xf numFmtId="0" fontId="17" fillId="4" borderId="3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7" fillId="0" borderId="3" xfId="0" applyFont="1" applyBorder="1"/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3" fillId="0" borderId="0" xfId="0" applyFont="1"/>
    <xf numFmtId="0" fontId="17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3" fillId="0" borderId="3" xfId="0" applyFont="1" applyBorder="1"/>
    <xf numFmtId="0" fontId="17" fillId="0" borderId="15" xfId="0" applyFont="1" applyBorder="1" applyAlignment="1">
      <alignment horizontal="center"/>
    </xf>
    <xf numFmtId="0" fontId="17" fillId="0" borderId="15" xfId="0" applyFont="1" applyBorder="1"/>
    <xf numFmtId="0" fontId="16" fillId="0" borderId="13" xfId="0" applyFont="1" applyBorder="1"/>
    <xf numFmtId="0" fontId="16" fillId="0" borderId="19" xfId="0" applyFont="1" applyBorder="1" applyAlignment="1">
      <alignment horizontal="center"/>
    </xf>
    <xf numFmtId="0" fontId="16" fillId="0" borderId="20" xfId="0" applyFont="1" applyBorder="1"/>
    <xf numFmtId="0" fontId="17" fillId="0" borderId="20" xfId="0" applyFont="1" applyBorder="1" applyAlignment="1">
      <alignment horizontal="center" vertical="center"/>
    </xf>
    <xf numFmtId="0" fontId="17" fillId="0" borderId="20" xfId="0" applyFont="1" applyBorder="1"/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0" fillId="0" borderId="0" xfId="0" applyFont="1" applyFill="1" applyAlignment="1"/>
    <xf numFmtId="0" fontId="26" fillId="0" borderId="22" xfId="0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center" vertical="center" textRotation="90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left" vertical="center" wrapText="1"/>
    </xf>
    <xf numFmtId="0" fontId="28" fillId="0" borderId="3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4" xfId="0" applyFont="1" applyFill="1" applyBorder="1" applyAlignment="1">
      <alignment horizontal="center" vertical="center" textRotation="90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left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9" xfId="0" applyFont="1" applyFill="1" applyBorder="1" applyAlignment="1">
      <alignment horizontal="center" vertical="center" textRotation="90" wrapText="1"/>
    </xf>
    <xf numFmtId="0" fontId="30" fillId="0" borderId="9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left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textRotation="90" wrapText="1"/>
    </xf>
    <xf numFmtId="0" fontId="28" fillId="0" borderId="9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textRotation="90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wrapText="1"/>
    </xf>
    <xf numFmtId="0" fontId="28" fillId="0" borderId="0" xfId="0" applyFont="1" applyFill="1" applyAlignment="1">
      <alignment horizontal="left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0" fontId="28" fillId="0" borderId="3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16" xfId="0" applyFont="1" applyFill="1" applyBorder="1" applyAlignment="1">
      <alignment horizontal="center" vertical="center" textRotation="90" wrapText="1"/>
    </xf>
    <xf numFmtId="0" fontId="26" fillId="0" borderId="22" xfId="0" applyFont="1" applyFill="1" applyBorder="1" applyAlignment="1">
      <alignment horizontal="center" vertical="center" textRotation="90" wrapText="1"/>
    </xf>
    <xf numFmtId="0" fontId="28" fillId="0" borderId="22" xfId="0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horizontal="left" vertical="center" wrapText="1"/>
    </xf>
    <xf numFmtId="0" fontId="28" fillId="0" borderId="22" xfId="0" applyFont="1" applyFill="1" applyBorder="1" applyAlignment="1">
      <alignment textRotation="90" wrapText="1"/>
    </xf>
    <xf numFmtId="0" fontId="26" fillId="0" borderId="10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textRotation="90" wrapText="1"/>
    </xf>
    <xf numFmtId="0" fontId="28" fillId="0" borderId="13" xfId="0" applyFont="1" applyFill="1" applyBorder="1" applyAlignment="1">
      <alignment horizontal="center" vertical="center" textRotation="90" wrapText="1"/>
    </xf>
    <xf numFmtId="0" fontId="28" fillId="0" borderId="10" xfId="0" applyFont="1" applyFill="1" applyBorder="1" applyAlignment="1">
      <alignment horizontal="center" vertical="center" textRotation="90" wrapText="1"/>
    </xf>
    <xf numFmtId="0" fontId="26" fillId="0" borderId="14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textRotation="90" wrapText="1"/>
    </xf>
    <xf numFmtId="0" fontId="29" fillId="0" borderId="7" xfId="0" applyFont="1" applyFill="1" applyBorder="1" applyAlignment="1">
      <alignment horizontal="center" vertical="center" textRotation="90" wrapText="1"/>
    </xf>
    <xf numFmtId="0" fontId="28" fillId="0" borderId="7" xfId="0" applyFont="1" applyFill="1" applyBorder="1" applyAlignment="1">
      <alignment horizontal="center" vertical="center" textRotation="90" wrapText="1"/>
    </xf>
    <xf numFmtId="0" fontId="31" fillId="0" borderId="10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textRotation="90" wrapText="1"/>
    </xf>
    <xf numFmtId="0" fontId="30" fillId="0" borderId="7" xfId="0" applyFont="1" applyFill="1" applyBorder="1" applyAlignment="1">
      <alignment horizontal="center" vertical="center" textRotation="90" wrapText="1"/>
    </xf>
    <xf numFmtId="0" fontId="26" fillId="0" borderId="13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 textRotation="90" wrapText="1"/>
    </xf>
    <xf numFmtId="0" fontId="28" fillId="0" borderId="17" xfId="0" applyFont="1" applyFill="1" applyBorder="1" applyAlignment="1">
      <alignment horizontal="center" vertical="center" textRotation="90" wrapText="1"/>
    </xf>
    <xf numFmtId="0" fontId="26" fillId="0" borderId="0" xfId="0" applyFont="1" applyFill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textRotation="90" wrapText="1"/>
    </xf>
    <xf numFmtId="0" fontId="30" fillId="0" borderId="12" xfId="0" applyFont="1" applyFill="1" applyBorder="1" applyAlignment="1">
      <alignment horizontal="center" vertical="center" textRotation="90" wrapText="1"/>
    </xf>
    <xf numFmtId="0" fontId="30" fillId="0" borderId="17" xfId="0" applyFont="1" applyFill="1" applyBorder="1" applyAlignment="1">
      <alignment horizontal="center" vertical="center" textRotation="90" wrapText="1"/>
    </xf>
    <xf numFmtId="14" fontId="28" fillId="0" borderId="7" xfId="0" applyNumberFormat="1" applyFont="1" applyFill="1" applyBorder="1" applyAlignment="1">
      <alignment horizontal="center" vertical="center" textRotation="90" wrapText="1"/>
    </xf>
    <xf numFmtId="0" fontId="29" fillId="0" borderId="17" xfId="0" applyFont="1" applyFill="1" applyBorder="1" applyAlignment="1">
      <alignment horizontal="center" vertical="center" textRotation="90" wrapText="1"/>
    </xf>
    <xf numFmtId="14" fontId="28" fillId="0" borderId="12" xfId="0" applyNumberFormat="1" applyFont="1" applyFill="1" applyBorder="1" applyAlignment="1">
      <alignment horizontal="center" vertical="center" textRotation="90" wrapText="1"/>
    </xf>
    <xf numFmtId="14" fontId="28" fillId="0" borderId="13" xfId="0" applyNumberFormat="1" applyFont="1" applyFill="1" applyBorder="1" applyAlignment="1">
      <alignment horizontal="center" vertical="center" textRotation="90" wrapText="1"/>
    </xf>
    <xf numFmtId="14" fontId="28" fillId="0" borderId="10" xfId="0" applyNumberFormat="1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center" vertical="center" textRotation="90" wrapText="1"/>
    </xf>
    <xf numFmtId="0" fontId="28" fillId="0" borderId="9" xfId="0" applyFont="1" applyFill="1" applyBorder="1" applyAlignment="1">
      <alignment vertical="center" wrapText="1"/>
    </xf>
    <xf numFmtId="0" fontId="26" fillId="0" borderId="17" xfId="0" applyFont="1" applyFill="1" applyBorder="1" applyAlignment="1">
      <alignment horizontal="center" vertical="center" textRotation="90" wrapText="1"/>
    </xf>
    <xf numFmtId="0" fontId="28" fillId="0" borderId="22" xfId="0" applyFont="1" applyFill="1" applyBorder="1" applyAlignment="1">
      <alignment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34" fillId="0" borderId="22" xfId="0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wrapText="1"/>
    </xf>
    <xf numFmtId="0" fontId="28" fillId="0" borderId="22" xfId="0" applyFont="1" applyFill="1" applyBorder="1" applyAlignment="1">
      <alignment horizontal="center" vertical="center" textRotation="90" wrapText="1"/>
    </xf>
    <xf numFmtId="0" fontId="28" fillId="0" borderId="22" xfId="0" applyFont="1" applyFill="1" applyBorder="1" applyAlignment="1">
      <alignment wrapText="1"/>
    </xf>
    <xf numFmtId="0" fontId="25" fillId="0" borderId="22" xfId="0" applyFont="1" applyFill="1" applyBorder="1" applyAlignment="1">
      <alignment wrapText="1"/>
    </xf>
    <xf numFmtId="0" fontId="26" fillId="0" borderId="22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textRotation="90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NumberFormat="1" applyFont="1" applyFill="1" applyBorder="1" applyAlignment="1">
      <alignment horizontal="center" vertical="center" textRotation="90" wrapText="1"/>
    </xf>
    <xf numFmtId="0" fontId="9" fillId="6" borderId="6" xfId="0" applyFont="1" applyFill="1" applyBorder="1" applyAlignment="1">
      <alignment horizontal="center" vertical="center" textRotation="90" wrapText="1"/>
    </xf>
    <xf numFmtId="0" fontId="9" fillId="6" borderId="2" xfId="0" applyNumberFormat="1" applyFont="1" applyFill="1" applyBorder="1" applyAlignment="1">
      <alignment horizontal="center" vertical="center" textRotation="90" wrapText="1"/>
    </xf>
    <xf numFmtId="0" fontId="9" fillId="6" borderId="7" xfId="0" applyNumberFormat="1" applyFont="1" applyFill="1" applyBorder="1" applyAlignment="1">
      <alignment horizontal="center" vertical="center" textRotation="90" wrapText="1"/>
    </xf>
    <xf numFmtId="0" fontId="9" fillId="6" borderId="22" xfId="0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textRotation="90" wrapText="1"/>
    </xf>
    <xf numFmtId="0" fontId="36" fillId="0" borderId="0" xfId="0" applyFont="1" applyAlignment="1"/>
    <xf numFmtId="0" fontId="31" fillId="0" borderId="11" xfId="0" applyFont="1" applyFill="1" applyBorder="1" applyAlignment="1">
      <alignment horizontal="center" vertical="center" wrapText="1"/>
    </xf>
    <xf numFmtId="0" fontId="30" fillId="0" borderId="16" xfId="0" applyFont="1" applyFill="1" applyBorder="1" applyAlignment="1">
      <alignment horizontal="center" vertical="center" textRotation="90" wrapText="1"/>
    </xf>
    <xf numFmtId="0" fontId="31" fillId="0" borderId="3" xfId="0" applyFont="1" applyFill="1" applyBorder="1" applyAlignment="1">
      <alignment horizontal="left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26" fillId="0" borderId="10" xfId="0" applyNumberFormat="1" applyFont="1" applyFill="1" applyBorder="1" applyAlignment="1">
      <alignment horizontal="center" vertical="center" wrapText="1"/>
    </xf>
    <xf numFmtId="0" fontId="26" fillId="0" borderId="3" xfId="0" applyNumberFormat="1" applyFont="1" applyFill="1" applyBorder="1" applyAlignment="1">
      <alignment horizontal="left" vertical="center" wrapText="1"/>
    </xf>
    <xf numFmtId="0" fontId="26" fillId="0" borderId="9" xfId="0" applyNumberFormat="1" applyFont="1" applyFill="1" applyBorder="1" applyAlignment="1">
      <alignment horizontal="center" vertical="center" textRotation="90" wrapText="1"/>
    </xf>
    <xf numFmtId="0" fontId="26" fillId="0" borderId="9" xfId="0" applyNumberFormat="1" applyFont="1" applyFill="1" applyBorder="1" applyAlignment="1">
      <alignment horizontal="center" vertical="center" wrapText="1"/>
    </xf>
    <xf numFmtId="0" fontId="28" fillId="0" borderId="11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left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6" fillId="0" borderId="3" xfId="0" applyNumberFormat="1" applyFont="1" applyFill="1" applyBorder="1" applyAlignment="1">
      <alignment horizontal="center" vertical="center" textRotation="90" wrapText="1"/>
    </xf>
    <xf numFmtId="0" fontId="26" fillId="0" borderId="3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textRotation="90" wrapText="1"/>
    </xf>
    <xf numFmtId="0" fontId="28" fillId="0" borderId="7" xfId="0" applyNumberFormat="1" applyFont="1" applyFill="1" applyBorder="1" applyAlignment="1">
      <alignment horizontal="center" vertical="center" textRotation="90" wrapText="1"/>
    </xf>
    <xf numFmtId="0" fontId="2" fillId="0" borderId="0" xfId="0" applyNumberFormat="1" applyFont="1" applyAlignment="1"/>
    <xf numFmtId="0" fontId="2" fillId="0" borderId="0" xfId="0" applyFont="1" applyAlignment="1"/>
    <xf numFmtId="0" fontId="9" fillId="6" borderId="10" xfId="0" applyNumberFormat="1" applyFont="1" applyFill="1" applyBorder="1" applyAlignment="1">
      <alignment horizontal="center" vertical="center" textRotation="90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textRotation="90" wrapText="1"/>
    </xf>
    <xf numFmtId="0" fontId="9" fillId="6" borderId="14" xfId="0" applyNumberFormat="1" applyFont="1" applyFill="1" applyBorder="1" applyAlignment="1">
      <alignment horizontal="center" vertical="center" textRotation="90" wrapText="1"/>
    </xf>
    <xf numFmtId="0" fontId="28" fillId="0" borderId="11" xfId="0" applyFont="1" applyFill="1" applyBorder="1" applyAlignment="1">
      <alignment horizontal="center" vertical="center" textRotation="90" wrapText="1"/>
    </xf>
    <xf numFmtId="0" fontId="26" fillId="0" borderId="18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left" vertical="center" wrapText="1"/>
    </xf>
    <xf numFmtId="0" fontId="28" fillId="0" borderId="8" xfId="0" applyFont="1" applyFill="1" applyBorder="1" applyAlignment="1">
      <alignment horizontal="center" vertical="center" textRotation="90" wrapText="1"/>
    </xf>
    <xf numFmtId="0" fontId="0" fillId="0" borderId="5" xfId="0" applyFont="1" applyBorder="1" applyAlignment="1"/>
    <xf numFmtId="0" fontId="28" fillId="0" borderId="26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left" vertical="center" wrapText="1"/>
    </xf>
    <xf numFmtId="0" fontId="28" fillId="0" borderId="26" xfId="0" applyFont="1" applyFill="1" applyBorder="1" applyAlignment="1">
      <alignment horizontal="left" vertical="center" wrapText="1"/>
    </xf>
    <xf numFmtId="0" fontId="28" fillId="0" borderId="26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textRotation="90" wrapText="1"/>
    </xf>
    <xf numFmtId="0" fontId="35" fillId="6" borderId="22" xfId="0" applyFont="1" applyFill="1" applyBorder="1" applyAlignment="1"/>
    <xf numFmtId="0" fontId="0" fillId="0" borderId="22" xfId="0" applyFont="1" applyBorder="1" applyAlignment="1"/>
    <xf numFmtId="0" fontId="28" fillId="0" borderId="9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left" vertical="center"/>
    </xf>
    <xf numFmtId="0" fontId="26" fillId="0" borderId="9" xfId="0" applyFont="1" applyFill="1" applyBorder="1" applyAlignment="1">
      <alignment horizontal="center" vertical="center" textRotation="90"/>
    </xf>
    <xf numFmtId="0" fontId="26" fillId="0" borderId="9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28" fillId="0" borderId="3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 textRotation="90"/>
    </xf>
    <xf numFmtId="0" fontId="26" fillId="0" borderId="3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 textRotation="90"/>
    </xf>
    <xf numFmtId="0" fontId="28" fillId="0" borderId="7" xfId="0" applyFont="1" applyFill="1" applyBorder="1" applyAlignment="1">
      <alignment horizontal="center" vertical="center" textRotation="90"/>
    </xf>
    <xf numFmtId="0" fontId="1" fillId="0" borderId="0" xfId="0" applyFont="1" applyAlignment="1"/>
    <xf numFmtId="0" fontId="30" fillId="0" borderId="10" xfId="0" applyFont="1" applyFill="1" applyBorder="1" applyAlignment="1">
      <alignment horizontal="center" vertical="center" textRotation="90" wrapText="1"/>
    </xf>
    <xf numFmtId="0" fontId="28" fillId="0" borderId="10" xfId="0" applyFont="1" applyFill="1" applyBorder="1" applyAlignment="1">
      <alignment horizontal="center" vertical="center" textRotation="90"/>
    </xf>
    <xf numFmtId="0" fontId="28" fillId="0" borderId="10" xfId="0" applyNumberFormat="1" applyFont="1" applyFill="1" applyBorder="1" applyAlignment="1">
      <alignment horizontal="center" vertical="center" textRotation="90" wrapText="1"/>
    </xf>
    <xf numFmtId="0" fontId="29" fillId="0" borderId="10" xfId="0" applyFont="1" applyFill="1" applyBorder="1" applyAlignment="1">
      <alignment horizontal="center" vertical="center" textRotation="90" wrapText="1"/>
    </xf>
    <xf numFmtId="0" fontId="26" fillId="0" borderId="23" xfId="0" applyFont="1" applyFill="1" applyBorder="1" applyAlignment="1">
      <alignment horizontal="center" vertical="center" textRotation="90" wrapText="1"/>
    </xf>
    <xf numFmtId="0" fontId="28" fillId="0" borderId="23" xfId="0" applyFont="1" applyFill="1" applyBorder="1" applyAlignment="1">
      <alignment wrapText="1"/>
    </xf>
    <xf numFmtId="0" fontId="28" fillId="0" borderId="23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0" fillId="0" borderId="5" xfId="0" applyFont="1" applyFill="1" applyBorder="1" applyAlignment="1"/>
    <xf numFmtId="0" fontId="9" fillId="6" borderId="22" xfId="0" applyNumberFormat="1" applyFont="1" applyFill="1" applyBorder="1" applyAlignment="1">
      <alignment horizontal="center" vertical="center" textRotation="90" wrapText="1"/>
    </xf>
    <xf numFmtId="0" fontId="30" fillId="0" borderId="22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28" fillId="0" borderId="22" xfId="0" applyNumberFormat="1" applyFont="1" applyFill="1" applyBorder="1" applyAlignment="1">
      <alignment horizontal="center" vertical="center" wrapText="1"/>
    </xf>
    <xf numFmtId="0" fontId="20" fillId="0" borderId="22" xfId="0" applyNumberFormat="1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wrapText="1"/>
    </xf>
    <xf numFmtId="0" fontId="0" fillId="0" borderId="22" xfId="0" applyFont="1" applyFill="1" applyBorder="1" applyAlignment="1"/>
    <xf numFmtId="0" fontId="13" fillId="0" borderId="22" xfId="0" applyFont="1" applyBorder="1"/>
    <xf numFmtId="0" fontId="8" fillId="0" borderId="22" xfId="0" applyFont="1" applyBorder="1"/>
    <xf numFmtId="0" fontId="14" fillId="0" borderId="22" xfId="0" applyFont="1" applyBorder="1"/>
    <xf numFmtId="0" fontId="36" fillId="0" borderId="22" xfId="0" applyFont="1" applyFill="1" applyBorder="1" applyAlignment="1"/>
    <xf numFmtId="0" fontId="1" fillId="0" borderId="22" xfId="0" applyFont="1" applyFill="1" applyBorder="1" applyAlignment="1"/>
    <xf numFmtId="0" fontId="2" fillId="0" borderId="22" xfId="0" applyNumberFormat="1" applyFont="1" applyFill="1" applyBorder="1" applyAlignment="1"/>
    <xf numFmtId="0" fontId="2" fillId="0" borderId="22" xfId="0" applyFont="1" applyFill="1" applyBorder="1" applyAlignment="1"/>
    <xf numFmtId="0" fontId="35" fillId="0" borderId="22" xfId="0" applyFont="1" applyFill="1" applyBorder="1" applyAlignment="1"/>
    <xf numFmtId="0" fontId="36" fillId="0" borderId="0" xfId="0" applyFont="1" applyFill="1" applyAlignment="1"/>
    <xf numFmtId="0" fontId="1" fillId="0" borderId="0" xfId="0" applyFont="1" applyFill="1" applyAlignment="1"/>
    <xf numFmtId="0" fontId="2" fillId="0" borderId="0" xfId="0" applyNumberFormat="1" applyFont="1" applyFill="1" applyAlignment="1"/>
    <xf numFmtId="0" fontId="2" fillId="0" borderId="0" xfId="0" applyFont="1" applyFill="1" applyAlignment="1"/>
    <xf numFmtId="0" fontId="9" fillId="6" borderId="23" xfId="0" applyFont="1" applyFill="1" applyBorder="1" applyAlignment="1">
      <alignment horizontal="center" vertical="center" textRotation="90" wrapText="1"/>
    </xf>
    <xf numFmtId="0" fontId="28" fillId="0" borderId="18" xfId="0" applyFont="1" applyFill="1" applyBorder="1" applyAlignment="1">
      <alignment horizontal="center" vertical="center" wrapText="1"/>
    </xf>
    <xf numFmtId="0" fontId="28" fillId="0" borderId="28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/>
    </xf>
    <xf numFmtId="0" fontId="28" fillId="0" borderId="24" xfId="0" applyNumberFormat="1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wrapText="1"/>
    </xf>
    <xf numFmtId="0" fontId="28" fillId="0" borderId="27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left" vertical="center" wrapText="1"/>
    </xf>
    <xf numFmtId="0" fontId="25" fillId="0" borderId="27" xfId="1" applyFont="1" applyFill="1" applyBorder="1" applyAlignment="1" applyProtection="1">
      <alignment horizontal="left" vertical="center" wrapText="1"/>
    </xf>
    <xf numFmtId="0" fontId="37" fillId="0" borderId="27" xfId="1" applyFont="1" applyFill="1" applyBorder="1" applyAlignment="1" applyProtection="1">
      <alignment horizontal="center" vertical="center" wrapText="1"/>
    </xf>
    <xf numFmtId="0" fontId="38" fillId="0" borderId="27" xfId="1" applyFont="1" applyFill="1" applyBorder="1" applyAlignment="1" applyProtection="1">
      <alignment horizontal="center" vertical="center" wrapText="1"/>
    </xf>
    <xf numFmtId="0" fontId="31" fillId="0" borderId="22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26" fillId="0" borderId="30" xfId="0" applyFont="1" applyFill="1" applyBorder="1" applyAlignment="1">
      <alignment horizontal="center" vertical="center" textRotation="90" wrapText="1"/>
    </xf>
    <xf numFmtId="0" fontId="39" fillId="0" borderId="27" xfId="1" applyFont="1" applyFill="1" applyBorder="1" applyAlignment="1" applyProtection="1">
      <alignment horizontal="center" vertical="center" wrapText="1"/>
    </xf>
    <xf numFmtId="0" fontId="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textRotation="90"/>
    </xf>
    <xf numFmtId="0" fontId="36" fillId="0" borderId="22" xfId="0" applyFont="1" applyBorder="1" applyAlignment="1"/>
    <xf numFmtId="0" fontId="1" fillId="0" borderId="22" xfId="0" applyFont="1" applyBorder="1" applyAlignment="1"/>
    <xf numFmtId="0" fontId="2" fillId="0" borderId="22" xfId="0" applyNumberFormat="1" applyFont="1" applyBorder="1" applyAlignment="1"/>
    <xf numFmtId="0" fontId="2" fillId="0" borderId="22" xfId="0" applyFont="1" applyBorder="1" applyAlignment="1"/>
    <xf numFmtId="0" fontId="40" fillId="0" borderId="22" xfId="0" applyFont="1" applyBorder="1" applyAlignment="1">
      <alignment horizontal="center" vertical="center"/>
    </xf>
    <xf numFmtId="0" fontId="35" fillId="0" borderId="22" xfId="0" applyFont="1" applyFill="1" applyBorder="1" applyAlignment="1">
      <alignment textRotation="90"/>
    </xf>
    <xf numFmtId="0" fontId="0" fillId="0" borderId="22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Renewel-style" pivot="0" count="4">
      <tableStyleElement type="headerRow" dxfId="10"/>
      <tableStyleElement type="totalRow" dxfId="9"/>
      <tableStyleElement type="firstRowStripe" dxfId="8"/>
      <tableStyleElement type="secondRowStripe" dxfId="7"/>
    </tableStyle>
    <tableStyle name="D.O.S-style" pivot="0" count="3">
      <tableStyleElement type="headerRow" dxfId="6"/>
      <tableStyleElement type="firstRowStripe" dxfId="5"/>
      <tableStyleElement type="secondRowStripe" dxfId="4"/>
    </tableStyle>
    <tableStyle name="Marriage Registration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_2" displayName="Table_2" ref="B1:H18">
  <tableColumns count="7">
    <tableColumn id="1" name="Reg.No"/>
    <tableColumn id="2" name="Name"/>
    <tableColumn id="3" name="Designation"/>
    <tableColumn id="4" name="District"/>
    <tableColumn id="5" name="Reference Details"/>
    <tableColumn id="6" name="Address"/>
    <tableColumn id="7" name="Phone No."/>
  </tableColumns>
  <tableStyleInfo name="D.O.S-style" showFirstColumn="1" showLastColumn="1" showRowStripes="1" showColumnStripes="0"/>
</table>
</file>

<file path=xl/tables/table2.xml><?xml version="1.0" encoding="utf-8"?>
<table xmlns="http://schemas.openxmlformats.org/spreadsheetml/2006/main" id="3" name="Table_3" displayName="Table_3" ref="A1:O54">
  <tableColumns count="15">
    <tableColumn id="1" name="Reg.No"/>
    <tableColumn id="2" name="Date "/>
    <tableColumn id="3" name="Book Number"/>
    <tableColumn id="4" name="Name "/>
    <tableColumn id="5" name="Ministering Location"/>
    <tableColumn id="6" name="Before Banns"/>
    <tableColumn id="7" name="After Banns"/>
    <tableColumn id="8" name="Marriage Register"/>
    <tableColumn id="9" name="Status"/>
    <tableColumn id="10" name="2014 -2015"/>
    <tableColumn id="11" name="2015 - 2016"/>
    <tableColumn id="12" name="2016-2017"/>
    <tableColumn id="13" name="2017-2018"/>
    <tableColumn id="14" name="2018-2019"/>
    <tableColumn id="15" name="2019-2020"/>
  </tableColumns>
  <tableStyleInfo name="Marriage Regist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ja-18@yahoo.com" TargetMode="External"/><Relationship Id="rId13" Type="http://schemas.openxmlformats.org/officeDocument/2006/relationships/hyperlink" Target="mailto:shalomaugustin@gmail.com" TargetMode="External"/><Relationship Id="rId3" Type="http://schemas.openxmlformats.org/officeDocument/2006/relationships/hyperlink" Target="mailto:solomonraja21@gmail.com" TargetMode="External"/><Relationship Id="rId7" Type="http://schemas.openxmlformats.org/officeDocument/2006/relationships/hyperlink" Target="mailto:abja-18@yahoo.com" TargetMode="External"/><Relationship Id="rId12" Type="http://schemas.openxmlformats.org/officeDocument/2006/relationships/hyperlink" Target="mailto:felixsap@gmail.com" TargetMode="External"/><Relationship Id="rId2" Type="http://schemas.openxmlformats.org/officeDocument/2006/relationships/hyperlink" Target="mailto:njickum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njickum@gmail.com" TargetMode="External"/><Relationship Id="rId6" Type="http://schemas.openxmlformats.org/officeDocument/2006/relationships/hyperlink" Target="mailto:livingrockchurch07@gmail.com" TargetMode="External"/><Relationship Id="rId11" Type="http://schemas.openxmlformats.org/officeDocument/2006/relationships/hyperlink" Target="mailto:pravinogupta@gmail.com" TargetMode="External"/><Relationship Id="rId5" Type="http://schemas.openxmlformats.org/officeDocument/2006/relationships/hyperlink" Target="mailto:albertbensoni1990@gmail.com" TargetMode="External"/><Relationship Id="rId15" Type="http://schemas.openxmlformats.org/officeDocument/2006/relationships/hyperlink" Target="mailto:berindevadoss@gmail.com" TargetMode="External"/><Relationship Id="rId10" Type="http://schemas.openxmlformats.org/officeDocument/2006/relationships/hyperlink" Target="mailto:rajamarthal@gmail.com" TargetMode="External"/><Relationship Id="rId4" Type="http://schemas.openxmlformats.org/officeDocument/2006/relationships/hyperlink" Target="mailto:pushpajothifrederic@gmail.com" TargetMode="External"/><Relationship Id="rId9" Type="http://schemas.openxmlformats.org/officeDocument/2006/relationships/hyperlink" Target="mailto:reubandevakumar8@gmail.com" TargetMode="External"/><Relationship Id="rId14" Type="http://schemas.openxmlformats.org/officeDocument/2006/relationships/hyperlink" Target="mailto:paulkavi10grace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909"/>
  <sheetViews>
    <sheetView tabSelected="1" workbookViewId="0">
      <pane ySplit="1" topLeftCell="A35" activePane="bottomLeft" state="frozen"/>
      <selection pane="bottomLeft" activeCell="N38" sqref="N38"/>
    </sheetView>
  </sheetViews>
  <sheetFormatPr defaultColWidth="14.42578125" defaultRowHeight="15" customHeight="1" outlineLevelCol="1"/>
  <cols>
    <col min="1" max="1" width="8.140625" customWidth="1"/>
    <col min="2" max="2" width="9.28515625" customWidth="1"/>
    <col min="3" max="3" width="34.28515625" customWidth="1"/>
    <col min="4" max="4" width="9.28515625" customWidth="1"/>
    <col min="5" max="5" width="6.7109375" hidden="1" customWidth="1"/>
    <col min="6" max="7" width="13.42578125" hidden="1" customWidth="1" outlineLevel="1"/>
    <col min="8" max="8" width="14.7109375" hidden="1" customWidth="1" outlineLevel="1"/>
    <col min="9" max="9" width="13.42578125" hidden="1" customWidth="1" outlineLevel="1"/>
    <col min="10" max="10" width="36.5703125" hidden="1" customWidth="1" collapsed="1"/>
    <col min="11" max="11" width="12.5703125" style="201" customWidth="1"/>
    <col min="12" max="12" width="10.28515625" style="209" hidden="1" customWidth="1"/>
    <col min="13" max="13" width="44.28515625" style="201" hidden="1" customWidth="1"/>
    <col min="14" max="14" width="32.140625" customWidth="1"/>
    <col min="15" max="15" width="17.7109375" customWidth="1"/>
    <col min="16" max="17" width="9.140625" customWidth="1"/>
    <col min="18" max="18" width="18.5703125" customWidth="1"/>
    <col min="19" max="19" width="12" bestFit="1" customWidth="1"/>
    <col min="20" max="29" width="6.28515625" hidden="1" customWidth="1" outlineLevel="1"/>
    <col min="30" max="30" width="6.28515625" style="201" hidden="1" customWidth="1" outlineLevel="1"/>
    <col min="31" max="31" width="6.42578125" style="240" hidden="1" customWidth="1"/>
    <col min="32" max="48" width="7.28515625" style="209" hidden="1" customWidth="1" outlineLevel="1"/>
    <col min="49" max="50" width="7.28515625" style="209" hidden="1" customWidth="1"/>
    <col min="51" max="51" width="6.140625" style="240" hidden="1" customWidth="1"/>
    <col min="52" max="52" width="14.140625" style="209" customWidth="1" outlineLevel="1"/>
    <col min="53" max="54" width="7.28515625" style="209" hidden="1" customWidth="1"/>
    <col min="55" max="55" width="7.7109375" style="209" hidden="1" customWidth="1"/>
    <col min="56" max="56" width="7.42578125" style="240" hidden="1" customWidth="1"/>
    <col min="57" max="57" width="9.5703125" style="209" hidden="1" customWidth="1"/>
    <col min="58" max="58" width="11.42578125" style="209" hidden="1" customWidth="1"/>
    <col min="59" max="74" width="14.42578125" style="84"/>
  </cols>
  <sheetData>
    <row r="1" spans="1:16383" s="208" customFormat="1" ht="95.45" customHeight="1">
      <c r="A1" s="173" t="s">
        <v>0</v>
      </c>
      <c r="B1" s="173" t="s">
        <v>1</v>
      </c>
      <c r="C1" s="170" t="s">
        <v>2</v>
      </c>
      <c r="D1" s="195" t="s">
        <v>3</v>
      </c>
      <c r="E1" s="164" t="s">
        <v>4</v>
      </c>
      <c r="F1" s="164" t="s">
        <v>5</v>
      </c>
      <c r="G1" s="164" t="s">
        <v>6</v>
      </c>
      <c r="H1" s="164" t="s">
        <v>7</v>
      </c>
      <c r="I1" s="164" t="s">
        <v>8</v>
      </c>
      <c r="J1" s="165" t="s">
        <v>9</v>
      </c>
      <c r="K1" s="253" t="s">
        <v>10</v>
      </c>
      <c r="L1" s="173" t="s">
        <v>4200</v>
      </c>
      <c r="M1" s="262" t="s">
        <v>4199</v>
      </c>
      <c r="N1" s="170" t="s">
        <v>11</v>
      </c>
      <c r="O1" s="170" t="s">
        <v>12</v>
      </c>
      <c r="P1" s="173" t="s">
        <v>13</v>
      </c>
      <c r="Q1" s="173" t="s">
        <v>4221</v>
      </c>
      <c r="R1" s="170" t="s">
        <v>14</v>
      </c>
      <c r="S1" s="173" t="s">
        <v>15</v>
      </c>
      <c r="T1" s="196">
        <v>2014</v>
      </c>
      <c r="U1" s="167">
        <v>2015</v>
      </c>
      <c r="V1" s="166">
        <v>2016</v>
      </c>
      <c r="W1" s="166">
        <v>2017</v>
      </c>
      <c r="X1" s="166">
        <v>2018</v>
      </c>
      <c r="Y1" s="168">
        <v>2019</v>
      </c>
      <c r="Z1" s="169">
        <v>2020</v>
      </c>
      <c r="AA1" s="169">
        <v>2021</v>
      </c>
      <c r="AB1" s="169">
        <v>2022</v>
      </c>
      <c r="AC1" s="169">
        <v>2023</v>
      </c>
      <c r="AD1" s="192">
        <v>2024</v>
      </c>
      <c r="AE1" s="231">
        <v>2025</v>
      </c>
      <c r="AF1" s="173" t="s">
        <v>17</v>
      </c>
      <c r="AG1" s="173" t="s">
        <v>18</v>
      </c>
      <c r="AH1" s="173" t="s">
        <v>19</v>
      </c>
      <c r="AI1" s="173" t="s">
        <v>20</v>
      </c>
      <c r="AJ1" s="173" t="s">
        <v>21</v>
      </c>
      <c r="AK1" s="173" t="s">
        <v>22</v>
      </c>
      <c r="AL1" s="173" t="s">
        <v>23</v>
      </c>
      <c r="AM1" s="173" t="s">
        <v>24</v>
      </c>
      <c r="AN1" s="173" t="s">
        <v>25</v>
      </c>
      <c r="AO1" s="173" t="s">
        <v>26</v>
      </c>
      <c r="AP1" s="173" t="s">
        <v>27</v>
      </c>
      <c r="AQ1" s="173" t="s">
        <v>28</v>
      </c>
      <c r="AR1" s="173" t="s">
        <v>29</v>
      </c>
      <c r="AS1" s="173" t="s">
        <v>30</v>
      </c>
      <c r="AT1" s="173" t="s">
        <v>31</v>
      </c>
      <c r="AU1" s="173" t="s">
        <v>32</v>
      </c>
      <c r="AV1" s="173" t="s">
        <v>33</v>
      </c>
      <c r="AW1" s="173" t="s">
        <v>34</v>
      </c>
      <c r="AX1" s="173" t="s">
        <v>35</v>
      </c>
      <c r="AY1" s="231">
        <v>2026</v>
      </c>
      <c r="AZ1" s="173" t="s">
        <v>16</v>
      </c>
      <c r="BA1" s="173" t="s">
        <v>36</v>
      </c>
      <c r="BB1" s="173" t="s">
        <v>37</v>
      </c>
      <c r="BC1" s="173" t="s">
        <v>4087</v>
      </c>
      <c r="BD1" s="173" t="s">
        <v>4223</v>
      </c>
      <c r="BE1" s="173" t="s">
        <v>4390</v>
      </c>
      <c r="BF1" s="170" t="s">
        <v>38</v>
      </c>
      <c r="BG1" s="248"/>
      <c r="BH1" s="248"/>
      <c r="BI1" s="248"/>
      <c r="BJ1" s="248"/>
      <c r="BK1" s="248"/>
      <c r="BL1" s="248"/>
      <c r="BM1" s="248"/>
      <c r="BN1" s="248"/>
      <c r="BO1" s="248"/>
      <c r="BP1" s="248"/>
      <c r="BQ1" s="248"/>
      <c r="BR1" s="248"/>
      <c r="BS1" s="248"/>
      <c r="BT1" s="248"/>
      <c r="BU1" s="248"/>
      <c r="BV1" s="248"/>
    </row>
    <row r="2" spans="1:16383" ht="70.150000000000006" customHeight="1">
      <c r="A2" s="97">
        <v>1</v>
      </c>
      <c r="B2" s="198" t="s">
        <v>39</v>
      </c>
      <c r="C2" s="199" t="s">
        <v>40</v>
      </c>
      <c r="D2" s="87" t="s">
        <v>4202</v>
      </c>
      <c r="E2" s="88" t="s">
        <v>42</v>
      </c>
      <c r="F2" s="88"/>
      <c r="G2" s="88"/>
      <c r="H2" s="88"/>
      <c r="I2" s="88"/>
      <c r="J2" s="86"/>
      <c r="K2" s="254" t="s">
        <v>43</v>
      </c>
      <c r="L2" s="155" t="s">
        <v>4209</v>
      </c>
      <c r="M2" s="97" t="s">
        <v>44</v>
      </c>
      <c r="N2" s="98" t="s">
        <v>45</v>
      </c>
      <c r="O2" s="99" t="s">
        <v>46</v>
      </c>
      <c r="P2" s="100" t="s">
        <v>47</v>
      </c>
      <c r="Q2" s="100" t="s">
        <v>48</v>
      </c>
      <c r="R2" s="89">
        <v>9486485810</v>
      </c>
      <c r="S2" s="200"/>
      <c r="T2" s="94"/>
      <c r="U2" s="125"/>
      <c r="V2" s="125"/>
      <c r="W2" s="125"/>
      <c r="X2" s="125"/>
      <c r="Y2" s="126"/>
      <c r="Z2" s="127"/>
      <c r="AA2" s="127"/>
      <c r="AB2" s="127"/>
      <c r="AC2" s="127"/>
      <c r="AD2" s="127"/>
      <c r="AF2" s="121" t="s">
        <v>50</v>
      </c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63"/>
      <c r="AX2" s="163"/>
      <c r="AZ2" s="121" t="s">
        <v>49</v>
      </c>
      <c r="BA2" s="163"/>
      <c r="BB2" s="163"/>
      <c r="BC2" s="163"/>
      <c r="BF2" s="163" t="s">
        <v>50</v>
      </c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01"/>
      <c r="BX2" s="201"/>
      <c r="BY2" s="201"/>
      <c r="BZ2" s="201"/>
      <c r="CA2" s="201"/>
      <c r="CB2" s="201"/>
      <c r="CC2" s="201"/>
      <c r="CD2" s="201"/>
      <c r="CE2" s="201"/>
      <c r="CF2" s="201"/>
      <c r="CG2" s="201"/>
      <c r="CH2" s="201"/>
      <c r="CI2" s="201"/>
      <c r="CJ2" s="201"/>
      <c r="CK2" s="201"/>
      <c r="CL2" s="201"/>
      <c r="CM2" s="201"/>
      <c r="CN2" s="201"/>
      <c r="CO2" s="201"/>
      <c r="CP2" s="201"/>
      <c r="CQ2" s="201"/>
      <c r="CR2" s="201"/>
      <c r="CS2" s="201"/>
      <c r="CT2" s="201"/>
      <c r="CU2" s="201"/>
      <c r="CV2" s="201"/>
      <c r="CW2" s="201"/>
      <c r="CX2" s="201"/>
      <c r="CY2" s="201"/>
      <c r="CZ2" s="201"/>
      <c r="DA2" s="201"/>
      <c r="DB2" s="201"/>
      <c r="DC2" s="201"/>
      <c r="DD2" s="201"/>
      <c r="DE2" s="201"/>
      <c r="DF2" s="201"/>
      <c r="DG2" s="201"/>
      <c r="DH2" s="201"/>
      <c r="DI2" s="201"/>
      <c r="DJ2" s="201"/>
      <c r="DK2" s="201"/>
      <c r="DL2" s="201"/>
      <c r="DM2" s="201"/>
      <c r="DN2" s="201"/>
      <c r="DO2" s="201"/>
      <c r="DP2" s="201"/>
      <c r="DQ2" s="201"/>
      <c r="DR2" s="201"/>
      <c r="DS2" s="201"/>
      <c r="DT2" s="201"/>
      <c r="DU2" s="201"/>
      <c r="DV2" s="201"/>
      <c r="DW2" s="201"/>
      <c r="DX2" s="201"/>
      <c r="DY2" s="201"/>
      <c r="DZ2" s="201"/>
      <c r="EA2" s="201"/>
      <c r="EB2" s="201"/>
      <c r="EC2" s="201"/>
      <c r="ED2" s="201"/>
      <c r="EE2" s="201"/>
      <c r="EF2" s="201"/>
      <c r="EG2" s="201"/>
      <c r="EH2" s="201"/>
      <c r="EI2" s="201"/>
      <c r="EJ2" s="201"/>
      <c r="EK2" s="201"/>
      <c r="EL2" s="201"/>
      <c r="EM2" s="201"/>
      <c r="EN2" s="201"/>
      <c r="EO2" s="201"/>
      <c r="EP2" s="201"/>
      <c r="EQ2" s="201"/>
      <c r="ER2" s="201"/>
      <c r="ES2" s="201"/>
      <c r="ET2" s="201"/>
      <c r="EU2" s="201"/>
      <c r="EV2" s="201"/>
      <c r="EW2" s="201"/>
      <c r="EX2" s="201"/>
      <c r="EY2" s="201"/>
      <c r="EZ2" s="201"/>
      <c r="FA2" s="201"/>
      <c r="FB2" s="201"/>
      <c r="FC2" s="201"/>
      <c r="FD2" s="201"/>
      <c r="FE2" s="201"/>
      <c r="FF2" s="201"/>
      <c r="FG2" s="201"/>
      <c r="FH2" s="201"/>
      <c r="FI2" s="201"/>
      <c r="FJ2" s="201"/>
      <c r="FK2" s="201"/>
      <c r="FL2" s="201"/>
      <c r="FM2" s="201"/>
      <c r="FN2" s="201"/>
      <c r="FO2" s="201"/>
      <c r="FP2" s="201"/>
      <c r="FQ2" s="201"/>
      <c r="FR2" s="201"/>
      <c r="FS2" s="201"/>
      <c r="FT2" s="201"/>
      <c r="FU2" s="201"/>
      <c r="FV2" s="201"/>
      <c r="FW2" s="201"/>
      <c r="FX2" s="201"/>
      <c r="FY2" s="201"/>
      <c r="FZ2" s="201"/>
      <c r="GA2" s="201"/>
      <c r="GB2" s="201"/>
      <c r="GC2" s="201"/>
      <c r="GD2" s="201"/>
      <c r="GE2" s="201"/>
      <c r="GF2" s="201"/>
      <c r="GG2" s="201"/>
      <c r="GH2" s="201"/>
      <c r="GI2" s="201"/>
      <c r="GJ2" s="201"/>
      <c r="GK2" s="201"/>
      <c r="GL2" s="201"/>
      <c r="GM2" s="201"/>
      <c r="GN2" s="201"/>
      <c r="GO2" s="201"/>
      <c r="GP2" s="201"/>
      <c r="GQ2" s="201"/>
      <c r="GR2" s="201"/>
      <c r="GS2" s="201"/>
      <c r="GT2" s="201"/>
      <c r="GU2" s="201"/>
      <c r="GV2" s="201"/>
      <c r="GW2" s="201"/>
      <c r="GX2" s="201"/>
      <c r="GY2" s="201"/>
      <c r="GZ2" s="201"/>
      <c r="HA2" s="201"/>
      <c r="HB2" s="201"/>
      <c r="HC2" s="201"/>
      <c r="HD2" s="201"/>
      <c r="HE2" s="201"/>
      <c r="HF2" s="201"/>
      <c r="HG2" s="201"/>
      <c r="HH2" s="201"/>
      <c r="HI2" s="201"/>
      <c r="HJ2" s="201"/>
      <c r="HK2" s="201"/>
      <c r="HL2" s="201"/>
      <c r="HM2" s="201"/>
      <c r="HN2" s="201"/>
      <c r="HO2" s="201"/>
      <c r="HP2" s="201"/>
      <c r="HQ2" s="201"/>
      <c r="HR2" s="201"/>
      <c r="HS2" s="201"/>
      <c r="HT2" s="201"/>
      <c r="HU2" s="201"/>
      <c r="HV2" s="201"/>
      <c r="HW2" s="201"/>
      <c r="HX2" s="201"/>
      <c r="HY2" s="201"/>
      <c r="HZ2" s="201"/>
      <c r="IA2" s="201"/>
      <c r="IB2" s="201"/>
      <c r="IC2" s="201"/>
      <c r="ID2" s="201"/>
      <c r="IE2" s="201"/>
      <c r="IF2" s="201"/>
      <c r="IG2" s="201"/>
      <c r="IH2" s="201"/>
      <c r="II2" s="201"/>
      <c r="IJ2" s="201"/>
      <c r="IK2" s="201"/>
      <c r="IL2" s="201"/>
      <c r="IM2" s="201"/>
      <c r="IN2" s="201"/>
      <c r="IO2" s="201"/>
      <c r="IP2" s="201"/>
      <c r="IQ2" s="201"/>
      <c r="IR2" s="201"/>
      <c r="IS2" s="201"/>
      <c r="IT2" s="201"/>
      <c r="IU2" s="201"/>
      <c r="IV2" s="201"/>
      <c r="IW2" s="201"/>
      <c r="IX2" s="201"/>
      <c r="IY2" s="201"/>
      <c r="IZ2" s="201"/>
      <c r="JA2" s="201"/>
      <c r="JB2" s="201"/>
      <c r="JC2" s="201"/>
      <c r="JD2" s="201"/>
      <c r="JE2" s="201"/>
      <c r="JF2" s="201"/>
      <c r="JG2" s="201"/>
      <c r="JH2" s="201"/>
      <c r="JI2" s="201"/>
      <c r="JJ2" s="201"/>
      <c r="JK2" s="201"/>
      <c r="JL2" s="201"/>
      <c r="JM2" s="201"/>
      <c r="JN2" s="201"/>
      <c r="JO2" s="201"/>
      <c r="JP2" s="201"/>
      <c r="JQ2" s="201"/>
      <c r="JR2" s="201"/>
      <c r="JS2" s="201"/>
      <c r="JT2" s="201"/>
      <c r="JU2" s="201"/>
      <c r="JV2" s="201"/>
      <c r="JW2" s="201"/>
      <c r="JX2" s="201"/>
      <c r="JY2" s="201"/>
      <c r="JZ2" s="201"/>
      <c r="KA2" s="201"/>
      <c r="KB2" s="201"/>
      <c r="KC2" s="201"/>
      <c r="KD2" s="201"/>
      <c r="KE2" s="201"/>
      <c r="KF2" s="201"/>
      <c r="KG2" s="201"/>
      <c r="KH2" s="201"/>
      <c r="KI2" s="201"/>
      <c r="KJ2" s="201"/>
      <c r="KK2" s="201"/>
      <c r="KL2" s="201"/>
      <c r="KM2" s="201"/>
      <c r="KN2" s="201"/>
      <c r="KO2" s="201"/>
      <c r="KP2" s="201"/>
      <c r="KQ2" s="201"/>
      <c r="KR2" s="201"/>
      <c r="KS2" s="201"/>
      <c r="KT2" s="201"/>
      <c r="KU2" s="201"/>
      <c r="KV2" s="201"/>
      <c r="KW2" s="201"/>
      <c r="KX2" s="201"/>
      <c r="KY2" s="201"/>
      <c r="KZ2" s="201"/>
      <c r="LA2" s="201"/>
      <c r="LB2" s="201"/>
      <c r="LC2" s="201"/>
      <c r="LD2" s="201"/>
      <c r="LE2" s="201"/>
      <c r="LF2" s="201"/>
      <c r="LG2" s="201"/>
      <c r="LH2" s="201"/>
      <c r="LI2" s="201"/>
      <c r="LJ2" s="201"/>
      <c r="LK2" s="201"/>
      <c r="LL2" s="201"/>
      <c r="LM2" s="201"/>
      <c r="LN2" s="201"/>
      <c r="LO2" s="201"/>
      <c r="LP2" s="201"/>
      <c r="LQ2" s="201"/>
      <c r="LR2" s="201"/>
      <c r="LS2" s="201"/>
      <c r="LT2" s="201"/>
      <c r="LU2" s="201"/>
      <c r="LV2" s="201"/>
      <c r="LW2" s="201"/>
      <c r="LX2" s="201"/>
      <c r="LY2" s="201"/>
      <c r="LZ2" s="201"/>
      <c r="MA2" s="201"/>
      <c r="MB2" s="201"/>
      <c r="MC2" s="201"/>
      <c r="MD2" s="201"/>
      <c r="ME2" s="201"/>
      <c r="MF2" s="201"/>
      <c r="MG2" s="201"/>
      <c r="MH2" s="201"/>
      <c r="MI2" s="201"/>
      <c r="MJ2" s="201"/>
      <c r="MK2" s="201"/>
      <c r="ML2" s="201"/>
      <c r="MM2" s="201"/>
      <c r="MN2" s="201"/>
      <c r="MO2" s="201"/>
      <c r="MP2" s="201"/>
      <c r="MQ2" s="201"/>
      <c r="MR2" s="201"/>
      <c r="MS2" s="201"/>
      <c r="MT2" s="201"/>
      <c r="MU2" s="201"/>
      <c r="MV2" s="201"/>
      <c r="MW2" s="201"/>
      <c r="MX2" s="201"/>
      <c r="MY2" s="201"/>
      <c r="MZ2" s="201"/>
      <c r="NA2" s="201"/>
      <c r="NB2" s="201"/>
      <c r="NC2" s="201"/>
      <c r="ND2" s="201"/>
      <c r="NE2" s="201"/>
      <c r="NF2" s="201"/>
      <c r="NG2" s="201"/>
      <c r="NH2" s="201"/>
      <c r="NI2" s="201"/>
      <c r="NJ2" s="201"/>
      <c r="NK2" s="201"/>
      <c r="NL2" s="201"/>
      <c r="NM2" s="201"/>
      <c r="NN2" s="201"/>
      <c r="NO2" s="201"/>
      <c r="NP2" s="201"/>
      <c r="NQ2" s="201"/>
      <c r="NR2" s="201"/>
      <c r="NS2" s="201"/>
      <c r="NT2" s="201"/>
      <c r="NU2" s="201"/>
      <c r="NV2" s="201"/>
      <c r="NW2" s="201"/>
      <c r="NX2" s="201"/>
      <c r="NY2" s="201"/>
      <c r="NZ2" s="201"/>
      <c r="OA2" s="201"/>
      <c r="OB2" s="201"/>
      <c r="OC2" s="201"/>
      <c r="OD2" s="201"/>
      <c r="OE2" s="201"/>
      <c r="OF2" s="201"/>
      <c r="OG2" s="201"/>
      <c r="OH2" s="201"/>
      <c r="OI2" s="201"/>
      <c r="OJ2" s="201"/>
      <c r="OK2" s="201"/>
      <c r="OL2" s="201"/>
      <c r="OM2" s="201"/>
      <c r="ON2" s="201"/>
      <c r="OO2" s="201"/>
      <c r="OP2" s="201"/>
      <c r="OQ2" s="201"/>
      <c r="OR2" s="201"/>
      <c r="OS2" s="201"/>
      <c r="OT2" s="201"/>
      <c r="OU2" s="201"/>
      <c r="OV2" s="201"/>
      <c r="OW2" s="201"/>
      <c r="OX2" s="201"/>
      <c r="OY2" s="201"/>
      <c r="OZ2" s="201"/>
      <c r="PA2" s="201"/>
      <c r="PB2" s="201"/>
      <c r="PC2" s="201"/>
      <c r="PD2" s="201"/>
      <c r="PE2" s="201"/>
      <c r="PF2" s="201"/>
      <c r="PG2" s="201"/>
      <c r="PH2" s="201"/>
      <c r="PI2" s="201"/>
      <c r="PJ2" s="201"/>
      <c r="PK2" s="201"/>
      <c r="PL2" s="201"/>
      <c r="PM2" s="201"/>
      <c r="PN2" s="201"/>
      <c r="PO2" s="201"/>
      <c r="PP2" s="201"/>
      <c r="PQ2" s="201"/>
      <c r="PR2" s="201"/>
      <c r="PS2" s="201"/>
      <c r="PT2" s="201"/>
      <c r="PU2" s="201"/>
      <c r="PV2" s="201"/>
      <c r="PW2" s="201"/>
      <c r="PX2" s="201"/>
      <c r="PY2" s="201"/>
      <c r="PZ2" s="201"/>
      <c r="QA2" s="201"/>
      <c r="QB2" s="201"/>
      <c r="QC2" s="201"/>
      <c r="QD2" s="201"/>
      <c r="QE2" s="201"/>
      <c r="QF2" s="201"/>
      <c r="QG2" s="201"/>
      <c r="QH2" s="201"/>
      <c r="QI2" s="201"/>
      <c r="QJ2" s="201"/>
      <c r="QK2" s="201"/>
      <c r="QL2" s="201"/>
      <c r="QM2" s="201"/>
      <c r="QN2" s="201"/>
      <c r="QO2" s="201"/>
      <c r="QP2" s="201"/>
      <c r="QQ2" s="201"/>
      <c r="QR2" s="201"/>
      <c r="QS2" s="201"/>
      <c r="QT2" s="201"/>
      <c r="QU2" s="201"/>
      <c r="QV2" s="201"/>
      <c r="QW2" s="201"/>
      <c r="QX2" s="201"/>
      <c r="QY2" s="201"/>
      <c r="QZ2" s="201"/>
      <c r="RA2" s="201"/>
      <c r="RB2" s="201"/>
      <c r="RC2" s="201"/>
      <c r="RD2" s="201"/>
      <c r="RE2" s="201"/>
      <c r="RF2" s="201"/>
      <c r="RG2" s="201"/>
      <c r="RH2" s="201"/>
      <c r="RI2" s="201"/>
      <c r="RJ2" s="201"/>
      <c r="RK2" s="201"/>
      <c r="RL2" s="201"/>
      <c r="RM2" s="201"/>
      <c r="RN2" s="201"/>
      <c r="RO2" s="201"/>
      <c r="RP2" s="201"/>
      <c r="RQ2" s="201"/>
      <c r="RR2" s="201"/>
      <c r="RS2" s="201"/>
      <c r="RT2" s="201"/>
      <c r="RU2" s="201"/>
      <c r="RV2" s="201"/>
      <c r="RW2" s="201"/>
      <c r="RX2" s="201"/>
      <c r="RY2" s="201"/>
      <c r="RZ2" s="201"/>
      <c r="SA2" s="201"/>
      <c r="SB2" s="201"/>
      <c r="SC2" s="201"/>
      <c r="SD2" s="201"/>
      <c r="SE2" s="201"/>
      <c r="SF2" s="201"/>
      <c r="SG2" s="201"/>
      <c r="SH2" s="201"/>
      <c r="SI2" s="201"/>
      <c r="SJ2" s="201"/>
      <c r="SK2" s="201"/>
      <c r="SL2" s="201"/>
      <c r="SM2" s="201"/>
      <c r="SN2" s="201"/>
      <c r="SO2" s="201"/>
      <c r="SP2" s="201"/>
      <c r="SQ2" s="201"/>
      <c r="SR2" s="201"/>
      <c r="SS2" s="201"/>
      <c r="ST2" s="201"/>
      <c r="SU2" s="201"/>
      <c r="SV2" s="201"/>
      <c r="SW2" s="201"/>
      <c r="SX2" s="201"/>
      <c r="SY2" s="201"/>
      <c r="SZ2" s="201"/>
      <c r="TA2" s="201"/>
      <c r="TB2" s="201"/>
      <c r="TC2" s="201"/>
      <c r="TD2" s="201"/>
      <c r="TE2" s="201"/>
      <c r="TF2" s="201"/>
      <c r="TG2" s="201"/>
      <c r="TH2" s="201"/>
      <c r="TI2" s="201"/>
      <c r="TJ2" s="201"/>
      <c r="TK2" s="201"/>
      <c r="TL2" s="201"/>
      <c r="TM2" s="201"/>
      <c r="TN2" s="201"/>
      <c r="TO2" s="201"/>
      <c r="TP2" s="201"/>
      <c r="TQ2" s="201"/>
      <c r="TR2" s="201"/>
      <c r="TS2" s="201"/>
      <c r="TT2" s="201"/>
      <c r="TU2" s="201"/>
      <c r="TV2" s="201"/>
      <c r="TW2" s="201"/>
      <c r="TX2" s="201"/>
      <c r="TY2" s="201"/>
      <c r="TZ2" s="201"/>
      <c r="UA2" s="201"/>
      <c r="UB2" s="201"/>
      <c r="UC2" s="201"/>
      <c r="UD2" s="201"/>
      <c r="UE2" s="201"/>
      <c r="UF2" s="201"/>
      <c r="UG2" s="201"/>
      <c r="UH2" s="201"/>
      <c r="UI2" s="201"/>
      <c r="UJ2" s="201"/>
      <c r="UK2" s="201"/>
      <c r="UL2" s="201"/>
      <c r="UM2" s="201"/>
      <c r="UN2" s="201"/>
      <c r="UO2" s="201"/>
      <c r="UP2" s="201"/>
      <c r="UQ2" s="201"/>
      <c r="UR2" s="201"/>
      <c r="US2" s="201"/>
      <c r="UT2" s="201"/>
      <c r="UU2" s="201"/>
      <c r="UV2" s="201"/>
      <c r="UW2" s="201"/>
      <c r="UX2" s="201"/>
      <c r="UY2" s="201"/>
      <c r="UZ2" s="201"/>
      <c r="VA2" s="201"/>
      <c r="VB2" s="201"/>
      <c r="VC2" s="201"/>
      <c r="VD2" s="201"/>
      <c r="VE2" s="201"/>
      <c r="VF2" s="201"/>
      <c r="VG2" s="201"/>
      <c r="VH2" s="201"/>
      <c r="VI2" s="201"/>
      <c r="VJ2" s="201"/>
      <c r="VK2" s="201"/>
      <c r="VL2" s="201"/>
      <c r="VM2" s="201"/>
      <c r="VN2" s="201"/>
      <c r="VO2" s="201"/>
      <c r="VP2" s="201"/>
      <c r="VQ2" s="201"/>
      <c r="VR2" s="201"/>
      <c r="VS2" s="201"/>
      <c r="VT2" s="201"/>
      <c r="VU2" s="201"/>
      <c r="VV2" s="201"/>
      <c r="VW2" s="201"/>
      <c r="VX2" s="201"/>
      <c r="VY2" s="201"/>
      <c r="VZ2" s="201"/>
      <c r="WA2" s="201"/>
      <c r="WB2" s="201"/>
      <c r="WC2" s="201"/>
      <c r="WD2" s="201"/>
      <c r="WE2" s="201"/>
      <c r="WF2" s="201"/>
      <c r="WG2" s="201"/>
      <c r="WH2" s="201"/>
      <c r="WI2" s="201"/>
      <c r="WJ2" s="201"/>
      <c r="WK2" s="201"/>
      <c r="WL2" s="201"/>
      <c r="WM2" s="201"/>
      <c r="WN2" s="201"/>
      <c r="WO2" s="201"/>
      <c r="WP2" s="201"/>
      <c r="WQ2" s="201"/>
      <c r="WR2" s="201"/>
      <c r="WS2" s="201"/>
      <c r="WT2" s="201"/>
      <c r="WU2" s="201"/>
      <c r="WV2" s="201"/>
      <c r="WW2" s="201"/>
      <c r="WX2" s="201"/>
      <c r="WY2" s="201"/>
      <c r="WZ2" s="201"/>
      <c r="XA2" s="201"/>
      <c r="XB2" s="201"/>
      <c r="XC2" s="201"/>
      <c r="XD2" s="201"/>
      <c r="XE2" s="201"/>
      <c r="XF2" s="201"/>
      <c r="XG2" s="201"/>
      <c r="XH2" s="201"/>
      <c r="XI2" s="201"/>
      <c r="XJ2" s="201"/>
      <c r="XK2" s="201"/>
      <c r="XL2" s="201"/>
      <c r="XM2" s="201"/>
      <c r="XN2" s="201"/>
      <c r="XO2" s="201"/>
      <c r="XP2" s="201"/>
      <c r="XQ2" s="201"/>
      <c r="XR2" s="201"/>
      <c r="XS2" s="201"/>
      <c r="XT2" s="201"/>
      <c r="XU2" s="201"/>
      <c r="XV2" s="201"/>
      <c r="XW2" s="201"/>
      <c r="XX2" s="201"/>
      <c r="XY2" s="201"/>
      <c r="XZ2" s="201"/>
      <c r="YA2" s="201"/>
      <c r="YB2" s="201"/>
      <c r="YC2" s="201"/>
      <c r="YD2" s="201"/>
      <c r="YE2" s="201"/>
      <c r="YF2" s="201"/>
      <c r="YG2" s="201"/>
      <c r="YH2" s="201"/>
      <c r="YI2" s="201"/>
      <c r="YJ2" s="201"/>
      <c r="YK2" s="201"/>
      <c r="YL2" s="201"/>
      <c r="YM2" s="201"/>
      <c r="YN2" s="201"/>
      <c r="YO2" s="201"/>
      <c r="YP2" s="201"/>
      <c r="YQ2" s="201"/>
      <c r="YR2" s="201"/>
      <c r="YS2" s="201"/>
      <c r="YT2" s="201"/>
      <c r="YU2" s="201"/>
      <c r="YV2" s="201"/>
      <c r="YW2" s="201"/>
      <c r="YX2" s="201"/>
      <c r="YY2" s="201"/>
      <c r="YZ2" s="201"/>
      <c r="ZA2" s="201"/>
      <c r="ZB2" s="201"/>
      <c r="ZC2" s="201"/>
      <c r="ZD2" s="201"/>
      <c r="ZE2" s="201"/>
      <c r="ZF2" s="201"/>
      <c r="ZG2" s="201"/>
      <c r="ZH2" s="201"/>
      <c r="ZI2" s="201"/>
      <c r="ZJ2" s="201"/>
      <c r="ZK2" s="201"/>
      <c r="ZL2" s="201"/>
      <c r="ZM2" s="201"/>
      <c r="ZN2" s="201"/>
      <c r="ZO2" s="201"/>
      <c r="ZP2" s="201"/>
      <c r="ZQ2" s="201"/>
      <c r="ZR2" s="201"/>
      <c r="ZS2" s="201"/>
      <c r="ZT2" s="201"/>
      <c r="ZU2" s="201"/>
      <c r="ZV2" s="201"/>
      <c r="ZW2" s="201"/>
      <c r="ZX2" s="201"/>
      <c r="ZY2" s="201"/>
      <c r="ZZ2" s="201"/>
      <c r="AAA2" s="201"/>
      <c r="AAB2" s="201"/>
      <c r="AAC2" s="201"/>
      <c r="AAD2" s="201"/>
      <c r="AAE2" s="201"/>
      <c r="AAF2" s="201"/>
      <c r="AAG2" s="201"/>
      <c r="AAH2" s="201"/>
      <c r="AAI2" s="201"/>
      <c r="AAJ2" s="201"/>
      <c r="AAK2" s="201"/>
      <c r="AAL2" s="201"/>
      <c r="AAM2" s="201"/>
      <c r="AAN2" s="201"/>
      <c r="AAO2" s="201"/>
      <c r="AAP2" s="201"/>
      <c r="AAQ2" s="201"/>
      <c r="AAR2" s="201"/>
      <c r="AAS2" s="201"/>
      <c r="AAT2" s="201"/>
      <c r="AAU2" s="201"/>
      <c r="AAV2" s="201"/>
      <c r="AAW2" s="201"/>
      <c r="AAX2" s="201"/>
      <c r="AAY2" s="201"/>
      <c r="AAZ2" s="201"/>
      <c r="ABA2" s="201"/>
      <c r="ABB2" s="201"/>
      <c r="ABC2" s="201"/>
      <c r="ABD2" s="201"/>
      <c r="ABE2" s="201"/>
      <c r="ABF2" s="201"/>
      <c r="ABG2" s="201"/>
      <c r="ABH2" s="201"/>
      <c r="ABI2" s="201"/>
      <c r="ABJ2" s="201"/>
      <c r="ABK2" s="201"/>
      <c r="ABL2" s="201"/>
      <c r="ABM2" s="201"/>
      <c r="ABN2" s="201"/>
      <c r="ABO2" s="201"/>
      <c r="ABP2" s="201"/>
      <c r="ABQ2" s="201"/>
      <c r="ABR2" s="201"/>
      <c r="ABS2" s="201"/>
      <c r="ABT2" s="201"/>
      <c r="ABU2" s="201"/>
      <c r="ABV2" s="201"/>
      <c r="ABW2" s="201"/>
      <c r="ABX2" s="201"/>
      <c r="ABY2" s="201"/>
      <c r="ABZ2" s="201"/>
      <c r="ACA2" s="201"/>
      <c r="ACB2" s="201"/>
      <c r="ACC2" s="201"/>
      <c r="ACD2" s="201"/>
      <c r="ACE2" s="201"/>
      <c r="ACF2" s="201"/>
      <c r="ACG2" s="201"/>
      <c r="ACH2" s="201"/>
      <c r="ACI2" s="201"/>
      <c r="ACJ2" s="201"/>
      <c r="ACK2" s="201"/>
      <c r="ACL2" s="201"/>
      <c r="ACM2" s="201"/>
      <c r="ACN2" s="201"/>
      <c r="ACO2" s="201"/>
      <c r="ACP2" s="201"/>
      <c r="ACQ2" s="201"/>
      <c r="ACR2" s="201"/>
      <c r="ACS2" s="201"/>
      <c r="ACT2" s="201"/>
      <c r="ACU2" s="201"/>
      <c r="ACV2" s="201"/>
      <c r="ACW2" s="201"/>
      <c r="ACX2" s="201"/>
      <c r="ACY2" s="201"/>
      <c r="ACZ2" s="201"/>
      <c r="ADA2" s="201"/>
      <c r="ADB2" s="201"/>
      <c r="ADC2" s="201"/>
      <c r="ADD2" s="201"/>
      <c r="ADE2" s="201"/>
      <c r="ADF2" s="201"/>
      <c r="ADG2" s="201"/>
      <c r="ADH2" s="201"/>
      <c r="ADI2" s="201"/>
      <c r="ADJ2" s="201"/>
      <c r="ADK2" s="201"/>
      <c r="ADL2" s="201"/>
      <c r="ADM2" s="201"/>
      <c r="ADN2" s="201"/>
      <c r="ADO2" s="201"/>
      <c r="ADP2" s="201"/>
      <c r="ADQ2" s="201"/>
      <c r="ADR2" s="201"/>
      <c r="ADS2" s="201"/>
      <c r="ADT2" s="201"/>
      <c r="ADU2" s="201"/>
      <c r="ADV2" s="201"/>
      <c r="ADW2" s="201"/>
      <c r="ADX2" s="201"/>
      <c r="ADY2" s="201"/>
      <c r="ADZ2" s="201"/>
      <c r="AEA2" s="201"/>
      <c r="AEB2" s="201"/>
      <c r="AEC2" s="201"/>
      <c r="AED2" s="201"/>
      <c r="AEE2" s="201"/>
      <c r="AEF2" s="201"/>
      <c r="AEG2" s="201"/>
      <c r="AEH2" s="201"/>
      <c r="AEI2" s="201"/>
      <c r="AEJ2" s="201"/>
      <c r="AEK2" s="201"/>
      <c r="AEL2" s="201"/>
      <c r="AEM2" s="201"/>
      <c r="AEN2" s="201"/>
      <c r="AEO2" s="201"/>
      <c r="AEP2" s="201"/>
      <c r="AEQ2" s="201"/>
      <c r="AER2" s="201"/>
      <c r="AES2" s="201"/>
      <c r="AET2" s="201"/>
      <c r="AEU2" s="201"/>
      <c r="AEV2" s="201"/>
      <c r="AEW2" s="201"/>
      <c r="AEX2" s="201"/>
      <c r="AEY2" s="201"/>
      <c r="AEZ2" s="201"/>
      <c r="AFA2" s="201"/>
      <c r="AFB2" s="201"/>
      <c r="AFC2" s="201"/>
      <c r="AFD2" s="201"/>
      <c r="AFE2" s="201"/>
      <c r="AFF2" s="201"/>
      <c r="AFG2" s="201"/>
      <c r="AFH2" s="201"/>
      <c r="AFI2" s="201"/>
      <c r="AFJ2" s="201"/>
      <c r="AFK2" s="201"/>
      <c r="AFL2" s="201"/>
      <c r="AFM2" s="201"/>
      <c r="AFN2" s="201"/>
      <c r="AFO2" s="201"/>
      <c r="AFP2" s="201"/>
      <c r="AFQ2" s="201"/>
      <c r="AFR2" s="201"/>
      <c r="AFS2" s="201"/>
      <c r="AFT2" s="201"/>
      <c r="AFU2" s="201"/>
      <c r="AFV2" s="201"/>
      <c r="AFW2" s="201"/>
      <c r="AFX2" s="201"/>
      <c r="AFY2" s="201"/>
      <c r="AFZ2" s="201"/>
      <c r="AGA2" s="201"/>
      <c r="AGB2" s="201"/>
      <c r="AGC2" s="201"/>
      <c r="AGD2" s="201"/>
      <c r="AGE2" s="201"/>
      <c r="AGF2" s="201"/>
      <c r="AGG2" s="201"/>
      <c r="AGH2" s="201"/>
      <c r="AGI2" s="201"/>
      <c r="AGJ2" s="201"/>
      <c r="AGK2" s="201"/>
      <c r="AGL2" s="201"/>
      <c r="AGM2" s="201"/>
      <c r="AGN2" s="201"/>
      <c r="AGO2" s="201"/>
      <c r="AGP2" s="201"/>
      <c r="AGQ2" s="201"/>
      <c r="AGR2" s="201"/>
      <c r="AGS2" s="201"/>
      <c r="AGT2" s="201"/>
      <c r="AGU2" s="201"/>
      <c r="AGV2" s="201"/>
      <c r="AGW2" s="201"/>
      <c r="AGX2" s="201"/>
      <c r="AGY2" s="201"/>
      <c r="AGZ2" s="201"/>
      <c r="AHA2" s="201"/>
      <c r="AHB2" s="201"/>
      <c r="AHC2" s="201"/>
      <c r="AHD2" s="201"/>
      <c r="AHE2" s="201"/>
      <c r="AHF2" s="201"/>
      <c r="AHG2" s="201"/>
      <c r="AHH2" s="201"/>
      <c r="AHI2" s="201"/>
      <c r="AHJ2" s="201"/>
      <c r="AHK2" s="201"/>
      <c r="AHL2" s="201"/>
      <c r="AHM2" s="201"/>
      <c r="AHN2" s="201"/>
      <c r="AHO2" s="201"/>
      <c r="AHP2" s="201"/>
      <c r="AHQ2" s="201"/>
      <c r="AHR2" s="201"/>
      <c r="AHS2" s="201"/>
      <c r="AHT2" s="201"/>
      <c r="AHU2" s="201"/>
      <c r="AHV2" s="201"/>
      <c r="AHW2" s="201"/>
      <c r="AHX2" s="201"/>
      <c r="AHY2" s="201"/>
      <c r="AHZ2" s="201"/>
      <c r="AIA2" s="201"/>
      <c r="AIB2" s="201"/>
      <c r="AIC2" s="201"/>
      <c r="AID2" s="201"/>
      <c r="AIE2" s="201"/>
      <c r="AIF2" s="201"/>
      <c r="AIG2" s="201"/>
      <c r="AIH2" s="201"/>
      <c r="AII2" s="201"/>
      <c r="AIJ2" s="201"/>
      <c r="AIK2" s="201"/>
      <c r="AIL2" s="201"/>
      <c r="AIM2" s="201"/>
      <c r="AIN2" s="201"/>
      <c r="AIO2" s="201"/>
      <c r="AIP2" s="201"/>
      <c r="AIQ2" s="201"/>
      <c r="AIR2" s="201"/>
      <c r="AIS2" s="201"/>
      <c r="AIT2" s="201"/>
      <c r="AIU2" s="201"/>
      <c r="AIV2" s="201"/>
      <c r="AIW2" s="201"/>
      <c r="AIX2" s="201"/>
      <c r="AIY2" s="201"/>
      <c r="AIZ2" s="201"/>
      <c r="AJA2" s="201"/>
      <c r="AJB2" s="201"/>
      <c r="AJC2" s="201"/>
      <c r="AJD2" s="201"/>
      <c r="AJE2" s="201"/>
      <c r="AJF2" s="201"/>
      <c r="AJG2" s="201"/>
      <c r="AJH2" s="201"/>
      <c r="AJI2" s="201"/>
      <c r="AJJ2" s="201"/>
      <c r="AJK2" s="201"/>
      <c r="AJL2" s="201"/>
      <c r="AJM2" s="201"/>
      <c r="AJN2" s="201"/>
      <c r="AJO2" s="201"/>
      <c r="AJP2" s="201"/>
      <c r="AJQ2" s="201"/>
      <c r="AJR2" s="201"/>
      <c r="AJS2" s="201"/>
      <c r="AJT2" s="201"/>
      <c r="AJU2" s="201"/>
      <c r="AJV2" s="201"/>
      <c r="AJW2" s="201"/>
      <c r="AJX2" s="201"/>
      <c r="AJY2" s="201"/>
      <c r="AJZ2" s="201"/>
      <c r="AKA2" s="201"/>
      <c r="AKB2" s="201"/>
      <c r="AKC2" s="201"/>
      <c r="AKD2" s="201"/>
      <c r="AKE2" s="201"/>
      <c r="AKF2" s="201"/>
      <c r="AKG2" s="201"/>
      <c r="AKH2" s="201"/>
      <c r="AKI2" s="201"/>
      <c r="AKJ2" s="201"/>
      <c r="AKK2" s="201"/>
      <c r="AKL2" s="201"/>
      <c r="AKM2" s="201"/>
      <c r="AKN2" s="201"/>
      <c r="AKO2" s="201"/>
      <c r="AKP2" s="201"/>
      <c r="AKQ2" s="201"/>
      <c r="AKR2" s="201"/>
      <c r="AKS2" s="201"/>
      <c r="AKT2" s="201"/>
      <c r="AKU2" s="201"/>
      <c r="AKV2" s="201"/>
      <c r="AKW2" s="201"/>
      <c r="AKX2" s="201"/>
      <c r="AKY2" s="201"/>
      <c r="AKZ2" s="201"/>
      <c r="ALA2" s="201"/>
      <c r="ALB2" s="201"/>
      <c r="ALC2" s="201"/>
      <c r="ALD2" s="201"/>
      <c r="ALE2" s="201"/>
      <c r="ALF2" s="201"/>
      <c r="ALG2" s="201"/>
      <c r="ALH2" s="201"/>
      <c r="ALI2" s="201"/>
      <c r="ALJ2" s="201"/>
      <c r="ALK2" s="201"/>
      <c r="ALL2" s="201"/>
      <c r="ALM2" s="201"/>
      <c r="ALN2" s="201"/>
      <c r="ALO2" s="201"/>
      <c r="ALP2" s="201"/>
      <c r="ALQ2" s="201"/>
      <c r="ALR2" s="201"/>
      <c r="ALS2" s="201"/>
      <c r="ALT2" s="201"/>
      <c r="ALU2" s="201"/>
      <c r="ALV2" s="201"/>
      <c r="ALW2" s="201"/>
      <c r="ALX2" s="201"/>
      <c r="ALY2" s="201"/>
      <c r="ALZ2" s="201"/>
      <c r="AMA2" s="201"/>
      <c r="AMB2" s="201"/>
      <c r="AMC2" s="201"/>
      <c r="AMD2" s="201"/>
      <c r="AME2" s="201"/>
      <c r="AMF2" s="201"/>
      <c r="AMG2" s="201"/>
      <c r="AMH2" s="201"/>
      <c r="AMI2" s="201"/>
      <c r="AMJ2" s="201"/>
      <c r="AMK2" s="201"/>
      <c r="AML2" s="201"/>
      <c r="AMM2" s="201"/>
      <c r="AMN2" s="201"/>
      <c r="AMO2" s="201"/>
      <c r="AMP2" s="201"/>
      <c r="AMQ2" s="201"/>
      <c r="AMR2" s="201"/>
      <c r="AMS2" s="201"/>
      <c r="AMT2" s="201"/>
      <c r="AMU2" s="201"/>
      <c r="AMV2" s="201"/>
      <c r="AMW2" s="201"/>
      <c r="AMX2" s="201"/>
      <c r="AMY2" s="201"/>
      <c r="AMZ2" s="201"/>
      <c r="ANA2" s="201"/>
      <c r="ANB2" s="201"/>
      <c r="ANC2" s="201"/>
      <c r="AND2" s="201"/>
      <c r="ANE2" s="201"/>
      <c r="ANF2" s="201"/>
      <c r="ANG2" s="201"/>
      <c r="ANH2" s="201"/>
      <c r="ANI2" s="201"/>
      <c r="ANJ2" s="201"/>
      <c r="ANK2" s="201"/>
      <c r="ANL2" s="201"/>
      <c r="ANM2" s="201"/>
      <c r="ANN2" s="201"/>
      <c r="ANO2" s="201"/>
      <c r="ANP2" s="201"/>
      <c r="ANQ2" s="201"/>
      <c r="ANR2" s="201"/>
      <c r="ANS2" s="201"/>
      <c r="ANT2" s="201"/>
      <c r="ANU2" s="201"/>
      <c r="ANV2" s="201"/>
      <c r="ANW2" s="201"/>
      <c r="ANX2" s="201"/>
      <c r="ANY2" s="201"/>
      <c r="ANZ2" s="201"/>
      <c r="AOA2" s="201"/>
      <c r="AOB2" s="201"/>
      <c r="AOC2" s="201"/>
      <c r="AOD2" s="201"/>
      <c r="AOE2" s="201"/>
      <c r="AOF2" s="201"/>
      <c r="AOG2" s="201"/>
      <c r="AOH2" s="201"/>
      <c r="AOI2" s="201"/>
      <c r="AOJ2" s="201"/>
      <c r="AOK2" s="201"/>
      <c r="AOL2" s="201"/>
      <c r="AOM2" s="201"/>
      <c r="AON2" s="201"/>
      <c r="AOO2" s="201"/>
      <c r="AOP2" s="201"/>
      <c r="AOQ2" s="201"/>
      <c r="AOR2" s="201"/>
      <c r="AOS2" s="201"/>
      <c r="AOT2" s="201"/>
      <c r="AOU2" s="201"/>
      <c r="AOV2" s="201"/>
      <c r="AOW2" s="201"/>
      <c r="AOX2" s="201"/>
      <c r="AOY2" s="201"/>
      <c r="AOZ2" s="201"/>
      <c r="APA2" s="201"/>
      <c r="APB2" s="201"/>
      <c r="APC2" s="201"/>
      <c r="APD2" s="201"/>
      <c r="APE2" s="201"/>
      <c r="APF2" s="201"/>
      <c r="APG2" s="201"/>
      <c r="APH2" s="201"/>
      <c r="API2" s="201"/>
      <c r="APJ2" s="201"/>
      <c r="APK2" s="201"/>
      <c r="APL2" s="201"/>
      <c r="APM2" s="201"/>
      <c r="APN2" s="201"/>
      <c r="APO2" s="201"/>
      <c r="APP2" s="201"/>
      <c r="APQ2" s="201"/>
      <c r="APR2" s="201"/>
      <c r="APS2" s="201"/>
      <c r="APT2" s="201"/>
      <c r="APU2" s="201"/>
      <c r="APV2" s="201"/>
      <c r="APW2" s="201"/>
      <c r="APX2" s="201"/>
      <c r="APY2" s="201"/>
      <c r="APZ2" s="201"/>
      <c r="AQA2" s="201"/>
      <c r="AQB2" s="201"/>
      <c r="AQC2" s="201"/>
      <c r="AQD2" s="201"/>
      <c r="AQE2" s="201"/>
      <c r="AQF2" s="201"/>
      <c r="AQG2" s="201"/>
      <c r="AQH2" s="201"/>
      <c r="AQI2" s="201"/>
      <c r="AQJ2" s="201"/>
      <c r="AQK2" s="201"/>
      <c r="AQL2" s="201"/>
      <c r="AQM2" s="201"/>
      <c r="AQN2" s="201"/>
      <c r="AQO2" s="201"/>
      <c r="AQP2" s="201"/>
      <c r="AQQ2" s="201"/>
      <c r="AQR2" s="201"/>
      <c r="AQS2" s="201"/>
      <c r="AQT2" s="201"/>
      <c r="AQU2" s="201"/>
      <c r="AQV2" s="201"/>
      <c r="AQW2" s="201"/>
      <c r="AQX2" s="201"/>
      <c r="AQY2" s="201"/>
      <c r="AQZ2" s="201"/>
      <c r="ARA2" s="201"/>
      <c r="ARB2" s="201"/>
      <c r="ARC2" s="201"/>
      <c r="ARD2" s="201"/>
      <c r="ARE2" s="201"/>
      <c r="ARF2" s="201"/>
      <c r="ARG2" s="201"/>
      <c r="ARH2" s="201"/>
      <c r="ARI2" s="201"/>
      <c r="ARJ2" s="201"/>
      <c r="ARK2" s="201"/>
      <c r="ARL2" s="201"/>
      <c r="ARM2" s="201"/>
      <c r="ARN2" s="201"/>
      <c r="ARO2" s="201"/>
      <c r="ARP2" s="201"/>
      <c r="ARQ2" s="201"/>
      <c r="ARR2" s="201"/>
      <c r="ARS2" s="201"/>
      <c r="ART2" s="201"/>
      <c r="ARU2" s="201"/>
      <c r="ARV2" s="201"/>
      <c r="ARW2" s="201"/>
      <c r="ARX2" s="201"/>
      <c r="ARY2" s="201"/>
      <c r="ARZ2" s="201"/>
      <c r="ASA2" s="201"/>
      <c r="ASB2" s="201"/>
      <c r="ASC2" s="201"/>
      <c r="ASD2" s="201"/>
      <c r="ASE2" s="201"/>
      <c r="ASF2" s="201"/>
      <c r="ASG2" s="201"/>
      <c r="ASH2" s="201"/>
      <c r="ASI2" s="201"/>
      <c r="ASJ2" s="201"/>
      <c r="ASK2" s="201"/>
      <c r="ASL2" s="201"/>
      <c r="ASM2" s="201"/>
      <c r="ASN2" s="201"/>
      <c r="ASO2" s="201"/>
      <c r="ASP2" s="201"/>
      <c r="ASQ2" s="201"/>
      <c r="ASR2" s="201"/>
      <c r="ASS2" s="201"/>
      <c r="AST2" s="201"/>
      <c r="ASU2" s="201"/>
      <c r="ASV2" s="201"/>
      <c r="ASW2" s="201"/>
      <c r="ASX2" s="201"/>
      <c r="ASY2" s="201"/>
      <c r="ASZ2" s="201"/>
      <c r="ATA2" s="201"/>
      <c r="ATB2" s="201"/>
      <c r="ATC2" s="201"/>
      <c r="ATD2" s="201"/>
      <c r="ATE2" s="201"/>
      <c r="ATF2" s="201"/>
      <c r="ATG2" s="201"/>
      <c r="ATH2" s="201"/>
      <c r="ATI2" s="201"/>
      <c r="ATJ2" s="201"/>
      <c r="ATK2" s="201"/>
      <c r="ATL2" s="201"/>
      <c r="ATM2" s="201"/>
      <c r="ATN2" s="201"/>
      <c r="ATO2" s="201"/>
      <c r="ATP2" s="201"/>
      <c r="ATQ2" s="201"/>
      <c r="ATR2" s="201"/>
      <c r="ATS2" s="201"/>
      <c r="ATT2" s="201"/>
      <c r="ATU2" s="201"/>
      <c r="ATV2" s="201"/>
      <c r="ATW2" s="201"/>
      <c r="ATX2" s="201"/>
      <c r="ATY2" s="201"/>
      <c r="ATZ2" s="201"/>
      <c r="AUA2" s="201"/>
      <c r="AUB2" s="201"/>
      <c r="AUC2" s="201"/>
      <c r="AUD2" s="201"/>
      <c r="AUE2" s="201"/>
      <c r="AUF2" s="201"/>
      <c r="AUG2" s="201"/>
      <c r="AUH2" s="201"/>
      <c r="AUI2" s="201"/>
      <c r="AUJ2" s="201"/>
      <c r="AUK2" s="201"/>
      <c r="AUL2" s="201"/>
      <c r="AUM2" s="201"/>
      <c r="AUN2" s="201"/>
      <c r="AUO2" s="201"/>
      <c r="AUP2" s="201"/>
      <c r="AUQ2" s="201"/>
      <c r="AUR2" s="201"/>
      <c r="AUS2" s="201"/>
      <c r="AUT2" s="201"/>
      <c r="AUU2" s="201"/>
      <c r="AUV2" s="201"/>
      <c r="AUW2" s="201"/>
      <c r="AUX2" s="201"/>
      <c r="AUY2" s="201"/>
      <c r="AUZ2" s="201"/>
      <c r="AVA2" s="201"/>
      <c r="AVB2" s="201"/>
      <c r="AVC2" s="201"/>
      <c r="AVD2" s="201"/>
      <c r="AVE2" s="201"/>
      <c r="AVF2" s="201"/>
      <c r="AVG2" s="201"/>
      <c r="AVH2" s="201"/>
      <c r="AVI2" s="201"/>
      <c r="AVJ2" s="201"/>
      <c r="AVK2" s="201"/>
      <c r="AVL2" s="201"/>
      <c r="AVM2" s="201"/>
      <c r="AVN2" s="201"/>
      <c r="AVO2" s="201"/>
      <c r="AVP2" s="201"/>
      <c r="AVQ2" s="201"/>
      <c r="AVR2" s="201"/>
      <c r="AVS2" s="201"/>
      <c r="AVT2" s="201"/>
      <c r="AVU2" s="201"/>
      <c r="AVV2" s="201"/>
      <c r="AVW2" s="201"/>
      <c r="AVX2" s="201"/>
      <c r="AVY2" s="201"/>
      <c r="AVZ2" s="201"/>
      <c r="AWA2" s="201"/>
      <c r="AWB2" s="201"/>
      <c r="AWC2" s="201"/>
      <c r="AWD2" s="201"/>
      <c r="AWE2" s="201"/>
      <c r="AWF2" s="201"/>
      <c r="AWG2" s="201"/>
      <c r="AWH2" s="201"/>
      <c r="AWI2" s="201"/>
      <c r="AWJ2" s="201"/>
      <c r="AWK2" s="201"/>
      <c r="AWL2" s="201"/>
      <c r="AWM2" s="201"/>
      <c r="AWN2" s="201"/>
      <c r="AWO2" s="201"/>
      <c r="AWP2" s="201"/>
      <c r="AWQ2" s="201"/>
      <c r="AWR2" s="201"/>
      <c r="AWS2" s="201"/>
      <c r="AWT2" s="201"/>
      <c r="AWU2" s="201"/>
      <c r="AWV2" s="201"/>
      <c r="AWW2" s="201"/>
      <c r="AWX2" s="201"/>
      <c r="AWY2" s="201"/>
      <c r="AWZ2" s="201"/>
      <c r="AXA2" s="201"/>
      <c r="AXB2" s="201"/>
      <c r="AXC2" s="201"/>
      <c r="AXD2" s="201"/>
      <c r="AXE2" s="201"/>
      <c r="AXF2" s="201"/>
      <c r="AXG2" s="201"/>
      <c r="AXH2" s="201"/>
      <c r="AXI2" s="201"/>
      <c r="AXJ2" s="201"/>
      <c r="AXK2" s="201"/>
      <c r="AXL2" s="201"/>
      <c r="AXM2" s="201"/>
      <c r="AXN2" s="201"/>
      <c r="AXO2" s="201"/>
      <c r="AXP2" s="201"/>
      <c r="AXQ2" s="201"/>
      <c r="AXR2" s="201"/>
      <c r="AXS2" s="201"/>
      <c r="AXT2" s="201"/>
      <c r="AXU2" s="201"/>
      <c r="AXV2" s="201"/>
      <c r="AXW2" s="201"/>
      <c r="AXX2" s="201"/>
      <c r="AXY2" s="201"/>
      <c r="AXZ2" s="201"/>
      <c r="AYA2" s="201"/>
      <c r="AYB2" s="201"/>
      <c r="AYC2" s="201"/>
      <c r="AYD2" s="201"/>
      <c r="AYE2" s="201"/>
      <c r="AYF2" s="201"/>
      <c r="AYG2" s="201"/>
      <c r="AYH2" s="201"/>
      <c r="AYI2" s="201"/>
      <c r="AYJ2" s="201"/>
      <c r="AYK2" s="201"/>
      <c r="AYL2" s="201"/>
      <c r="AYM2" s="201"/>
      <c r="AYN2" s="201"/>
      <c r="AYO2" s="201"/>
      <c r="AYP2" s="201"/>
      <c r="AYQ2" s="201"/>
      <c r="AYR2" s="201"/>
      <c r="AYS2" s="201"/>
      <c r="AYT2" s="201"/>
      <c r="AYU2" s="201"/>
      <c r="AYV2" s="201"/>
      <c r="AYW2" s="201"/>
      <c r="AYX2" s="201"/>
      <c r="AYY2" s="201"/>
      <c r="AYZ2" s="201"/>
      <c r="AZA2" s="201"/>
      <c r="AZB2" s="201"/>
      <c r="AZC2" s="201"/>
      <c r="AZD2" s="201"/>
      <c r="AZE2" s="201"/>
      <c r="AZF2" s="201"/>
      <c r="AZG2" s="201"/>
      <c r="AZH2" s="201"/>
      <c r="AZI2" s="201"/>
      <c r="AZJ2" s="201"/>
      <c r="AZK2" s="201"/>
      <c r="AZL2" s="201"/>
      <c r="AZM2" s="201"/>
      <c r="AZN2" s="201"/>
      <c r="AZO2" s="201"/>
      <c r="AZP2" s="201"/>
      <c r="AZQ2" s="201"/>
      <c r="AZR2" s="201"/>
      <c r="AZS2" s="201"/>
      <c r="AZT2" s="201"/>
      <c r="AZU2" s="201"/>
      <c r="AZV2" s="201"/>
      <c r="AZW2" s="201"/>
      <c r="AZX2" s="201"/>
      <c r="AZY2" s="201"/>
      <c r="AZZ2" s="201"/>
      <c r="BAA2" s="201"/>
      <c r="BAB2" s="201"/>
      <c r="BAC2" s="201"/>
      <c r="BAD2" s="201"/>
      <c r="BAE2" s="201"/>
      <c r="BAF2" s="201"/>
      <c r="BAG2" s="201"/>
      <c r="BAH2" s="201"/>
      <c r="BAI2" s="201"/>
      <c r="BAJ2" s="201"/>
      <c r="BAK2" s="201"/>
      <c r="BAL2" s="201"/>
      <c r="BAM2" s="201"/>
      <c r="BAN2" s="201"/>
      <c r="BAO2" s="201"/>
      <c r="BAP2" s="201"/>
      <c r="BAQ2" s="201"/>
      <c r="BAR2" s="201"/>
      <c r="BAS2" s="201"/>
      <c r="BAT2" s="201"/>
      <c r="BAU2" s="201"/>
      <c r="BAV2" s="201"/>
      <c r="BAW2" s="201"/>
      <c r="BAX2" s="201"/>
      <c r="BAY2" s="201"/>
      <c r="BAZ2" s="201"/>
      <c r="BBA2" s="201"/>
      <c r="BBB2" s="201"/>
      <c r="BBC2" s="201"/>
      <c r="BBD2" s="201"/>
      <c r="BBE2" s="201"/>
      <c r="BBF2" s="201"/>
      <c r="BBG2" s="201"/>
      <c r="BBH2" s="201"/>
      <c r="BBI2" s="201"/>
      <c r="BBJ2" s="201"/>
      <c r="BBK2" s="201"/>
      <c r="BBL2" s="201"/>
      <c r="BBM2" s="201"/>
      <c r="BBN2" s="201"/>
      <c r="BBO2" s="201"/>
      <c r="BBP2" s="201"/>
      <c r="BBQ2" s="201"/>
      <c r="BBR2" s="201"/>
      <c r="BBS2" s="201"/>
      <c r="BBT2" s="201"/>
      <c r="BBU2" s="201"/>
      <c r="BBV2" s="201"/>
      <c r="BBW2" s="201"/>
      <c r="BBX2" s="201"/>
      <c r="BBY2" s="201"/>
      <c r="BBZ2" s="201"/>
      <c r="BCA2" s="201"/>
      <c r="BCB2" s="201"/>
      <c r="BCC2" s="201"/>
      <c r="BCD2" s="201"/>
      <c r="BCE2" s="201"/>
      <c r="BCF2" s="201"/>
      <c r="BCG2" s="201"/>
      <c r="BCH2" s="201"/>
      <c r="BCI2" s="201"/>
      <c r="BCJ2" s="201"/>
      <c r="BCK2" s="201"/>
      <c r="BCL2" s="201"/>
      <c r="BCM2" s="201"/>
      <c r="BCN2" s="201"/>
      <c r="BCO2" s="201"/>
      <c r="BCP2" s="201"/>
      <c r="BCQ2" s="201"/>
      <c r="BCR2" s="201"/>
      <c r="BCS2" s="201"/>
      <c r="BCT2" s="201"/>
      <c r="BCU2" s="201"/>
      <c r="BCV2" s="201"/>
      <c r="BCW2" s="201"/>
      <c r="BCX2" s="201"/>
      <c r="BCY2" s="201"/>
      <c r="BCZ2" s="201"/>
      <c r="BDA2" s="201"/>
      <c r="BDB2" s="201"/>
      <c r="BDC2" s="201"/>
      <c r="BDD2" s="201"/>
      <c r="BDE2" s="201"/>
      <c r="BDF2" s="201"/>
      <c r="BDG2" s="201"/>
      <c r="BDH2" s="201"/>
      <c r="BDI2" s="201"/>
      <c r="BDJ2" s="201"/>
      <c r="BDK2" s="201"/>
      <c r="BDL2" s="201"/>
      <c r="BDM2" s="201"/>
      <c r="BDN2" s="201"/>
      <c r="BDO2" s="201"/>
      <c r="BDP2" s="201"/>
      <c r="BDQ2" s="201"/>
      <c r="BDR2" s="201"/>
      <c r="BDS2" s="201"/>
      <c r="BDT2" s="201"/>
      <c r="BDU2" s="201"/>
      <c r="BDV2" s="201"/>
      <c r="BDW2" s="201"/>
      <c r="BDX2" s="201"/>
      <c r="BDY2" s="201"/>
      <c r="BDZ2" s="201"/>
      <c r="BEA2" s="201"/>
      <c r="BEB2" s="201"/>
      <c r="BEC2" s="201"/>
      <c r="BED2" s="201"/>
      <c r="BEE2" s="201"/>
      <c r="BEF2" s="201"/>
      <c r="BEG2" s="201"/>
      <c r="BEH2" s="201"/>
      <c r="BEI2" s="201"/>
      <c r="BEJ2" s="201"/>
      <c r="BEK2" s="201"/>
      <c r="BEL2" s="201"/>
      <c r="BEM2" s="201"/>
      <c r="BEN2" s="201"/>
      <c r="BEO2" s="201"/>
      <c r="BEP2" s="201"/>
      <c r="BEQ2" s="201"/>
      <c r="BER2" s="201"/>
      <c r="BES2" s="201"/>
      <c r="BET2" s="201"/>
      <c r="BEU2" s="201"/>
      <c r="BEV2" s="201"/>
      <c r="BEW2" s="201"/>
      <c r="BEX2" s="201"/>
      <c r="BEY2" s="201"/>
      <c r="BEZ2" s="201"/>
      <c r="BFA2" s="201"/>
      <c r="BFB2" s="201"/>
      <c r="BFC2" s="201"/>
      <c r="BFD2" s="201"/>
      <c r="BFE2" s="201"/>
      <c r="BFF2" s="201"/>
      <c r="BFG2" s="201"/>
      <c r="BFH2" s="201"/>
      <c r="BFI2" s="201"/>
      <c r="BFJ2" s="201"/>
      <c r="BFK2" s="201"/>
      <c r="BFL2" s="201"/>
      <c r="BFM2" s="201"/>
      <c r="BFN2" s="201"/>
      <c r="BFO2" s="201"/>
      <c r="BFP2" s="201"/>
      <c r="BFQ2" s="201"/>
      <c r="BFR2" s="201"/>
      <c r="BFS2" s="201"/>
      <c r="BFT2" s="201"/>
      <c r="BFU2" s="201"/>
      <c r="BFV2" s="201"/>
      <c r="BFW2" s="201"/>
      <c r="BFX2" s="201"/>
      <c r="BFY2" s="201"/>
      <c r="BFZ2" s="201"/>
      <c r="BGA2" s="201"/>
      <c r="BGB2" s="201"/>
      <c r="BGC2" s="201"/>
      <c r="BGD2" s="201"/>
      <c r="BGE2" s="201"/>
      <c r="BGF2" s="201"/>
      <c r="BGG2" s="201"/>
      <c r="BGH2" s="201"/>
      <c r="BGI2" s="201"/>
      <c r="BGJ2" s="201"/>
      <c r="BGK2" s="201"/>
      <c r="BGL2" s="201"/>
      <c r="BGM2" s="201"/>
      <c r="BGN2" s="201"/>
      <c r="BGO2" s="201"/>
      <c r="BGP2" s="201"/>
      <c r="BGQ2" s="201"/>
      <c r="BGR2" s="201"/>
      <c r="BGS2" s="201"/>
      <c r="BGT2" s="201"/>
      <c r="BGU2" s="201"/>
      <c r="BGV2" s="201"/>
      <c r="BGW2" s="201"/>
      <c r="BGX2" s="201"/>
      <c r="BGY2" s="201"/>
      <c r="BGZ2" s="201"/>
      <c r="BHA2" s="201"/>
      <c r="BHB2" s="201"/>
      <c r="BHC2" s="201"/>
      <c r="BHD2" s="201"/>
      <c r="BHE2" s="201"/>
      <c r="BHF2" s="201"/>
      <c r="BHG2" s="201"/>
      <c r="BHH2" s="201"/>
      <c r="BHI2" s="201"/>
      <c r="BHJ2" s="201"/>
      <c r="BHK2" s="201"/>
      <c r="BHL2" s="201"/>
      <c r="BHM2" s="201"/>
      <c r="BHN2" s="201"/>
      <c r="BHO2" s="201"/>
      <c r="BHP2" s="201"/>
      <c r="BHQ2" s="201"/>
      <c r="BHR2" s="201"/>
      <c r="BHS2" s="201"/>
      <c r="BHT2" s="201"/>
      <c r="BHU2" s="201"/>
      <c r="BHV2" s="201"/>
      <c r="BHW2" s="201"/>
      <c r="BHX2" s="201"/>
      <c r="BHY2" s="201"/>
      <c r="BHZ2" s="201"/>
      <c r="BIA2" s="201"/>
      <c r="BIB2" s="201"/>
      <c r="BIC2" s="201"/>
      <c r="BID2" s="201"/>
      <c r="BIE2" s="201"/>
      <c r="BIF2" s="201"/>
      <c r="BIG2" s="201"/>
      <c r="BIH2" s="201"/>
      <c r="BII2" s="201"/>
      <c r="BIJ2" s="201"/>
      <c r="BIK2" s="201"/>
      <c r="BIL2" s="201"/>
      <c r="BIM2" s="201"/>
      <c r="BIN2" s="201"/>
      <c r="BIO2" s="201"/>
      <c r="BIP2" s="201"/>
      <c r="BIQ2" s="201"/>
      <c r="BIR2" s="201"/>
      <c r="BIS2" s="201"/>
      <c r="BIT2" s="201"/>
      <c r="BIU2" s="201"/>
      <c r="BIV2" s="201"/>
      <c r="BIW2" s="201"/>
      <c r="BIX2" s="201"/>
      <c r="BIY2" s="201"/>
      <c r="BIZ2" s="201"/>
      <c r="BJA2" s="201"/>
      <c r="BJB2" s="201"/>
      <c r="BJC2" s="201"/>
      <c r="BJD2" s="201"/>
      <c r="BJE2" s="201"/>
      <c r="BJF2" s="201"/>
      <c r="BJG2" s="201"/>
      <c r="BJH2" s="201"/>
      <c r="BJI2" s="201"/>
      <c r="BJJ2" s="201"/>
      <c r="BJK2" s="201"/>
      <c r="BJL2" s="201"/>
      <c r="BJM2" s="201"/>
      <c r="BJN2" s="201"/>
      <c r="BJO2" s="201"/>
      <c r="BJP2" s="201"/>
      <c r="BJQ2" s="201"/>
      <c r="BJR2" s="201"/>
      <c r="BJS2" s="201"/>
      <c r="BJT2" s="201"/>
      <c r="BJU2" s="201"/>
      <c r="BJV2" s="201"/>
      <c r="BJW2" s="201"/>
      <c r="BJX2" s="201"/>
      <c r="BJY2" s="201"/>
      <c r="BJZ2" s="201"/>
      <c r="BKA2" s="201"/>
      <c r="BKB2" s="201"/>
      <c r="BKC2" s="201"/>
      <c r="BKD2" s="201"/>
      <c r="BKE2" s="201"/>
      <c r="BKF2" s="201"/>
      <c r="BKG2" s="201"/>
      <c r="BKH2" s="201"/>
      <c r="BKI2" s="201"/>
      <c r="BKJ2" s="201"/>
      <c r="BKK2" s="201"/>
      <c r="BKL2" s="201"/>
      <c r="BKM2" s="201"/>
      <c r="BKN2" s="201"/>
      <c r="BKO2" s="201"/>
      <c r="BKP2" s="201"/>
      <c r="BKQ2" s="201"/>
      <c r="BKR2" s="201"/>
      <c r="BKS2" s="201"/>
      <c r="BKT2" s="201"/>
      <c r="BKU2" s="201"/>
      <c r="BKV2" s="201"/>
      <c r="BKW2" s="201"/>
      <c r="BKX2" s="201"/>
      <c r="BKY2" s="201"/>
      <c r="BKZ2" s="201"/>
      <c r="BLA2" s="201"/>
      <c r="BLB2" s="201"/>
      <c r="BLC2" s="201"/>
      <c r="BLD2" s="201"/>
      <c r="BLE2" s="201"/>
      <c r="BLF2" s="201"/>
      <c r="BLG2" s="201"/>
      <c r="BLH2" s="201"/>
      <c r="BLI2" s="201"/>
      <c r="BLJ2" s="201"/>
      <c r="BLK2" s="201"/>
      <c r="BLL2" s="201"/>
      <c r="BLM2" s="201"/>
      <c r="BLN2" s="201"/>
      <c r="BLO2" s="201"/>
      <c r="BLP2" s="201"/>
      <c r="BLQ2" s="201"/>
      <c r="BLR2" s="201"/>
      <c r="BLS2" s="201"/>
      <c r="BLT2" s="201"/>
      <c r="BLU2" s="201"/>
      <c r="BLV2" s="201"/>
      <c r="BLW2" s="201"/>
      <c r="BLX2" s="201"/>
      <c r="BLY2" s="201"/>
      <c r="BLZ2" s="201"/>
      <c r="BMA2" s="201"/>
      <c r="BMB2" s="201"/>
      <c r="BMC2" s="201"/>
      <c r="BMD2" s="201"/>
      <c r="BME2" s="201"/>
      <c r="BMF2" s="201"/>
      <c r="BMG2" s="201"/>
      <c r="BMH2" s="201"/>
      <c r="BMI2" s="201"/>
      <c r="BMJ2" s="201"/>
      <c r="BMK2" s="201"/>
      <c r="BML2" s="201"/>
      <c r="BMM2" s="201"/>
      <c r="BMN2" s="201"/>
      <c r="BMO2" s="201"/>
      <c r="BMP2" s="201"/>
      <c r="BMQ2" s="201"/>
      <c r="BMR2" s="201"/>
      <c r="BMS2" s="201"/>
      <c r="BMT2" s="201"/>
      <c r="BMU2" s="201"/>
      <c r="BMV2" s="201"/>
      <c r="BMW2" s="201"/>
      <c r="BMX2" s="201"/>
      <c r="BMY2" s="201"/>
      <c r="BMZ2" s="201"/>
      <c r="BNA2" s="201"/>
      <c r="BNB2" s="201"/>
      <c r="BNC2" s="201"/>
      <c r="BND2" s="201"/>
      <c r="BNE2" s="201"/>
      <c r="BNF2" s="201"/>
      <c r="BNG2" s="201"/>
      <c r="BNH2" s="201"/>
      <c r="BNI2" s="201"/>
      <c r="BNJ2" s="201"/>
      <c r="BNK2" s="201"/>
      <c r="BNL2" s="201"/>
      <c r="BNM2" s="201"/>
      <c r="BNN2" s="201"/>
      <c r="BNO2" s="201"/>
      <c r="BNP2" s="201"/>
      <c r="BNQ2" s="201"/>
      <c r="BNR2" s="201"/>
      <c r="BNS2" s="201"/>
      <c r="BNT2" s="201"/>
      <c r="BNU2" s="201"/>
      <c r="BNV2" s="201"/>
      <c r="BNW2" s="201"/>
      <c r="BNX2" s="201"/>
      <c r="BNY2" s="201"/>
      <c r="BNZ2" s="201"/>
      <c r="BOA2" s="201"/>
      <c r="BOB2" s="201"/>
      <c r="BOC2" s="201"/>
      <c r="BOD2" s="201"/>
      <c r="BOE2" s="201"/>
      <c r="BOF2" s="201"/>
      <c r="BOG2" s="201"/>
      <c r="BOH2" s="201"/>
      <c r="BOI2" s="201"/>
      <c r="BOJ2" s="201"/>
      <c r="BOK2" s="201"/>
      <c r="BOL2" s="201"/>
      <c r="BOM2" s="201"/>
      <c r="BON2" s="201"/>
      <c r="BOO2" s="201"/>
      <c r="BOP2" s="201"/>
      <c r="BOQ2" s="201"/>
      <c r="BOR2" s="201"/>
      <c r="BOS2" s="201"/>
      <c r="BOT2" s="201"/>
      <c r="BOU2" s="201"/>
      <c r="BOV2" s="201"/>
      <c r="BOW2" s="201"/>
      <c r="BOX2" s="201"/>
      <c r="BOY2" s="201"/>
      <c r="BOZ2" s="201"/>
      <c r="BPA2" s="201"/>
      <c r="BPB2" s="201"/>
      <c r="BPC2" s="201"/>
      <c r="BPD2" s="201"/>
      <c r="BPE2" s="201"/>
      <c r="BPF2" s="201"/>
      <c r="BPG2" s="201"/>
      <c r="BPH2" s="201"/>
      <c r="BPI2" s="201"/>
      <c r="BPJ2" s="201"/>
      <c r="BPK2" s="201"/>
      <c r="BPL2" s="201"/>
      <c r="BPM2" s="201"/>
      <c r="BPN2" s="201"/>
      <c r="BPO2" s="201"/>
      <c r="BPP2" s="201"/>
      <c r="BPQ2" s="201"/>
      <c r="BPR2" s="201"/>
      <c r="BPS2" s="201"/>
      <c r="BPT2" s="201"/>
      <c r="BPU2" s="201"/>
      <c r="BPV2" s="201"/>
      <c r="BPW2" s="201"/>
      <c r="BPX2" s="201"/>
      <c r="BPY2" s="201"/>
      <c r="BPZ2" s="201"/>
      <c r="BQA2" s="201"/>
      <c r="BQB2" s="201"/>
      <c r="BQC2" s="201"/>
      <c r="BQD2" s="201"/>
      <c r="BQE2" s="201"/>
      <c r="BQF2" s="201"/>
      <c r="BQG2" s="201"/>
      <c r="BQH2" s="201"/>
      <c r="BQI2" s="201"/>
      <c r="BQJ2" s="201"/>
      <c r="BQK2" s="201"/>
      <c r="BQL2" s="201"/>
      <c r="BQM2" s="201"/>
      <c r="BQN2" s="201"/>
      <c r="BQO2" s="201"/>
      <c r="BQP2" s="201"/>
      <c r="BQQ2" s="201"/>
      <c r="BQR2" s="201"/>
      <c r="BQS2" s="201"/>
      <c r="BQT2" s="201"/>
      <c r="BQU2" s="201"/>
      <c r="BQV2" s="201"/>
      <c r="BQW2" s="201"/>
      <c r="BQX2" s="201"/>
      <c r="BQY2" s="201"/>
      <c r="BQZ2" s="201"/>
      <c r="BRA2" s="201"/>
      <c r="BRB2" s="201"/>
      <c r="BRC2" s="201"/>
      <c r="BRD2" s="201"/>
      <c r="BRE2" s="201"/>
      <c r="BRF2" s="201"/>
      <c r="BRG2" s="201"/>
      <c r="BRH2" s="201"/>
      <c r="BRI2" s="201"/>
      <c r="BRJ2" s="201"/>
      <c r="BRK2" s="201"/>
      <c r="BRL2" s="201"/>
      <c r="BRM2" s="201"/>
      <c r="BRN2" s="201"/>
      <c r="BRO2" s="201"/>
      <c r="BRP2" s="201"/>
      <c r="BRQ2" s="201"/>
      <c r="BRR2" s="201"/>
      <c r="BRS2" s="201"/>
      <c r="BRT2" s="201"/>
      <c r="BRU2" s="201"/>
      <c r="BRV2" s="201"/>
      <c r="BRW2" s="201"/>
      <c r="BRX2" s="201"/>
      <c r="BRY2" s="201"/>
      <c r="BRZ2" s="201"/>
      <c r="BSA2" s="201"/>
      <c r="BSB2" s="201"/>
      <c r="BSC2" s="201"/>
      <c r="BSD2" s="201"/>
      <c r="BSE2" s="201"/>
      <c r="BSF2" s="201"/>
      <c r="BSG2" s="201"/>
      <c r="BSH2" s="201"/>
      <c r="BSI2" s="201"/>
      <c r="BSJ2" s="201"/>
      <c r="BSK2" s="201"/>
      <c r="BSL2" s="201"/>
      <c r="BSM2" s="201"/>
      <c r="BSN2" s="201"/>
      <c r="BSO2" s="201"/>
      <c r="BSP2" s="201"/>
      <c r="BSQ2" s="201"/>
      <c r="BSR2" s="201"/>
      <c r="BSS2" s="201"/>
      <c r="BST2" s="201"/>
      <c r="BSU2" s="201"/>
      <c r="BSV2" s="201"/>
      <c r="BSW2" s="201"/>
      <c r="BSX2" s="201"/>
      <c r="BSY2" s="201"/>
      <c r="BSZ2" s="201"/>
      <c r="BTA2" s="201"/>
      <c r="BTB2" s="201"/>
      <c r="BTC2" s="201"/>
      <c r="BTD2" s="201"/>
      <c r="BTE2" s="201"/>
      <c r="BTF2" s="201"/>
      <c r="BTG2" s="201"/>
      <c r="BTH2" s="201"/>
      <c r="BTI2" s="201"/>
      <c r="BTJ2" s="201"/>
      <c r="BTK2" s="201"/>
      <c r="BTL2" s="201"/>
      <c r="BTM2" s="201"/>
      <c r="BTN2" s="201"/>
      <c r="BTO2" s="201"/>
      <c r="BTP2" s="201"/>
      <c r="BTQ2" s="201"/>
      <c r="BTR2" s="201"/>
      <c r="BTS2" s="201"/>
      <c r="BTT2" s="201"/>
      <c r="BTU2" s="201"/>
      <c r="BTV2" s="201"/>
      <c r="BTW2" s="201"/>
      <c r="BTX2" s="201"/>
      <c r="BTY2" s="201"/>
      <c r="BTZ2" s="201"/>
      <c r="BUA2" s="201"/>
      <c r="BUB2" s="201"/>
      <c r="BUC2" s="201"/>
      <c r="BUD2" s="201"/>
      <c r="BUE2" s="201"/>
      <c r="BUF2" s="201"/>
      <c r="BUG2" s="201"/>
      <c r="BUH2" s="201"/>
      <c r="BUI2" s="201"/>
      <c r="BUJ2" s="201"/>
      <c r="BUK2" s="201"/>
      <c r="BUL2" s="201"/>
      <c r="BUM2" s="201"/>
      <c r="BUN2" s="201"/>
      <c r="BUO2" s="201"/>
      <c r="BUP2" s="201"/>
      <c r="BUQ2" s="201"/>
      <c r="BUR2" s="201"/>
      <c r="BUS2" s="201"/>
      <c r="BUT2" s="201"/>
      <c r="BUU2" s="201"/>
      <c r="BUV2" s="201"/>
      <c r="BUW2" s="201"/>
      <c r="BUX2" s="201"/>
      <c r="BUY2" s="201"/>
      <c r="BUZ2" s="201"/>
      <c r="BVA2" s="201"/>
      <c r="BVB2" s="201"/>
      <c r="BVC2" s="201"/>
      <c r="BVD2" s="201"/>
      <c r="BVE2" s="201"/>
      <c r="BVF2" s="201"/>
      <c r="BVG2" s="201"/>
      <c r="BVH2" s="201"/>
      <c r="BVI2" s="201"/>
      <c r="BVJ2" s="201"/>
      <c r="BVK2" s="201"/>
      <c r="BVL2" s="201"/>
      <c r="BVM2" s="201"/>
      <c r="BVN2" s="201"/>
      <c r="BVO2" s="201"/>
      <c r="BVP2" s="201"/>
      <c r="BVQ2" s="201"/>
      <c r="BVR2" s="201"/>
      <c r="BVS2" s="201"/>
      <c r="BVT2" s="201"/>
      <c r="BVU2" s="201"/>
      <c r="BVV2" s="201"/>
      <c r="BVW2" s="201"/>
      <c r="BVX2" s="201"/>
      <c r="BVY2" s="201"/>
      <c r="BVZ2" s="201"/>
      <c r="BWA2" s="201"/>
      <c r="BWB2" s="201"/>
      <c r="BWC2" s="201"/>
      <c r="BWD2" s="201"/>
      <c r="BWE2" s="201"/>
      <c r="BWF2" s="201"/>
      <c r="BWG2" s="201"/>
      <c r="BWH2" s="201"/>
      <c r="BWI2" s="201"/>
      <c r="BWJ2" s="201"/>
      <c r="BWK2" s="201"/>
      <c r="BWL2" s="201"/>
      <c r="BWM2" s="201"/>
      <c r="BWN2" s="201"/>
      <c r="BWO2" s="201"/>
      <c r="BWP2" s="201"/>
      <c r="BWQ2" s="201"/>
      <c r="BWR2" s="201"/>
      <c r="BWS2" s="201"/>
      <c r="BWT2" s="201"/>
      <c r="BWU2" s="201"/>
      <c r="BWV2" s="201"/>
      <c r="BWW2" s="201"/>
      <c r="BWX2" s="201"/>
      <c r="BWY2" s="201"/>
      <c r="BWZ2" s="201"/>
      <c r="BXA2" s="201"/>
      <c r="BXB2" s="201"/>
      <c r="BXC2" s="201"/>
      <c r="BXD2" s="201"/>
      <c r="BXE2" s="201"/>
      <c r="BXF2" s="201"/>
      <c r="BXG2" s="201"/>
      <c r="BXH2" s="201"/>
      <c r="BXI2" s="201"/>
      <c r="BXJ2" s="201"/>
      <c r="BXK2" s="201"/>
      <c r="BXL2" s="201"/>
      <c r="BXM2" s="201"/>
      <c r="BXN2" s="201"/>
      <c r="BXO2" s="201"/>
      <c r="BXP2" s="201"/>
      <c r="BXQ2" s="201"/>
      <c r="BXR2" s="201"/>
      <c r="BXS2" s="201"/>
      <c r="BXT2" s="201"/>
      <c r="BXU2" s="201"/>
      <c r="BXV2" s="201"/>
      <c r="BXW2" s="201"/>
      <c r="BXX2" s="201"/>
      <c r="BXY2" s="201"/>
      <c r="BXZ2" s="201"/>
      <c r="BYA2" s="201"/>
      <c r="BYB2" s="201"/>
      <c r="BYC2" s="201"/>
      <c r="BYD2" s="201"/>
      <c r="BYE2" s="201"/>
      <c r="BYF2" s="201"/>
      <c r="BYG2" s="201"/>
      <c r="BYH2" s="201"/>
      <c r="BYI2" s="201"/>
      <c r="BYJ2" s="201"/>
      <c r="BYK2" s="201"/>
      <c r="BYL2" s="201"/>
      <c r="BYM2" s="201"/>
      <c r="BYN2" s="201"/>
      <c r="BYO2" s="201"/>
      <c r="BYP2" s="201"/>
      <c r="BYQ2" s="201"/>
      <c r="BYR2" s="201"/>
      <c r="BYS2" s="201"/>
      <c r="BYT2" s="201"/>
      <c r="BYU2" s="201"/>
      <c r="BYV2" s="201"/>
      <c r="BYW2" s="201"/>
      <c r="BYX2" s="201"/>
      <c r="BYY2" s="201"/>
      <c r="BYZ2" s="201"/>
      <c r="BZA2" s="201"/>
      <c r="BZB2" s="201"/>
      <c r="BZC2" s="201"/>
      <c r="BZD2" s="201"/>
      <c r="BZE2" s="201"/>
      <c r="BZF2" s="201"/>
      <c r="BZG2" s="201"/>
      <c r="BZH2" s="201"/>
      <c r="BZI2" s="201"/>
      <c r="BZJ2" s="201"/>
      <c r="BZK2" s="201"/>
      <c r="BZL2" s="201"/>
      <c r="BZM2" s="201"/>
      <c r="BZN2" s="201"/>
      <c r="BZO2" s="201"/>
      <c r="BZP2" s="201"/>
      <c r="BZQ2" s="201"/>
      <c r="BZR2" s="201"/>
      <c r="BZS2" s="201"/>
      <c r="BZT2" s="201"/>
      <c r="BZU2" s="201"/>
      <c r="BZV2" s="201"/>
      <c r="BZW2" s="201"/>
      <c r="BZX2" s="201"/>
      <c r="BZY2" s="201"/>
      <c r="BZZ2" s="201"/>
      <c r="CAA2" s="201"/>
      <c r="CAB2" s="201"/>
      <c r="CAC2" s="201"/>
      <c r="CAD2" s="201"/>
      <c r="CAE2" s="201"/>
      <c r="CAF2" s="201"/>
      <c r="CAG2" s="201"/>
      <c r="CAH2" s="201"/>
      <c r="CAI2" s="201"/>
      <c r="CAJ2" s="201"/>
      <c r="CAK2" s="201"/>
      <c r="CAL2" s="201"/>
      <c r="CAM2" s="201"/>
      <c r="CAN2" s="201"/>
      <c r="CAO2" s="201"/>
      <c r="CAP2" s="201"/>
      <c r="CAQ2" s="201"/>
      <c r="CAR2" s="201"/>
      <c r="CAS2" s="201"/>
      <c r="CAT2" s="201"/>
      <c r="CAU2" s="201"/>
      <c r="CAV2" s="201"/>
      <c r="CAW2" s="201"/>
      <c r="CAX2" s="201"/>
      <c r="CAY2" s="201"/>
      <c r="CAZ2" s="201"/>
      <c r="CBA2" s="201"/>
      <c r="CBB2" s="201"/>
      <c r="CBC2" s="201"/>
      <c r="CBD2" s="201"/>
      <c r="CBE2" s="201"/>
      <c r="CBF2" s="201"/>
      <c r="CBG2" s="201"/>
      <c r="CBH2" s="201"/>
      <c r="CBI2" s="201"/>
      <c r="CBJ2" s="201"/>
      <c r="CBK2" s="201"/>
      <c r="CBL2" s="201"/>
      <c r="CBM2" s="201"/>
      <c r="CBN2" s="201"/>
      <c r="CBO2" s="201"/>
      <c r="CBP2" s="201"/>
      <c r="CBQ2" s="201"/>
      <c r="CBR2" s="201"/>
      <c r="CBS2" s="201"/>
      <c r="CBT2" s="201"/>
      <c r="CBU2" s="201"/>
      <c r="CBV2" s="201"/>
      <c r="CBW2" s="201"/>
      <c r="CBX2" s="201"/>
      <c r="CBY2" s="201"/>
      <c r="CBZ2" s="201"/>
      <c r="CCA2" s="201"/>
      <c r="CCB2" s="201"/>
      <c r="CCC2" s="201"/>
      <c r="CCD2" s="201"/>
      <c r="CCE2" s="201"/>
      <c r="CCF2" s="201"/>
      <c r="CCG2" s="201"/>
      <c r="CCH2" s="201"/>
      <c r="CCI2" s="201"/>
      <c r="CCJ2" s="201"/>
      <c r="CCK2" s="201"/>
      <c r="CCL2" s="201"/>
      <c r="CCM2" s="201"/>
      <c r="CCN2" s="201"/>
      <c r="CCO2" s="201"/>
      <c r="CCP2" s="201"/>
      <c r="CCQ2" s="201"/>
      <c r="CCR2" s="201"/>
      <c r="CCS2" s="201"/>
      <c r="CCT2" s="201"/>
      <c r="CCU2" s="201"/>
      <c r="CCV2" s="201"/>
      <c r="CCW2" s="201"/>
      <c r="CCX2" s="201"/>
      <c r="CCY2" s="201"/>
      <c r="CCZ2" s="201"/>
      <c r="CDA2" s="201"/>
      <c r="CDB2" s="201"/>
      <c r="CDC2" s="201"/>
      <c r="CDD2" s="201"/>
      <c r="CDE2" s="201"/>
      <c r="CDF2" s="201"/>
      <c r="CDG2" s="201"/>
      <c r="CDH2" s="201"/>
      <c r="CDI2" s="201"/>
      <c r="CDJ2" s="201"/>
      <c r="CDK2" s="201"/>
      <c r="CDL2" s="201"/>
      <c r="CDM2" s="201"/>
      <c r="CDN2" s="201"/>
      <c r="CDO2" s="201"/>
      <c r="CDP2" s="201"/>
      <c r="CDQ2" s="201"/>
      <c r="CDR2" s="201"/>
      <c r="CDS2" s="201"/>
      <c r="CDT2" s="201"/>
      <c r="CDU2" s="201"/>
      <c r="CDV2" s="201"/>
      <c r="CDW2" s="201"/>
      <c r="CDX2" s="201"/>
      <c r="CDY2" s="201"/>
      <c r="CDZ2" s="201"/>
      <c r="CEA2" s="201"/>
      <c r="CEB2" s="201"/>
      <c r="CEC2" s="201"/>
      <c r="CED2" s="201"/>
      <c r="CEE2" s="201"/>
      <c r="CEF2" s="201"/>
      <c r="CEG2" s="201"/>
      <c r="CEH2" s="201"/>
      <c r="CEI2" s="201"/>
      <c r="CEJ2" s="201"/>
      <c r="CEK2" s="201"/>
      <c r="CEL2" s="201"/>
      <c r="CEM2" s="201"/>
      <c r="CEN2" s="201"/>
      <c r="CEO2" s="201"/>
      <c r="CEP2" s="201"/>
      <c r="CEQ2" s="201"/>
      <c r="CER2" s="201"/>
      <c r="CES2" s="201"/>
      <c r="CET2" s="201"/>
      <c r="CEU2" s="201"/>
      <c r="CEV2" s="201"/>
      <c r="CEW2" s="201"/>
      <c r="CEX2" s="201"/>
      <c r="CEY2" s="201"/>
      <c r="CEZ2" s="201"/>
      <c r="CFA2" s="201"/>
      <c r="CFB2" s="201"/>
      <c r="CFC2" s="201"/>
      <c r="CFD2" s="201"/>
      <c r="CFE2" s="201"/>
      <c r="CFF2" s="201"/>
      <c r="CFG2" s="201"/>
      <c r="CFH2" s="201"/>
      <c r="CFI2" s="201"/>
      <c r="CFJ2" s="201"/>
      <c r="CFK2" s="201"/>
      <c r="CFL2" s="201"/>
      <c r="CFM2" s="201"/>
      <c r="CFN2" s="201"/>
      <c r="CFO2" s="201"/>
      <c r="CFP2" s="201"/>
      <c r="CFQ2" s="201"/>
      <c r="CFR2" s="201"/>
      <c r="CFS2" s="201"/>
      <c r="CFT2" s="201"/>
      <c r="CFU2" s="201"/>
      <c r="CFV2" s="201"/>
      <c r="CFW2" s="201"/>
      <c r="CFX2" s="201"/>
      <c r="CFY2" s="201"/>
      <c r="CFZ2" s="201"/>
      <c r="CGA2" s="201"/>
      <c r="CGB2" s="201"/>
      <c r="CGC2" s="201"/>
      <c r="CGD2" s="201"/>
      <c r="CGE2" s="201"/>
      <c r="CGF2" s="201"/>
      <c r="CGG2" s="201"/>
      <c r="CGH2" s="201"/>
      <c r="CGI2" s="201"/>
      <c r="CGJ2" s="201"/>
      <c r="CGK2" s="201"/>
      <c r="CGL2" s="201"/>
      <c r="CGM2" s="201"/>
      <c r="CGN2" s="201"/>
      <c r="CGO2" s="201"/>
      <c r="CGP2" s="201"/>
      <c r="CGQ2" s="201"/>
      <c r="CGR2" s="201"/>
      <c r="CGS2" s="201"/>
      <c r="CGT2" s="201"/>
      <c r="CGU2" s="201"/>
      <c r="CGV2" s="201"/>
      <c r="CGW2" s="201"/>
      <c r="CGX2" s="201"/>
      <c r="CGY2" s="201"/>
      <c r="CGZ2" s="201"/>
      <c r="CHA2" s="201"/>
      <c r="CHB2" s="201"/>
      <c r="CHC2" s="201"/>
      <c r="CHD2" s="201"/>
      <c r="CHE2" s="201"/>
      <c r="CHF2" s="201"/>
      <c r="CHG2" s="201"/>
      <c r="CHH2" s="201"/>
      <c r="CHI2" s="201"/>
      <c r="CHJ2" s="201"/>
      <c r="CHK2" s="201"/>
      <c r="CHL2" s="201"/>
      <c r="CHM2" s="201"/>
      <c r="CHN2" s="201"/>
      <c r="CHO2" s="201"/>
      <c r="CHP2" s="201"/>
      <c r="CHQ2" s="201"/>
      <c r="CHR2" s="201"/>
      <c r="CHS2" s="201"/>
      <c r="CHT2" s="201"/>
      <c r="CHU2" s="201"/>
      <c r="CHV2" s="201"/>
      <c r="CHW2" s="201"/>
      <c r="CHX2" s="201"/>
      <c r="CHY2" s="201"/>
      <c r="CHZ2" s="201"/>
      <c r="CIA2" s="201"/>
      <c r="CIB2" s="201"/>
      <c r="CIC2" s="201"/>
      <c r="CID2" s="201"/>
      <c r="CIE2" s="201"/>
      <c r="CIF2" s="201"/>
      <c r="CIG2" s="201"/>
      <c r="CIH2" s="201"/>
      <c r="CII2" s="201"/>
      <c r="CIJ2" s="201"/>
      <c r="CIK2" s="201"/>
      <c r="CIL2" s="201"/>
      <c r="CIM2" s="201"/>
      <c r="CIN2" s="201"/>
      <c r="CIO2" s="201"/>
      <c r="CIP2" s="201"/>
      <c r="CIQ2" s="201"/>
      <c r="CIR2" s="201"/>
      <c r="CIS2" s="201"/>
      <c r="CIT2" s="201"/>
      <c r="CIU2" s="201"/>
      <c r="CIV2" s="201"/>
      <c r="CIW2" s="201"/>
      <c r="CIX2" s="201"/>
      <c r="CIY2" s="201"/>
      <c r="CIZ2" s="201"/>
      <c r="CJA2" s="201"/>
      <c r="CJB2" s="201"/>
      <c r="CJC2" s="201"/>
      <c r="CJD2" s="201"/>
      <c r="CJE2" s="201"/>
      <c r="CJF2" s="201"/>
      <c r="CJG2" s="201"/>
      <c r="CJH2" s="201"/>
      <c r="CJI2" s="201"/>
      <c r="CJJ2" s="201"/>
      <c r="CJK2" s="201"/>
      <c r="CJL2" s="201"/>
      <c r="CJM2" s="201"/>
      <c r="CJN2" s="201"/>
      <c r="CJO2" s="201"/>
      <c r="CJP2" s="201"/>
      <c r="CJQ2" s="201"/>
      <c r="CJR2" s="201"/>
      <c r="CJS2" s="201"/>
      <c r="CJT2" s="201"/>
      <c r="CJU2" s="201"/>
      <c r="CJV2" s="201"/>
      <c r="CJW2" s="201"/>
      <c r="CJX2" s="201"/>
      <c r="CJY2" s="201"/>
      <c r="CJZ2" s="201"/>
      <c r="CKA2" s="201"/>
      <c r="CKB2" s="201"/>
      <c r="CKC2" s="201"/>
      <c r="CKD2" s="201"/>
      <c r="CKE2" s="201"/>
      <c r="CKF2" s="201"/>
      <c r="CKG2" s="201"/>
      <c r="CKH2" s="201"/>
      <c r="CKI2" s="201"/>
      <c r="CKJ2" s="201"/>
      <c r="CKK2" s="201"/>
      <c r="CKL2" s="201"/>
      <c r="CKM2" s="201"/>
      <c r="CKN2" s="201"/>
      <c r="CKO2" s="201"/>
      <c r="CKP2" s="201"/>
      <c r="CKQ2" s="201"/>
      <c r="CKR2" s="201"/>
      <c r="CKS2" s="201"/>
      <c r="CKT2" s="201"/>
      <c r="CKU2" s="201"/>
      <c r="CKV2" s="201"/>
      <c r="CKW2" s="201"/>
      <c r="CKX2" s="201"/>
      <c r="CKY2" s="201"/>
      <c r="CKZ2" s="201"/>
      <c r="CLA2" s="201"/>
      <c r="CLB2" s="201"/>
      <c r="CLC2" s="201"/>
      <c r="CLD2" s="201"/>
      <c r="CLE2" s="201"/>
      <c r="CLF2" s="201"/>
      <c r="CLG2" s="201"/>
      <c r="CLH2" s="201"/>
      <c r="CLI2" s="201"/>
      <c r="CLJ2" s="201"/>
      <c r="CLK2" s="201"/>
      <c r="CLL2" s="201"/>
      <c r="CLM2" s="201"/>
      <c r="CLN2" s="201"/>
      <c r="CLO2" s="201"/>
      <c r="CLP2" s="201"/>
      <c r="CLQ2" s="201"/>
      <c r="CLR2" s="201"/>
      <c r="CLS2" s="201"/>
      <c r="CLT2" s="201"/>
      <c r="CLU2" s="201"/>
      <c r="CLV2" s="201"/>
      <c r="CLW2" s="201"/>
      <c r="CLX2" s="201"/>
      <c r="CLY2" s="201"/>
      <c r="CLZ2" s="201"/>
      <c r="CMA2" s="201"/>
      <c r="CMB2" s="201"/>
      <c r="CMC2" s="201"/>
      <c r="CMD2" s="201"/>
      <c r="CME2" s="201"/>
      <c r="CMF2" s="201"/>
      <c r="CMG2" s="201"/>
      <c r="CMH2" s="201"/>
      <c r="CMI2" s="201"/>
      <c r="CMJ2" s="201"/>
      <c r="CMK2" s="201"/>
      <c r="CML2" s="201"/>
      <c r="CMM2" s="201"/>
      <c r="CMN2" s="201"/>
      <c r="CMO2" s="201"/>
      <c r="CMP2" s="201"/>
      <c r="CMQ2" s="201"/>
      <c r="CMR2" s="201"/>
      <c r="CMS2" s="201"/>
      <c r="CMT2" s="201"/>
      <c r="CMU2" s="201"/>
      <c r="CMV2" s="201"/>
      <c r="CMW2" s="201"/>
      <c r="CMX2" s="201"/>
      <c r="CMY2" s="201"/>
      <c r="CMZ2" s="201"/>
      <c r="CNA2" s="201"/>
      <c r="CNB2" s="201"/>
      <c r="CNC2" s="201"/>
      <c r="CND2" s="201"/>
      <c r="CNE2" s="201"/>
      <c r="CNF2" s="201"/>
      <c r="CNG2" s="201"/>
      <c r="CNH2" s="201"/>
      <c r="CNI2" s="201"/>
      <c r="CNJ2" s="201"/>
      <c r="CNK2" s="201"/>
      <c r="CNL2" s="201"/>
      <c r="CNM2" s="201"/>
      <c r="CNN2" s="201"/>
      <c r="CNO2" s="201"/>
      <c r="CNP2" s="201"/>
      <c r="CNQ2" s="201"/>
      <c r="CNR2" s="201"/>
      <c r="CNS2" s="201"/>
      <c r="CNT2" s="201"/>
      <c r="CNU2" s="201"/>
      <c r="CNV2" s="201"/>
      <c r="CNW2" s="201"/>
      <c r="CNX2" s="201"/>
      <c r="CNY2" s="201"/>
      <c r="CNZ2" s="201"/>
      <c r="COA2" s="201"/>
      <c r="COB2" s="201"/>
      <c r="COC2" s="201"/>
      <c r="COD2" s="201"/>
      <c r="COE2" s="201"/>
      <c r="COF2" s="201"/>
      <c r="COG2" s="201"/>
      <c r="COH2" s="201"/>
      <c r="COI2" s="201"/>
      <c r="COJ2" s="201"/>
      <c r="COK2" s="201"/>
      <c r="COL2" s="201"/>
      <c r="COM2" s="201"/>
      <c r="CON2" s="201"/>
      <c r="COO2" s="201"/>
      <c r="COP2" s="201"/>
      <c r="COQ2" s="201"/>
      <c r="COR2" s="201"/>
      <c r="COS2" s="201"/>
      <c r="COT2" s="201"/>
      <c r="COU2" s="201"/>
      <c r="COV2" s="201"/>
      <c r="COW2" s="201"/>
      <c r="COX2" s="201"/>
      <c r="COY2" s="201"/>
      <c r="COZ2" s="201"/>
      <c r="CPA2" s="201"/>
      <c r="CPB2" s="201"/>
      <c r="CPC2" s="201"/>
      <c r="CPD2" s="201"/>
      <c r="CPE2" s="201"/>
      <c r="CPF2" s="201"/>
      <c r="CPG2" s="201"/>
      <c r="CPH2" s="201"/>
      <c r="CPI2" s="201"/>
      <c r="CPJ2" s="201"/>
      <c r="CPK2" s="201"/>
      <c r="CPL2" s="201"/>
      <c r="CPM2" s="201"/>
      <c r="CPN2" s="201"/>
      <c r="CPO2" s="201"/>
      <c r="CPP2" s="201"/>
      <c r="CPQ2" s="201"/>
      <c r="CPR2" s="201"/>
      <c r="CPS2" s="201"/>
      <c r="CPT2" s="201"/>
      <c r="CPU2" s="201"/>
      <c r="CPV2" s="201"/>
      <c r="CPW2" s="201"/>
      <c r="CPX2" s="201"/>
      <c r="CPY2" s="201"/>
      <c r="CPZ2" s="201"/>
      <c r="CQA2" s="201"/>
      <c r="CQB2" s="201"/>
      <c r="CQC2" s="201"/>
      <c r="CQD2" s="201"/>
      <c r="CQE2" s="201"/>
      <c r="CQF2" s="201"/>
      <c r="CQG2" s="201"/>
      <c r="CQH2" s="201"/>
      <c r="CQI2" s="201"/>
      <c r="CQJ2" s="201"/>
      <c r="CQK2" s="201"/>
      <c r="CQL2" s="201"/>
      <c r="CQM2" s="201"/>
      <c r="CQN2" s="201"/>
      <c r="CQO2" s="201"/>
      <c r="CQP2" s="201"/>
      <c r="CQQ2" s="201"/>
      <c r="CQR2" s="201"/>
      <c r="CQS2" s="201"/>
      <c r="CQT2" s="201"/>
      <c r="CQU2" s="201"/>
      <c r="CQV2" s="201"/>
      <c r="CQW2" s="201"/>
      <c r="CQX2" s="201"/>
      <c r="CQY2" s="201"/>
      <c r="CQZ2" s="201"/>
      <c r="CRA2" s="201"/>
      <c r="CRB2" s="201"/>
      <c r="CRC2" s="201"/>
      <c r="CRD2" s="201"/>
      <c r="CRE2" s="201"/>
      <c r="CRF2" s="201"/>
      <c r="CRG2" s="201"/>
      <c r="CRH2" s="201"/>
      <c r="CRI2" s="201"/>
      <c r="CRJ2" s="201"/>
      <c r="CRK2" s="201"/>
      <c r="CRL2" s="201"/>
      <c r="CRM2" s="201"/>
      <c r="CRN2" s="201"/>
      <c r="CRO2" s="201"/>
      <c r="CRP2" s="201"/>
      <c r="CRQ2" s="201"/>
      <c r="CRR2" s="201"/>
      <c r="CRS2" s="201"/>
      <c r="CRT2" s="201"/>
      <c r="CRU2" s="201"/>
      <c r="CRV2" s="201"/>
      <c r="CRW2" s="201"/>
      <c r="CRX2" s="201"/>
      <c r="CRY2" s="201"/>
      <c r="CRZ2" s="201"/>
      <c r="CSA2" s="201"/>
      <c r="CSB2" s="201"/>
      <c r="CSC2" s="201"/>
      <c r="CSD2" s="201"/>
      <c r="CSE2" s="201"/>
      <c r="CSF2" s="201"/>
      <c r="CSG2" s="201"/>
      <c r="CSH2" s="201"/>
      <c r="CSI2" s="201"/>
      <c r="CSJ2" s="201"/>
      <c r="CSK2" s="201"/>
      <c r="CSL2" s="201"/>
      <c r="CSM2" s="201"/>
      <c r="CSN2" s="201"/>
      <c r="CSO2" s="201"/>
      <c r="CSP2" s="201"/>
      <c r="CSQ2" s="201"/>
      <c r="CSR2" s="201"/>
      <c r="CSS2" s="201"/>
      <c r="CST2" s="201"/>
      <c r="CSU2" s="201"/>
      <c r="CSV2" s="201"/>
      <c r="CSW2" s="201"/>
      <c r="CSX2" s="201"/>
      <c r="CSY2" s="201"/>
      <c r="CSZ2" s="201"/>
      <c r="CTA2" s="201"/>
      <c r="CTB2" s="201"/>
      <c r="CTC2" s="201"/>
      <c r="CTD2" s="201"/>
      <c r="CTE2" s="201"/>
      <c r="CTF2" s="201"/>
      <c r="CTG2" s="201"/>
      <c r="CTH2" s="201"/>
      <c r="CTI2" s="201"/>
      <c r="CTJ2" s="201"/>
      <c r="CTK2" s="201"/>
      <c r="CTL2" s="201"/>
      <c r="CTM2" s="201"/>
      <c r="CTN2" s="201"/>
      <c r="CTO2" s="201"/>
      <c r="CTP2" s="201"/>
      <c r="CTQ2" s="201"/>
      <c r="CTR2" s="201"/>
      <c r="CTS2" s="201"/>
      <c r="CTT2" s="201"/>
      <c r="CTU2" s="201"/>
      <c r="CTV2" s="201"/>
      <c r="CTW2" s="201"/>
      <c r="CTX2" s="201"/>
      <c r="CTY2" s="201"/>
      <c r="CTZ2" s="201"/>
      <c r="CUA2" s="201"/>
      <c r="CUB2" s="201"/>
      <c r="CUC2" s="201"/>
      <c r="CUD2" s="201"/>
      <c r="CUE2" s="201"/>
      <c r="CUF2" s="201"/>
      <c r="CUG2" s="201"/>
      <c r="CUH2" s="201"/>
      <c r="CUI2" s="201"/>
      <c r="CUJ2" s="201"/>
      <c r="CUK2" s="201"/>
      <c r="CUL2" s="201"/>
      <c r="CUM2" s="201"/>
      <c r="CUN2" s="201"/>
      <c r="CUO2" s="201"/>
      <c r="CUP2" s="201"/>
      <c r="CUQ2" s="201"/>
      <c r="CUR2" s="201"/>
      <c r="CUS2" s="201"/>
      <c r="CUT2" s="201"/>
      <c r="CUU2" s="201"/>
      <c r="CUV2" s="201"/>
      <c r="CUW2" s="201"/>
      <c r="CUX2" s="201"/>
      <c r="CUY2" s="201"/>
      <c r="CUZ2" s="201"/>
      <c r="CVA2" s="201"/>
      <c r="CVB2" s="201"/>
      <c r="CVC2" s="201"/>
      <c r="CVD2" s="201"/>
      <c r="CVE2" s="201"/>
      <c r="CVF2" s="201"/>
      <c r="CVG2" s="201"/>
      <c r="CVH2" s="201"/>
      <c r="CVI2" s="201"/>
      <c r="CVJ2" s="201"/>
      <c r="CVK2" s="201"/>
      <c r="CVL2" s="201"/>
      <c r="CVM2" s="201"/>
      <c r="CVN2" s="201"/>
      <c r="CVO2" s="201"/>
      <c r="CVP2" s="201"/>
      <c r="CVQ2" s="201"/>
      <c r="CVR2" s="201"/>
      <c r="CVS2" s="201"/>
      <c r="CVT2" s="201"/>
      <c r="CVU2" s="201"/>
      <c r="CVV2" s="201"/>
      <c r="CVW2" s="201"/>
      <c r="CVX2" s="201"/>
      <c r="CVY2" s="201"/>
      <c r="CVZ2" s="201"/>
      <c r="CWA2" s="201"/>
      <c r="CWB2" s="201"/>
      <c r="CWC2" s="201"/>
      <c r="CWD2" s="201"/>
      <c r="CWE2" s="201"/>
      <c r="CWF2" s="201"/>
      <c r="CWG2" s="201"/>
      <c r="CWH2" s="201"/>
      <c r="CWI2" s="201"/>
      <c r="CWJ2" s="201"/>
      <c r="CWK2" s="201"/>
      <c r="CWL2" s="201"/>
      <c r="CWM2" s="201"/>
      <c r="CWN2" s="201"/>
      <c r="CWO2" s="201"/>
      <c r="CWP2" s="201"/>
      <c r="CWQ2" s="201"/>
      <c r="CWR2" s="201"/>
      <c r="CWS2" s="201"/>
      <c r="CWT2" s="201"/>
      <c r="CWU2" s="201"/>
      <c r="CWV2" s="201"/>
      <c r="CWW2" s="201"/>
      <c r="CWX2" s="201"/>
      <c r="CWY2" s="201"/>
      <c r="CWZ2" s="201"/>
      <c r="CXA2" s="201"/>
      <c r="CXB2" s="201"/>
      <c r="CXC2" s="201"/>
      <c r="CXD2" s="201"/>
      <c r="CXE2" s="201"/>
      <c r="CXF2" s="201"/>
      <c r="CXG2" s="201"/>
      <c r="CXH2" s="201"/>
      <c r="CXI2" s="201"/>
      <c r="CXJ2" s="201"/>
      <c r="CXK2" s="201"/>
      <c r="CXL2" s="201"/>
      <c r="CXM2" s="201"/>
      <c r="CXN2" s="201"/>
      <c r="CXO2" s="201"/>
      <c r="CXP2" s="201"/>
      <c r="CXQ2" s="201"/>
      <c r="CXR2" s="201"/>
      <c r="CXS2" s="201"/>
      <c r="CXT2" s="201"/>
      <c r="CXU2" s="201"/>
      <c r="CXV2" s="201"/>
      <c r="CXW2" s="201"/>
      <c r="CXX2" s="201"/>
      <c r="CXY2" s="201"/>
      <c r="CXZ2" s="201"/>
      <c r="CYA2" s="201"/>
      <c r="CYB2" s="201"/>
      <c r="CYC2" s="201"/>
      <c r="CYD2" s="201"/>
      <c r="CYE2" s="201"/>
      <c r="CYF2" s="201"/>
      <c r="CYG2" s="201"/>
      <c r="CYH2" s="201"/>
      <c r="CYI2" s="201"/>
      <c r="CYJ2" s="201"/>
      <c r="CYK2" s="201"/>
      <c r="CYL2" s="201"/>
      <c r="CYM2" s="201"/>
      <c r="CYN2" s="201"/>
      <c r="CYO2" s="201"/>
      <c r="CYP2" s="201"/>
      <c r="CYQ2" s="201"/>
      <c r="CYR2" s="201"/>
      <c r="CYS2" s="201"/>
      <c r="CYT2" s="201"/>
      <c r="CYU2" s="201"/>
      <c r="CYV2" s="201"/>
      <c r="CYW2" s="201"/>
      <c r="CYX2" s="201"/>
      <c r="CYY2" s="201"/>
      <c r="CYZ2" s="201"/>
      <c r="CZA2" s="201"/>
      <c r="CZB2" s="201"/>
      <c r="CZC2" s="201"/>
      <c r="CZD2" s="201"/>
      <c r="CZE2" s="201"/>
      <c r="CZF2" s="201"/>
      <c r="CZG2" s="201"/>
      <c r="CZH2" s="201"/>
      <c r="CZI2" s="201"/>
      <c r="CZJ2" s="201"/>
      <c r="CZK2" s="201"/>
      <c r="CZL2" s="201"/>
      <c r="CZM2" s="201"/>
      <c r="CZN2" s="201"/>
      <c r="CZO2" s="201"/>
      <c r="CZP2" s="201"/>
      <c r="CZQ2" s="201"/>
      <c r="CZR2" s="201"/>
      <c r="CZS2" s="201"/>
      <c r="CZT2" s="201"/>
      <c r="CZU2" s="201"/>
      <c r="CZV2" s="201"/>
      <c r="CZW2" s="201"/>
      <c r="CZX2" s="201"/>
      <c r="CZY2" s="201"/>
      <c r="CZZ2" s="201"/>
      <c r="DAA2" s="201"/>
      <c r="DAB2" s="201"/>
      <c r="DAC2" s="201"/>
      <c r="DAD2" s="201"/>
      <c r="DAE2" s="201"/>
      <c r="DAF2" s="201"/>
      <c r="DAG2" s="201"/>
      <c r="DAH2" s="201"/>
      <c r="DAI2" s="201"/>
      <c r="DAJ2" s="201"/>
      <c r="DAK2" s="201"/>
      <c r="DAL2" s="201"/>
      <c r="DAM2" s="201"/>
      <c r="DAN2" s="201"/>
      <c r="DAO2" s="201"/>
      <c r="DAP2" s="201"/>
      <c r="DAQ2" s="201"/>
      <c r="DAR2" s="201"/>
      <c r="DAS2" s="201"/>
      <c r="DAT2" s="201"/>
      <c r="DAU2" s="201"/>
      <c r="DAV2" s="201"/>
      <c r="DAW2" s="201"/>
      <c r="DAX2" s="201"/>
      <c r="DAY2" s="201"/>
      <c r="DAZ2" s="201"/>
      <c r="DBA2" s="201"/>
      <c r="DBB2" s="201"/>
      <c r="DBC2" s="201"/>
      <c r="DBD2" s="201"/>
      <c r="DBE2" s="201"/>
      <c r="DBF2" s="201"/>
      <c r="DBG2" s="201"/>
      <c r="DBH2" s="201"/>
      <c r="DBI2" s="201"/>
      <c r="DBJ2" s="201"/>
      <c r="DBK2" s="201"/>
      <c r="DBL2" s="201"/>
      <c r="DBM2" s="201"/>
      <c r="DBN2" s="201"/>
      <c r="DBO2" s="201"/>
      <c r="DBP2" s="201"/>
      <c r="DBQ2" s="201"/>
      <c r="DBR2" s="201"/>
      <c r="DBS2" s="201"/>
      <c r="DBT2" s="201"/>
      <c r="DBU2" s="201"/>
      <c r="DBV2" s="201"/>
      <c r="DBW2" s="201"/>
      <c r="DBX2" s="201"/>
      <c r="DBY2" s="201"/>
      <c r="DBZ2" s="201"/>
      <c r="DCA2" s="201"/>
      <c r="DCB2" s="201"/>
      <c r="DCC2" s="201"/>
      <c r="DCD2" s="201"/>
      <c r="DCE2" s="201"/>
      <c r="DCF2" s="201"/>
      <c r="DCG2" s="201"/>
      <c r="DCH2" s="201"/>
      <c r="DCI2" s="201"/>
      <c r="DCJ2" s="201"/>
      <c r="DCK2" s="201"/>
      <c r="DCL2" s="201"/>
      <c r="DCM2" s="201"/>
      <c r="DCN2" s="201"/>
      <c r="DCO2" s="201"/>
      <c r="DCP2" s="201"/>
      <c r="DCQ2" s="201"/>
      <c r="DCR2" s="201"/>
      <c r="DCS2" s="201"/>
      <c r="DCT2" s="201"/>
      <c r="DCU2" s="201"/>
      <c r="DCV2" s="201"/>
      <c r="DCW2" s="201"/>
      <c r="DCX2" s="201"/>
      <c r="DCY2" s="201"/>
      <c r="DCZ2" s="201"/>
      <c r="DDA2" s="201"/>
      <c r="DDB2" s="201"/>
      <c r="DDC2" s="201"/>
      <c r="DDD2" s="201"/>
      <c r="DDE2" s="201"/>
      <c r="DDF2" s="201"/>
      <c r="DDG2" s="201"/>
      <c r="DDH2" s="201"/>
      <c r="DDI2" s="201"/>
      <c r="DDJ2" s="201"/>
      <c r="DDK2" s="201"/>
      <c r="DDL2" s="201"/>
      <c r="DDM2" s="201"/>
      <c r="DDN2" s="201"/>
      <c r="DDO2" s="201"/>
      <c r="DDP2" s="201"/>
      <c r="DDQ2" s="201"/>
      <c r="DDR2" s="201"/>
      <c r="DDS2" s="201"/>
      <c r="DDT2" s="201"/>
      <c r="DDU2" s="201"/>
      <c r="DDV2" s="201"/>
      <c r="DDW2" s="201"/>
      <c r="DDX2" s="201"/>
      <c r="DDY2" s="201"/>
      <c r="DDZ2" s="201"/>
      <c r="DEA2" s="201"/>
      <c r="DEB2" s="201"/>
      <c r="DEC2" s="201"/>
      <c r="DED2" s="201"/>
      <c r="DEE2" s="201"/>
      <c r="DEF2" s="201"/>
      <c r="DEG2" s="201"/>
      <c r="DEH2" s="201"/>
      <c r="DEI2" s="201"/>
      <c r="DEJ2" s="201"/>
      <c r="DEK2" s="201"/>
      <c r="DEL2" s="201"/>
      <c r="DEM2" s="201"/>
      <c r="DEN2" s="201"/>
      <c r="DEO2" s="201"/>
      <c r="DEP2" s="201"/>
      <c r="DEQ2" s="201"/>
      <c r="DER2" s="201"/>
      <c r="DES2" s="201"/>
      <c r="DET2" s="201"/>
      <c r="DEU2" s="201"/>
      <c r="DEV2" s="201"/>
      <c r="DEW2" s="201"/>
      <c r="DEX2" s="201"/>
      <c r="DEY2" s="201"/>
      <c r="DEZ2" s="201"/>
      <c r="DFA2" s="201"/>
      <c r="DFB2" s="201"/>
      <c r="DFC2" s="201"/>
      <c r="DFD2" s="201"/>
      <c r="DFE2" s="201"/>
      <c r="DFF2" s="201"/>
      <c r="DFG2" s="201"/>
      <c r="DFH2" s="201"/>
      <c r="DFI2" s="201"/>
      <c r="DFJ2" s="201"/>
      <c r="DFK2" s="201"/>
      <c r="DFL2" s="201"/>
      <c r="DFM2" s="201"/>
      <c r="DFN2" s="201"/>
      <c r="DFO2" s="201"/>
      <c r="DFP2" s="201"/>
      <c r="DFQ2" s="201"/>
      <c r="DFR2" s="201"/>
      <c r="DFS2" s="201"/>
      <c r="DFT2" s="201"/>
      <c r="DFU2" s="201"/>
      <c r="DFV2" s="201"/>
      <c r="DFW2" s="201"/>
      <c r="DFX2" s="201"/>
      <c r="DFY2" s="201"/>
      <c r="DFZ2" s="201"/>
      <c r="DGA2" s="201"/>
      <c r="DGB2" s="201"/>
      <c r="DGC2" s="201"/>
      <c r="DGD2" s="201"/>
      <c r="DGE2" s="201"/>
      <c r="DGF2" s="201"/>
      <c r="DGG2" s="201"/>
      <c r="DGH2" s="201"/>
      <c r="DGI2" s="201"/>
      <c r="DGJ2" s="201"/>
      <c r="DGK2" s="201"/>
      <c r="DGL2" s="201"/>
      <c r="DGM2" s="201"/>
      <c r="DGN2" s="201"/>
      <c r="DGO2" s="201"/>
      <c r="DGP2" s="201"/>
      <c r="DGQ2" s="201"/>
      <c r="DGR2" s="201"/>
      <c r="DGS2" s="201"/>
      <c r="DGT2" s="201"/>
      <c r="DGU2" s="201"/>
      <c r="DGV2" s="201"/>
      <c r="DGW2" s="201"/>
      <c r="DGX2" s="201"/>
      <c r="DGY2" s="201"/>
      <c r="DGZ2" s="201"/>
      <c r="DHA2" s="201"/>
      <c r="DHB2" s="201"/>
      <c r="DHC2" s="201"/>
      <c r="DHD2" s="201"/>
      <c r="DHE2" s="201"/>
      <c r="DHF2" s="201"/>
      <c r="DHG2" s="201"/>
      <c r="DHH2" s="201"/>
      <c r="DHI2" s="201"/>
      <c r="DHJ2" s="201"/>
      <c r="DHK2" s="201"/>
      <c r="DHL2" s="201"/>
      <c r="DHM2" s="201"/>
      <c r="DHN2" s="201"/>
      <c r="DHO2" s="201"/>
      <c r="DHP2" s="201"/>
      <c r="DHQ2" s="201"/>
      <c r="DHR2" s="201"/>
      <c r="DHS2" s="201"/>
      <c r="DHT2" s="201"/>
      <c r="DHU2" s="201"/>
      <c r="DHV2" s="201"/>
      <c r="DHW2" s="201"/>
      <c r="DHX2" s="201"/>
      <c r="DHY2" s="201"/>
      <c r="DHZ2" s="201"/>
      <c r="DIA2" s="201"/>
      <c r="DIB2" s="201"/>
      <c r="DIC2" s="201"/>
      <c r="DID2" s="201"/>
      <c r="DIE2" s="201"/>
      <c r="DIF2" s="201"/>
      <c r="DIG2" s="201"/>
      <c r="DIH2" s="201"/>
      <c r="DII2" s="201"/>
      <c r="DIJ2" s="201"/>
      <c r="DIK2" s="201"/>
      <c r="DIL2" s="201"/>
      <c r="DIM2" s="201"/>
      <c r="DIN2" s="201"/>
      <c r="DIO2" s="201"/>
      <c r="DIP2" s="201"/>
      <c r="DIQ2" s="201"/>
      <c r="DIR2" s="201"/>
      <c r="DIS2" s="201"/>
      <c r="DIT2" s="201"/>
      <c r="DIU2" s="201"/>
      <c r="DIV2" s="201"/>
      <c r="DIW2" s="201"/>
      <c r="DIX2" s="201"/>
      <c r="DIY2" s="201"/>
      <c r="DIZ2" s="201"/>
      <c r="DJA2" s="201"/>
      <c r="DJB2" s="201"/>
      <c r="DJC2" s="201"/>
      <c r="DJD2" s="201"/>
      <c r="DJE2" s="201"/>
      <c r="DJF2" s="201"/>
      <c r="DJG2" s="201"/>
      <c r="DJH2" s="201"/>
      <c r="DJI2" s="201"/>
      <c r="DJJ2" s="201"/>
      <c r="DJK2" s="201"/>
      <c r="DJL2" s="201"/>
      <c r="DJM2" s="201"/>
      <c r="DJN2" s="201"/>
      <c r="DJO2" s="201"/>
      <c r="DJP2" s="201"/>
      <c r="DJQ2" s="201"/>
      <c r="DJR2" s="201"/>
      <c r="DJS2" s="201"/>
      <c r="DJT2" s="201"/>
      <c r="DJU2" s="201"/>
      <c r="DJV2" s="201"/>
      <c r="DJW2" s="201"/>
      <c r="DJX2" s="201"/>
      <c r="DJY2" s="201"/>
      <c r="DJZ2" s="201"/>
      <c r="DKA2" s="201"/>
      <c r="DKB2" s="201"/>
      <c r="DKC2" s="201"/>
      <c r="DKD2" s="201"/>
      <c r="DKE2" s="201"/>
      <c r="DKF2" s="201"/>
      <c r="DKG2" s="201"/>
      <c r="DKH2" s="201"/>
      <c r="DKI2" s="201"/>
      <c r="DKJ2" s="201"/>
      <c r="DKK2" s="201"/>
      <c r="DKL2" s="201"/>
      <c r="DKM2" s="201"/>
      <c r="DKN2" s="201"/>
      <c r="DKO2" s="201"/>
      <c r="DKP2" s="201"/>
      <c r="DKQ2" s="201"/>
      <c r="DKR2" s="201"/>
      <c r="DKS2" s="201"/>
      <c r="DKT2" s="201"/>
      <c r="DKU2" s="201"/>
      <c r="DKV2" s="201"/>
      <c r="DKW2" s="201"/>
      <c r="DKX2" s="201"/>
      <c r="DKY2" s="201"/>
      <c r="DKZ2" s="201"/>
      <c r="DLA2" s="201"/>
      <c r="DLB2" s="201"/>
      <c r="DLC2" s="201"/>
      <c r="DLD2" s="201"/>
      <c r="DLE2" s="201"/>
      <c r="DLF2" s="201"/>
      <c r="DLG2" s="201"/>
      <c r="DLH2" s="201"/>
      <c r="DLI2" s="201"/>
      <c r="DLJ2" s="201"/>
      <c r="DLK2" s="201"/>
      <c r="DLL2" s="201"/>
      <c r="DLM2" s="201"/>
      <c r="DLN2" s="201"/>
      <c r="DLO2" s="201"/>
      <c r="DLP2" s="201"/>
      <c r="DLQ2" s="201"/>
      <c r="DLR2" s="201"/>
      <c r="DLS2" s="201"/>
      <c r="DLT2" s="201"/>
      <c r="DLU2" s="201"/>
      <c r="DLV2" s="201"/>
      <c r="DLW2" s="201"/>
      <c r="DLX2" s="201"/>
      <c r="DLY2" s="201"/>
      <c r="DLZ2" s="201"/>
      <c r="DMA2" s="201"/>
      <c r="DMB2" s="201"/>
      <c r="DMC2" s="201"/>
      <c r="DMD2" s="201"/>
      <c r="DME2" s="201"/>
      <c r="DMF2" s="201"/>
      <c r="DMG2" s="201"/>
      <c r="DMH2" s="201"/>
      <c r="DMI2" s="201"/>
      <c r="DMJ2" s="201"/>
      <c r="DMK2" s="201"/>
      <c r="DML2" s="201"/>
      <c r="DMM2" s="201"/>
      <c r="DMN2" s="201"/>
      <c r="DMO2" s="201"/>
      <c r="DMP2" s="201"/>
      <c r="DMQ2" s="201"/>
      <c r="DMR2" s="201"/>
      <c r="DMS2" s="201"/>
      <c r="DMT2" s="201"/>
      <c r="DMU2" s="201"/>
      <c r="DMV2" s="201"/>
      <c r="DMW2" s="201"/>
      <c r="DMX2" s="201"/>
      <c r="DMY2" s="201"/>
      <c r="DMZ2" s="201"/>
      <c r="DNA2" s="201"/>
      <c r="DNB2" s="201"/>
      <c r="DNC2" s="201"/>
      <c r="DND2" s="201"/>
      <c r="DNE2" s="201"/>
      <c r="DNF2" s="201"/>
      <c r="DNG2" s="201"/>
      <c r="DNH2" s="201"/>
      <c r="DNI2" s="201"/>
      <c r="DNJ2" s="201"/>
      <c r="DNK2" s="201"/>
      <c r="DNL2" s="201"/>
      <c r="DNM2" s="201"/>
      <c r="DNN2" s="201"/>
      <c r="DNO2" s="201"/>
      <c r="DNP2" s="201"/>
      <c r="DNQ2" s="201"/>
      <c r="DNR2" s="201"/>
      <c r="DNS2" s="201"/>
      <c r="DNT2" s="201"/>
      <c r="DNU2" s="201"/>
      <c r="DNV2" s="201"/>
      <c r="DNW2" s="201"/>
      <c r="DNX2" s="201"/>
      <c r="DNY2" s="201"/>
      <c r="DNZ2" s="201"/>
      <c r="DOA2" s="201"/>
      <c r="DOB2" s="201"/>
      <c r="DOC2" s="201"/>
      <c r="DOD2" s="201"/>
      <c r="DOE2" s="201"/>
      <c r="DOF2" s="201"/>
      <c r="DOG2" s="201"/>
      <c r="DOH2" s="201"/>
      <c r="DOI2" s="201"/>
      <c r="DOJ2" s="201"/>
      <c r="DOK2" s="201"/>
      <c r="DOL2" s="201"/>
      <c r="DOM2" s="201"/>
      <c r="DON2" s="201"/>
      <c r="DOO2" s="201"/>
      <c r="DOP2" s="201"/>
      <c r="DOQ2" s="201"/>
      <c r="DOR2" s="201"/>
      <c r="DOS2" s="201"/>
      <c r="DOT2" s="201"/>
      <c r="DOU2" s="201"/>
      <c r="DOV2" s="201"/>
      <c r="DOW2" s="201"/>
      <c r="DOX2" s="201"/>
      <c r="DOY2" s="201"/>
      <c r="DOZ2" s="201"/>
      <c r="DPA2" s="201"/>
      <c r="DPB2" s="201"/>
      <c r="DPC2" s="201"/>
      <c r="DPD2" s="201"/>
      <c r="DPE2" s="201"/>
      <c r="DPF2" s="201"/>
      <c r="DPG2" s="201"/>
      <c r="DPH2" s="201"/>
      <c r="DPI2" s="201"/>
      <c r="DPJ2" s="201"/>
      <c r="DPK2" s="201"/>
      <c r="DPL2" s="201"/>
      <c r="DPM2" s="201"/>
      <c r="DPN2" s="201"/>
      <c r="DPO2" s="201"/>
      <c r="DPP2" s="201"/>
      <c r="DPQ2" s="201"/>
      <c r="DPR2" s="201"/>
      <c r="DPS2" s="201"/>
      <c r="DPT2" s="201"/>
      <c r="DPU2" s="201"/>
      <c r="DPV2" s="201"/>
      <c r="DPW2" s="201"/>
      <c r="DPX2" s="201"/>
      <c r="DPY2" s="201"/>
      <c r="DPZ2" s="201"/>
      <c r="DQA2" s="201"/>
      <c r="DQB2" s="201"/>
      <c r="DQC2" s="201"/>
      <c r="DQD2" s="201"/>
      <c r="DQE2" s="201"/>
      <c r="DQF2" s="201"/>
      <c r="DQG2" s="201"/>
      <c r="DQH2" s="201"/>
      <c r="DQI2" s="201"/>
      <c r="DQJ2" s="201"/>
      <c r="DQK2" s="201"/>
      <c r="DQL2" s="201"/>
      <c r="DQM2" s="201"/>
      <c r="DQN2" s="201"/>
      <c r="DQO2" s="201"/>
      <c r="DQP2" s="201"/>
      <c r="DQQ2" s="201"/>
      <c r="DQR2" s="201"/>
      <c r="DQS2" s="201"/>
      <c r="DQT2" s="201"/>
      <c r="DQU2" s="201"/>
      <c r="DQV2" s="201"/>
      <c r="DQW2" s="201"/>
      <c r="DQX2" s="201"/>
      <c r="DQY2" s="201"/>
      <c r="DQZ2" s="201"/>
      <c r="DRA2" s="201"/>
      <c r="DRB2" s="201"/>
      <c r="DRC2" s="201"/>
      <c r="DRD2" s="201"/>
      <c r="DRE2" s="201"/>
      <c r="DRF2" s="201"/>
      <c r="DRG2" s="201"/>
      <c r="DRH2" s="201"/>
      <c r="DRI2" s="201"/>
      <c r="DRJ2" s="201"/>
      <c r="DRK2" s="201"/>
      <c r="DRL2" s="201"/>
      <c r="DRM2" s="201"/>
      <c r="DRN2" s="201"/>
      <c r="DRO2" s="201"/>
      <c r="DRP2" s="201"/>
      <c r="DRQ2" s="201"/>
      <c r="DRR2" s="201"/>
      <c r="DRS2" s="201"/>
      <c r="DRT2" s="201"/>
      <c r="DRU2" s="201"/>
      <c r="DRV2" s="201"/>
      <c r="DRW2" s="201"/>
      <c r="DRX2" s="201"/>
      <c r="DRY2" s="201"/>
      <c r="DRZ2" s="201"/>
      <c r="DSA2" s="201"/>
      <c r="DSB2" s="201"/>
      <c r="DSC2" s="201"/>
      <c r="DSD2" s="201"/>
      <c r="DSE2" s="201"/>
      <c r="DSF2" s="201"/>
      <c r="DSG2" s="201"/>
      <c r="DSH2" s="201"/>
      <c r="DSI2" s="201"/>
      <c r="DSJ2" s="201"/>
      <c r="DSK2" s="201"/>
      <c r="DSL2" s="201"/>
      <c r="DSM2" s="201"/>
      <c r="DSN2" s="201"/>
      <c r="DSO2" s="201"/>
      <c r="DSP2" s="201"/>
      <c r="DSQ2" s="201"/>
      <c r="DSR2" s="201"/>
      <c r="DSS2" s="201"/>
      <c r="DST2" s="201"/>
      <c r="DSU2" s="201"/>
      <c r="DSV2" s="201"/>
      <c r="DSW2" s="201"/>
      <c r="DSX2" s="201"/>
      <c r="DSY2" s="201"/>
      <c r="DSZ2" s="201"/>
      <c r="DTA2" s="201"/>
      <c r="DTB2" s="201"/>
      <c r="DTC2" s="201"/>
      <c r="DTD2" s="201"/>
      <c r="DTE2" s="201"/>
      <c r="DTF2" s="201"/>
      <c r="DTG2" s="201"/>
      <c r="DTH2" s="201"/>
      <c r="DTI2" s="201"/>
      <c r="DTJ2" s="201"/>
      <c r="DTK2" s="201"/>
      <c r="DTL2" s="201"/>
      <c r="DTM2" s="201"/>
      <c r="DTN2" s="201"/>
      <c r="DTO2" s="201"/>
      <c r="DTP2" s="201"/>
      <c r="DTQ2" s="201"/>
      <c r="DTR2" s="201"/>
      <c r="DTS2" s="201"/>
      <c r="DTT2" s="201"/>
      <c r="DTU2" s="201"/>
      <c r="DTV2" s="201"/>
      <c r="DTW2" s="201"/>
      <c r="DTX2" s="201"/>
      <c r="DTY2" s="201"/>
      <c r="DTZ2" s="201"/>
      <c r="DUA2" s="201"/>
      <c r="DUB2" s="201"/>
      <c r="DUC2" s="201"/>
      <c r="DUD2" s="201"/>
      <c r="DUE2" s="201"/>
      <c r="DUF2" s="201"/>
      <c r="DUG2" s="201"/>
      <c r="DUH2" s="201"/>
      <c r="DUI2" s="201"/>
      <c r="DUJ2" s="201"/>
      <c r="DUK2" s="201"/>
      <c r="DUL2" s="201"/>
      <c r="DUM2" s="201"/>
      <c r="DUN2" s="201"/>
      <c r="DUO2" s="201"/>
      <c r="DUP2" s="201"/>
      <c r="DUQ2" s="201"/>
      <c r="DUR2" s="201"/>
      <c r="DUS2" s="201"/>
      <c r="DUT2" s="201"/>
      <c r="DUU2" s="201"/>
      <c r="DUV2" s="201"/>
      <c r="DUW2" s="201"/>
      <c r="DUX2" s="201"/>
      <c r="DUY2" s="201"/>
      <c r="DUZ2" s="201"/>
      <c r="DVA2" s="201"/>
      <c r="DVB2" s="201"/>
      <c r="DVC2" s="201"/>
      <c r="DVD2" s="201"/>
      <c r="DVE2" s="201"/>
      <c r="DVF2" s="201"/>
      <c r="DVG2" s="201"/>
      <c r="DVH2" s="201"/>
      <c r="DVI2" s="201"/>
      <c r="DVJ2" s="201"/>
      <c r="DVK2" s="201"/>
      <c r="DVL2" s="201"/>
      <c r="DVM2" s="201"/>
      <c r="DVN2" s="201"/>
      <c r="DVO2" s="201"/>
      <c r="DVP2" s="201"/>
      <c r="DVQ2" s="201"/>
      <c r="DVR2" s="201"/>
      <c r="DVS2" s="201"/>
      <c r="DVT2" s="201"/>
      <c r="DVU2" s="201"/>
      <c r="DVV2" s="201"/>
      <c r="DVW2" s="201"/>
      <c r="DVX2" s="201"/>
      <c r="DVY2" s="201"/>
      <c r="DVZ2" s="201"/>
      <c r="DWA2" s="201"/>
      <c r="DWB2" s="201"/>
      <c r="DWC2" s="201"/>
      <c r="DWD2" s="201"/>
      <c r="DWE2" s="201"/>
      <c r="DWF2" s="201"/>
      <c r="DWG2" s="201"/>
      <c r="DWH2" s="201"/>
      <c r="DWI2" s="201"/>
      <c r="DWJ2" s="201"/>
      <c r="DWK2" s="201"/>
      <c r="DWL2" s="201"/>
      <c r="DWM2" s="201"/>
      <c r="DWN2" s="201"/>
      <c r="DWO2" s="201"/>
      <c r="DWP2" s="201"/>
      <c r="DWQ2" s="201"/>
      <c r="DWR2" s="201"/>
      <c r="DWS2" s="201"/>
      <c r="DWT2" s="201"/>
      <c r="DWU2" s="201"/>
      <c r="DWV2" s="201"/>
      <c r="DWW2" s="201"/>
      <c r="DWX2" s="201"/>
      <c r="DWY2" s="201"/>
      <c r="DWZ2" s="201"/>
      <c r="DXA2" s="201"/>
      <c r="DXB2" s="201"/>
      <c r="DXC2" s="201"/>
      <c r="DXD2" s="201"/>
      <c r="DXE2" s="201"/>
      <c r="DXF2" s="201"/>
      <c r="DXG2" s="201"/>
      <c r="DXH2" s="201"/>
      <c r="DXI2" s="201"/>
      <c r="DXJ2" s="201"/>
      <c r="DXK2" s="201"/>
      <c r="DXL2" s="201"/>
      <c r="DXM2" s="201"/>
      <c r="DXN2" s="201"/>
      <c r="DXO2" s="201"/>
      <c r="DXP2" s="201"/>
      <c r="DXQ2" s="201"/>
      <c r="DXR2" s="201"/>
      <c r="DXS2" s="201"/>
      <c r="DXT2" s="201"/>
      <c r="DXU2" s="201"/>
      <c r="DXV2" s="201"/>
      <c r="DXW2" s="201"/>
      <c r="DXX2" s="201"/>
      <c r="DXY2" s="201"/>
      <c r="DXZ2" s="201"/>
      <c r="DYA2" s="201"/>
      <c r="DYB2" s="201"/>
      <c r="DYC2" s="201"/>
      <c r="DYD2" s="201"/>
      <c r="DYE2" s="201"/>
      <c r="DYF2" s="201"/>
      <c r="DYG2" s="201"/>
      <c r="DYH2" s="201"/>
      <c r="DYI2" s="201"/>
      <c r="DYJ2" s="201"/>
      <c r="DYK2" s="201"/>
      <c r="DYL2" s="201"/>
      <c r="DYM2" s="201"/>
      <c r="DYN2" s="201"/>
      <c r="DYO2" s="201"/>
      <c r="DYP2" s="201"/>
      <c r="DYQ2" s="201"/>
      <c r="DYR2" s="201"/>
      <c r="DYS2" s="201"/>
      <c r="DYT2" s="201"/>
      <c r="DYU2" s="201"/>
      <c r="DYV2" s="201"/>
      <c r="DYW2" s="201"/>
      <c r="DYX2" s="201"/>
      <c r="DYY2" s="201"/>
      <c r="DYZ2" s="201"/>
      <c r="DZA2" s="201"/>
      <c r="DZB2" s="201"/>
      <c r="DZC2" s="201"/>
      <c r="DZD2" s="201"/>
      <c r="DZE2" s="201"/>
      <c r="DZF2" s="201"/>
      <c r="DZG2" s="201"/>
      <c r="DZH2" s="201"/>
      <c r="DZI2" s="201"/>
      <c r="DZJ2" s="201"/>
      <c r="DZK2" s="201"/>
      <c r="DZL2" s="201"/>
      <c r="DZM2" s="201"/>
      <c r="DZN2" s="201"/>
      <c r="DZO2" s="201"/>
      <c r="DZP2" s="201"/>
      <c r="DZQ2" s="201"/>
      <c r="DZR2" s="201"/>
      <c r="DZS2" s="201"/>
      <c r="DZT2" s="201"/>
      <c r="DZU2" s="201"/>
      <c r="DZV2" s="201"/>
      <c r="DZW2" s="201"/>
      <c r="DZX2" s="201"/>
      <c r="DZY2" s="201"/>
      <c r="DZZ2" s="201"/>
      <c r="EAA2" s="201"/>
      <c r="EAB2" s="201"/>
      <c r="EAC2" s="201"/>
      <c r="EAD2" s="201"/>
      <c r="EAE2" s="201"/>
      <c r="EAF2" s="201"/>
      <c r="EAG2" s="201"/>
      <c r="EAH2" s="201"/>
      <c r="EAI2" s="201"/>
      <c r="EAJ2" s="201"/>
      <c r="EAK2" s="201"/>
      <c r="EAL2" s="201"/>
      <c r="EAM2" s="201"/>
      <c r="EAN2" s="201"/>
      <c r="EAO2" s="201"/>
      <c r="EAP2" s="201"/>
      <c r="EAQ2" s="201"/>
      <c r="EAR2" s="201"/>
      <c r="EAS2" s="201"/>
      <c r="EAT2" s="201"/>
      <c r="EAU2" s="201"/>
      <c r="EAV2" s="201"/>
      <c r="EAW2" s="201"/>
      <c r="EAX2" s="201"/>
      <c r="EAY2" s="201"/>
      <c r="EAZ2" s="201"/>
      <c r="EBA2" s="201"/>
      <c r="EBB2" s="201"/>
      <c r="EBC2" s="201"/>
      <c r="EBD2" s="201"/>
      <c r="EBE2" s="201"/>
      <c r="EBF2" s="201"/>
      <c r="EBG2" s="201"/>
      <c r="EBH2" s="201"/>
      <c r="EBI2" s="201"/>
      <c r="EBJ2" s="201"/>
      <c r="EBK2" s="201"/>
      <c r="EBL2" s="201"/>
      <c r="EBM2" s="201"/>
      <c r="EBN2" s="201"/>
      <c r="EBO2" s="201"/>
      <c r="EBP2" s="201"/>
      <c r="EBQ2" s="201"/>
      <c r="EBR2" s="201"/>
      <c r="EBS2" s="201"/>
      <c r="EBT2" s="201"/>
      <c r="EBU2" s="201"/>
      <c r="EBV2" s="201"/>
      <c r="EBW2" s="201"/>
      <c r="EBX2" s="201"/>
      <c r="EBY2" s="201"/>
      <c r="EBZ2" s="201"/>
      <c r="ECA2" s="201"/>
      <c r="ECB2" s="201"/>
      <c r="ECC2" s="201"/>
      <c r="ECD2" s="201"/>
      <c r="ECE2" s="201"/>
      <c r="ECF2" s="201"/>
      <c r="ECG2" s="201"/>
      <c r="ECH2" s="201"/>
      <c r="ECI2" s="201"/>
      <c r="ECJ2" s="201"/>
      <c r="ECK2" s="201"/>
      <c r="ECL2" s="201"/>
      <c r="ECM2" s="201"/>
      <c r="ECN2" s="201"/>
      <c r="ECO2" s="201"/>
      <c r="ECP2" s="201"/>
      <c r="ECQ2" s="201"/>
      <c r="ECR2" s="201"/>
      <c r="ECS2" s="201"/>
      <c r="ECT2" s="201"/>
      <c r="ECU2" s="201"/>
      <c r="ECV2" s="201"/>
      <c r="ECW2" s="201"/>
      <c r="ECX2" s="201"/>
      <c r="ECY2" s="201"/>
      <c r="ECZ2" s="201"/>
      <c r="EDA2" s="201"/>
      <c r="EDB2" s="201"/>
      <c r="EDC2" s="201"/>
      <c r="EDD2" s="201"/>
      <c r="EDE2" s="201"/>
      <c r="EDF2" s="201"/>
      <c r="EDG2" s="201"/>
      <c r="EDH2" s="201"/>
      <c r="EDI2" s="201"/>
      <c r="EDJ2" s="201"/>
      <c r="EDK2" s="201"/>
      <c r="EDL2" s="201"/>
      <c r="EDM2" s="201"/>
      <c r="EDN2" s="201"/>
      <c r="EDO2" s="201"/>
      <c r="EDP2" s="201"/>
      <c r="EDQ2" s="201"/>
      <c r="EDR2" s="201"/>
      <c r="EDS2" s="201"/>
      <c r="EDT2" s="201"/>
      <c r="EDU2" s="201"/>
      <c r="EDV2" s="201"/>
      <c r="EDW2" s="201"/>
      <c r="EDX2" s="201"/>
      <c r="EDY2" s="201"/>
      <c r="EDZ2" s="201"/>
      <c r="EEA2" s="201"/>
      <c r="EEB2" s="201"/>
      <c r="EEC2" s="201"/>
      <c r="EED2" s="201"/>
      <c r="EEE2" s="201"/>
      <c r="EEF2" s="201"/>
      <c r="EEG2" s="201"/>
      <c r="EEH2" s="201"/>
      <c r="EEI2" s="201"/>
      <c r="EEJ2" s="201"/>
      <c r="EEK2" s="201"/>
      <c r="EEL2" s="201"/>
      <c r="EEM2" s="201"/>
      <c r="EEN2" s="201"/>
      <c r="EEO2" s="201"/>
      <c r="EEP2" s="201"/>
      <c r="EEQ2" s="201"/>
      <c r="EER2" s="201"/>
      <c r="EES2" s="201"/>
      <c r="EET2" s="201"/>
      <c r="EEU2" s="201"/>
      <c r="EEV2" s="201"/>
      <c r="EEW2" s="201"/>
      <c r="EEX2" s="201"/>
      <c r="EEY2" s="201"/>
      <c r="EEZ2" s="201"/>
      <c r="EFA2" s="201"/>
      <c r="EFB2" s="201"/>
      <c r="EFC2" s="201"/>
      <c r="EFD2" s="201"/>
      <c r="EFE2" s="201"/>
      <c r="EFF2" s="201"/>
      <c r="EFG2" s="201"/>
      <c r="EFH2" s="201"/>
      <c r="EFI2" s="201"/>
      <c r="EFJ2" s="201"/>
      <c r="EFK2" s="201"/>
      <c r="EFL2" s="201"/>
      <c r="EFM2" s="201"/>
      <c r="EFN2" s="201"/>
      <c r="EFO2" s="201"/>
      <c r="EFP2" s="201"/>
      <c r="EFQ2" s="201"/>
      <c r="EFR2" s="201"/>
      <c r="EFS2" s="201"/>
      <c r="EFT2" s="201"/>
      <c r="EFU2" s="201"/>
      <c r="EFV2" s="201"/>
      <c r="EFW2" s="201"/>
      <c r="EFX2" s="201"/>
      <c r="EFY2" s="201"/>
      <c r="EFZ2" s="201"/>
      <c r="EGA2" s="201"/>
      <c r="EGB2" s="201"/>
      <c r="EGC2" s="201"/>
      <c r="EGD2" s="201"/>
      <c r="EGE2" s="201"/>
      <c r="EGF2" s="201"/>
      <c r="EGG2" s="201"/>
      <c r="EGH2" s="201"/>
      <c r="EGI2" s="201"/>
      <c r="EGJ2" s="201"/>
      <c r="EGK2" s="201"/>
      <c r="EGL2" s="201"/>
      <c r="EGM2" s="201"/>
      <c r="EGN2" s="201"/>
      <c r="EGO2" s="201"/>
      <c r="EGP2" s="201"/>
      <c r="EGQ2" s="201"/>
      <c r="EGR2" s="201"/>
      <c r="EGS2" s="201"/>
      <c r="EGT2" s="201"/>
      <c r="EGU2" s="201"/>
      <c r="EGV2" s="201"/>
      <c r="EGW2" s="201"/>
      <c r="EGX2" s="201"/>
      <c r="EGY2" s="201"/>
      <c r="EGZ2" s="201"/>
      <c r="EHA2" s="201"/>
      <c r="EHB2" s="201"/>
      <c r="EHC2" s="201"/>
      <c r="EHD2" s="201"/>
      <c r="EHE2" s="201"/>
      <c r="EHF2" s="201"/>
      <c r="EHG2" s="201"/>
      <c r="EHH2" s="201"/>
      <c r="EHI2" s="201"/>
      <c r="EHJ2" s="201"/>
      <c r="EHK2" s="201"/>
      <c r="EHL2" s="201"/>
      <c r="EHM2" s="201"/>
      <c r="EHN2" s="201"/>
      <c r="EHO2" s="201"/>
      <c r="EHP2" s="201"/>
      <c r="EHQ2" s="201"/>
      <c r="EHR2" s="201"/>
      <c r="EHS2" s="201"/>
      <c r="EHT2" s="201"/>
      <c r="EHU2" s="201"/>
      <c r="EHV2" s="201"/>
      <c r="EHW2" s="201"/>
      <c r="EHX2" s="201"/>
      <c r="EHY2" s="201"/>
      <c r="EHZ2" s="201"/>
      <c r="EIA2" s="201"/>
      <c r="EIB2" s="201"/>
      <c r="EIC2" s="201"/>
      <c r="EID2" s="201"/>
      <c r="EIE2" s="201"/>
      <c r="EIF2" s="201"/>
      <c r="EIG2" s="201"/>
      <c r="EIH2" s="201"/>
      <c r="EII2" s="201"/>
      <c r="EIJ2" s="201"/>
      <c r="EIK2" s="201"/>
      <c r="EIL2" s="201"/>
      <c r="EIM2" s="201"/>
      <c r="EIN2" s="201"/>
      <c r="EIO2" s="201"/>
      <c r="EIP2" s="201"/>
      <c r="EIQ2" s="201"/>
      <c r="EIR2" s="201"/>
      <c r="EIS2" s="201"/>
      <c r="EIT2" s="201"/>
      <c r="EIU2" s="201"/>
      <c r="EIV2" s="201"/>
      <c r="EIW2" s="201"/>
      <c r="EIX2" s="201"/>
      <c r="EIY2" s="201"/>
      <c r="EIZ2" s="201"/>
      <c r="EJA2" s="201"/>
      <c r="EJB2" s="201"/>
      <c r="EJC2" s="201"/>
      <c r="EJD2" s="201"/>
      <c r="EJE2" s="201"/>
      <c r="EJF2" s="201"/>
      <c r="EJG2" s="201"/>
      <c r="EJH2" s="201"/>
      <c r="EJI2" s="201"/>
      <c r="EJJ2" s="201"/>
      <c r="EJK2" s="201"/>
      <c r="EJL2" s="201"/>
      <c r="EJM2" s="201"/>
      <c r="EJN2" s="201"/>
      <c r="EJO2" s="201"/>
      <c r="EJP2" s="201"/>
      <c r="EJQ2" s="201"/>
      <c r="EJR2" s="201"/>
      <c r="EJS2" s="201"/>
      <c r="EJT2" s="201"/>
      <c r="EJU2" s="201"/>
      <c r="EJV2" s="201"/>
      <c r="EJW2" s="201"/>
      <c r="EJX2" s="201"/>
      <c r="EJY2" s="201"/>
      <c r="EJZ2" s="201"/>
      <c r="EKA2" s="201"/>
      <c r="EKB2" s="201"/>
      <c r="EKC2" s="201"/>
      <c r="EKD2" s="201"/>
      <c r="EKE2" s="201"/>
      <c r="EKF2" s="201"/>
      <c r="EKG2" s="201"/>
      <c r="EKH2" s="201"/>
      <c r="EKI2" s="201"/>
      <c r="EKJ2" s="201"/>
      <c r="EKK2" s="201"/>
      <c r="EKL2" s="201"/>
      <c r="EKM2" s="201"/>
      <c r="EKN2" s="201"/>
      <c r="EKO2" s="201"/>
      <c r="EKP2" s="201"/>
      <c r="EKQ2" s="201"/>
      <c r="EKR2" s="201"/>
      <c r="EKS2" s="201"/>
      <c r="EKT2" s="201"/>
      <c r="EKU2" s="201"/>
      <c r="EKV2" s="201"/>
      <c r="EKW2" s="201"/>
      <c r="EKX2" s="201"/>
      <c r="EKY2" s="201"/>
      <c r="EKZ2" s="201"/>
      <c r="ELA2" s="201"/>
      <c r="ELB2" s="201"/>
      <c r="ELC2" s="201"/>
      <c r="ELD2" s="201"/>
      <c r="ELE2" s="201"/>
      <c r="ELF2" s="201"/>
      <c r="ELG2" s="201"/>
      <c r="ELH2" s="201"/>
      <c r="ELI2" s="201"/>
      <c r="ELJ2" s="201"/>
      <c r="ELK2" s="201"/>
      <c r="ELL2" s="201"/>
      <c r="ELM2" s="201"/>
      <c r="ELN2" s="201"/>
      <c r="ELO2" s="201"/>
      <c r="ELP2" s="201"/>
      <c r="ELQ2" s="201"/>
      <c r="ELR2" s="201"/>
      <c r="ELS2" s="201"/>
      <c r="ELT2" s="201"/>
      <c r="ELU2" s="201"/>
      <c r="ELV2" s="201"/>
      <c r="ELW2" s="201"/>
      <c r="ELX2" s="201"/>
      <c r="ELY2" s="201"/>
      <c r="ELZ2" s="201"/>
      <c r="EMA2" s="201"/>
      <c r="EMB2" s="201"/>
      <c r="EMC2" s="201"/>
      <c r="EMD2" s="201"/>
      <c r="EME2" s="201"/>
      <c r="EMF2" s="201"/>
      <c r="EMG2" s="201"/>
      <c r="EMH2" s="201"/>
      <c r="EMI2" s="201"/>
      <c r="EMJ2" s="201"/>
      <c r="EMK2" s="201"/>
      <c r="EML2" s="201"/>
      <c r="EMM2" s="201"/>
      <c r="EMN2" s="201"/>
      <c r="EMO2" s="201"/>
      <c r="EMP2" s="201"/>
      <c r="EMQ2" s="201"/>
      <c r="EMR2" s="201"/>
      <c r="EMS2" s="201"/>
      <c r="EMT2" s="201"/>
      <c r="EMU2" s="201"/>
      <c r="EMV2" s="201"/>
      <c r="EMW2" s="201"/>
      <c r="EMX2" s="201"/>
      <c r="EMY2" s="201"/>
      <c r="EMZ2" s="201"/>
      <c r="ENA2" s="201"/>
      <c r="ENB2" s="201"/>
      <c r="ENC2" s="201"/>
      <c r="END2" s="201"/>
      <c r="ENE2" s="201"/>
      <c r="ENF2" s="201"/>
      <c r="ENG2" s="201"/>
      <c r="ENH2" s="201"/>
      <c r="ENI2" s="201"/>
      <c r="ENJ2" s="201"/>
      <c r="ENK2" s="201"/>
      <c r="ENL2" s="201"/>
      <c r="ENM2" s="201"/>
      <c r="ENN2" s="201"/>
      <c r="ENO2" s="201"/>
      <c r="ENP2" s="201"/>
      <c r="ENQ2" s="201"/>
      <c r="ENR2" s="201"/>
      <c r="ENS2" s="201"/>
      <c r="ENT2" s="201"/>
      <c r="ENU2" s="201"/>
      <c r="ENV2" s="201"/>
      <c r="ENW2" s="201"/>
      <c r="ENX2" s="201"/>
      <c r="ENY2" s="201"/>
      <c r="ENZ2" s="201"/>
      <c r="EOA2" s="201"/>
      <c r="EOB2" s="201"/>
      <c r="EOC2" s="201"/>
      <c r="EOD2" s="201"/>
      <c r="EOE2" s="201"/>
      <c r="EOF2" s="201"/>
      <c r="EOG2" s="201"/>
      <c r="EOH2" s="201"/>
      <c r="EOI2" s="201"/>
      <c r="EOJ2" s="201"/>
      <c r="EOK2" s="201"/>
      <c r="EOL2" s="201"/>
      <c r="EOM2" s="201"/>
      <c r="EON2" s="201"/>
      <c r="EOO2" s="201"/>
      <c r="EOP2" s="201"/>
      <c r="EOQ2" s="201"/>
      <c r="EOR2" s="201"/>
      <c r="EOS2" s="201"/>
      <c r="EOT2" s="201"/>
      <c r="EOU2" s="201"/>
      <c r="EOV2" s="201"/>
      <c r="EOW2" s="201"/>
      <c r="EOX2" s="201"/>
      <c r="EOY2" s="201"/>
      <c r="EOZ2" s="201"/>
      <c r="EPA2" s="201"/>
      <c r="EPB2" s="201"/>
      <c r="EPC2" s="201"/>
      <c r="EPD2" s="201"/>
      <c r="EPE2" s="201"/>
      <c r="EPF2" s="201"/>
      <c r="EPG2" s="201"/>
      <c r="EPH2" s="201"/>
      <c r="EPI2" s="201"/>
      <c r="EPJ2" s="201"/>
      <c r="EPK2" s="201"/>
      <c r="EPL2" s="201"/>
      <c r="EPM2" s="201"/>
      <c r="EPN2" s="201"/>
      <c r="EPO2" s="201"/>
      <c r="EPP2" s="201"/>
      <c r="EPQ2" s="201"/>
      <c r="EPR2" s="201"/>
      <c r="EPS2" s="201"/>
      <c r="EPT2" s="201"/>
      <c r="EPU2" s="201"/>
      <c r="EPV2" s="201"/>
      <c r="EPW2" s="201"/>
      <c r="EPX2" s="201"/>
      <c r="EPY2" s="201"/>
      <c r="EPZ2" s="201"/>
      <c r="EQA2" s="201"/>
      <c r="EQB2" s="201"/>
      <c r="EQC2" s="201"/>
      <c r="EQD2" s="201"/>
      <c r="EQE2" s="201"/>
      <c r="EQF2" s="201"/>
      <c r="EQG2" s="201"/>
      <c r="EQH2" s="201"/>
      <c r="EQI2" s="201"/>
      <c r="EQJ2" s="201"/>
      <c r="EQK2" s="201"/>
      <c r="EQL2" s="201"/>
      <c r="EQM2" s="201"/>
      <c r="EQN2" s="201"/>
      <c r="EQO2" s="201"/>
      <c r="EQP2" s="201"/>
      <c r="EQQ2" s="201"/>
      <c r="EQR2" s="201"/>
      <c r="EQS2" s="201"/>
      <c r="EQT2" s="201"/>
      <c r="EQU2" s="201"/>
      <c r="EQV2" s="201"/>
      <c r="EQW2" s="201"/>
      <c r="EQX2" s="201"/>
      <c r="EQY2" s="201"/>
      <c r="EQZ2" s="201"/>
      <c r="ERA2" s="201"/>
      <c r="ERB2" s="201"/>
      <c r="ERC2" s="201"/>
      <c r="ERD2" s="201"/>
      <c r="ERE2" s="201"/>
      <c r="ERF2" s="201"/>
      <c r="ERG2" s="201"/>
      <c r="ERH2" s="201"/>
      <c r="ERI2" s="201"/>
      <c r="ERJ2" s="201"/>
      <c r="ERK2" s="201"/>
      <c r="ERL2" s="201"/>
      <c r="ERM2" s="201"/>
      <c r="ERN2" s="201"/>
      <c r="ERO2" s="201"/>
      <c r="ERP2" s="201"/>
      <c r="ERQ2" s="201"/>
      <c r="ERR2" s="201"/>
      <c r="ERS2" s="201"/>
      <c r="ERT2" s="201"/>
      <c r="ERU2" s="201"/>
      <c r="ERV2" s="201"/>
      <c r="ERW2" s="201"/>
      <c r="ERX2" s="201"/>
      <c r="ERY2" s="201"/>
      <c r="ERZ2" s="201"/>
      <c r="ESA2" s="201"/>
      <c r="ESB2" s="201"/>
      <c r="ESC2" s="201"/>
      <c r="ESD2" s="201"/>
      <c r="ESE2" s="201"/>
      <c r="ESF2" s="201"/>
      <c r="ESG2" s="201"/>
      <c r="ESH2" s="201"/>
      <c r="ESI2" s="201"/>
      <c r="ESJ2" s="201"/>
      <c r="ESK2" s="201"/>
      <c r="ESL2" s="201"/>
      <c r="ESM2" s="201"/>
      <c r="ESN2" s="201"/>
      <c r="ESO2" s="201"/>
      <c r="ESP2" s="201"/>
      <c r="ESQ2" s="201"/>
      <c r="ESR2" s="201"/>
      <c r="ESS2" s="201"/>
      <c r="EST2" s="201"/>
      <c r="ESU2" s="201"/>
      <c r="ESV2" s="201"/>
      <c r="ESW2" s="201"/>
      <c r="ESX2" s="201"/>
      <c r="ESY2" s="201"/>
      <c r="ESZ2" s="201"/>
      <c r="ETA2" s="201"/>
      <c r="ETB2" s="201"/>
      <c r="ETC2" s="201"/>
      <c r="ETD2" s="201"/>
      <c r="ETE2" s="201"/>
      <c r="ETF2" s="201"/>
      <c r="ETG2" s="201"/>
      <c r="ETH2" s="201"/>
      <c r="ETI2" s="201"/>
      <c r="ETJ2" s="201"/>
      <c r="ETK2" s="201"/>
      <c r="ETL2" s="201"/>
      <c r="ETM2" s="201"/>
      <c r="ETN2" s="201"/>
      <c r="ETO2" s="201"/>
      <c r="ETP2" s="201"/>
      <c r="ETQ2" s="201"/>
      <c r="ETR2" s="201"/>
      <c r="ETS2" s="201"/>
      <c r="ETT2" s="201"/>
      <c r="ETU2" s="201"/>
      <c r="ETV2" s="201"/>
      <c r="ETW2" s="201"/>
      <c r="ETX2" s="201"/>
      <c r="ETY2" s="201"/>
      <c r="ETZ2" s="201"/>
      <c r="EUA2" s="201"/>
      <c r="EUB2" s="201"/>
      <c r="EUC2" s="201"/>
      <c r="EUD2" s="201"/>
      <c r="EUE2" s="201"/>
      <c r="EUF2" s="201"/>
      <c r="EUG2" s="201"/>
      <c r="EUH2" s="201"/>
      <c r="EUI2" s="201"/>
      <c r="EUJ2" s="201"/>
      <c r="EUK2" s="201"/>
      <c r="EUL2" s="201"/>
      <c r="EUM2" s="201"/>
      <c r="EUN2" s="201"/>
      <c r="EUO2" s="201"/>
      <c r="EUP2" s="201"/>
      <c r="EUQ2" s="201"/>
      <c r="EUR2" s="201"/>
      <c r="EUS2" s="201"/>
      <c r="EUT2" s="201"/>
      <c r="EUU2" s="201"/>
      <c r="EUV2" s="201"/>
      <c r="EUW2" s="201"/>
      <c r="EUX2" s="201"/>
      <c r="EUY2" s="201"/>
      <c r="EUZ2" s="201"/>
      <c r="EVA2" s="201"/>
      <c r="EVB2" s="201"/>
      <c r="EVC2" s="201"/>
      <c r="EVD2" s="201"/>
      <c r="EVE2" s="201"/>
      <c r="EVF2" s="201"/>
      <c r="EVG2" s="201"/>
      <c r="EVH2" s="201"/>
      <c r="EVI2" s="201"/>
      <c r="EVJ2" s="201"/>
      <c r="EVK2" s="201"/>
      <c r="EVL2" s="201"/>
      <c r="EVM2" s="201"/>
      <c r="EVN2" s="201"/>
      <c r="EVO2" s="201"/>
      <c r="EVP2" s="201"/>
      <c r="EVQ2" s="201"/>
      <c r="EVR2" s="201"/>
      <c r="EVS2" s="201"/>
      <c r="EVT2" s="201"/>
      <c r="EVU2" s="201"/>
      <c r="EVV2" s="201"/>
      <c r="EVW2" s="201"/>
      <c r="EVX2" s="201"/>
      <c r="EVY2" s="201"/>
      <c r="EVZ2" s="201"/>
      <c r="EWA2" s="201"/>
      <c r="EWB2" s="201"/>
      <c r="EWC2" s="201"/>
      <c r="EWD2" s="201"/>
      <c r="EWE2" s="201"/>
      <c r="EWF2" s="201"/>
      <c r="EWG2" s="201"/>
      <c r="EWH2" s="201"/>
      <c r="EWI2" s="201"/>
      <c r="EWJ2" s="201"/>
      <c r="EWK2" s="201"/>
      <c r="EWL2" s="201"/>
      <c r="EWM2" s="201"/>
      <c r="EWN2" s="201"/>
      <c r="EWO2" s="201"/>
      <c r="EWP2" s="201"/>
      <c r="EWQ2" s="201"/>
      <c r="EWR2" s="201"/>
      <c r="EWS2" s="201"/>
      <c r="EWT2" s="201"/>
      <c r="EWU2" s="201"/>
      <c r="EWV2" s="201"/>
      <c r="EWW2" s="201"/>
      <c r="EWX2" s="201"/>
      <c r="EWY2" s="201"/>
      <c r="EWZ2" s="201"/>
      <c r="EXA2" s="201"/>
      <c r="EXB2" s="201"/>
      <c r="EXC2" s="201"/>
      <c r="EXD2" s="201"/>
      <c r="EXE2" s="201"/>
      <c r="EXF2" s="201"/>
      <c r="EXG2" s="201"/>
      <c r="EXH2" s="201"/>
      <c r="EXI2" s="201"/>
      <c r="EXJ2" s="201"/>
      <c r="EXK2" s="201"/>
      <c r="EXL2" s="201"/>
      <c r="EXM2" s="201"/>
      <c r="EXN2" s="201"/>
      <c r="EXO2" s="201"/>
      <c r="EXP2" s="201"/>
      <c r="EXQ2" s="201"/>
      <c r="EXR2" s="201"/>
      <c r="EXS2" s="201"/>
      <c r="EXT2" s="201"/>
      <c r="EXU2" s="201"/>
      <c r="EXV2" s="201"/>
      <c r="EXW2" s="201"/>
      <c r="EXX2" s="201"/>
      <c r="EXY2" s="201"/>
      <c r="EXZ2" s="201"/>
      <c r="EYA2" s="201"/>
      <c r="EYB2" s="201"/>
      <c r="EYC2" s="201"/>
      <c r="EYD2" s="201"/>
      <c r="EYE2" s="201"/>
      <c r="EYF2" s="201"/>
      <c r="EYG2" s="201"/>
      <c r="EYH2" s="201"/>
      <c r="EYI2" s="201"/>
      <c r="EYJ2" s="201"/>
      <c r="EYK2" s="201"/>
      <c r="EYL2" s="201"/>
      <c r="EYM2" s="201"/>
      <c r="EYN2" s="201"/>
      <c r="EYO2" s="201"/>
      <c r="EYP2" s="201"/>
      <c r="EYQ2" s="201"/>
      <c r="EYR2" s="201"/>
      <c r="EYS2" s="201"/>
      <c r="EYT2" s="201"/>
      <c r="EYU2" s="201"/>
      <c r="EYV2" s="201"/>
      <c r="EYW2" s="201"/>
      <c r="EYX2" s="201"/>
      <c r="EYY2" s="201"/>
      <c r="EYZ2" s="201"/>
      <c r="EZA2" s="201"/>
      <c r="EZB2" s="201"/>
      <c r="EZC2" s="201"/>
      <c r="EZD2" s="201"/>
      <c r="EZE2" s="201"/>
      <c r="EZF2" s="201"/>
      <c r="EZG2" s="201"/>
      <c r="EZH2" s="201"/>
      <c r="EZI2" s="201"/>
      <c r="EZJ2" s="201"/>
      <c r="EZK2" s="201"/>
      <c r="EZL2" s="201"/>
      <c r="EZM2" s="201"/>
      <c r="EZN2" s="201"/>
      <c r="EZO2" s="201"/>
      <c r="EZP2" s="201"/>
      <c r="EZQ2" s="201"/>
      <c r="EZR2" s="201"/>
      <c r="EZS2" s="201"/>
      <c r="EZT2" s="201"/>
      <c r="EZU2" s="201"/>
      <c r="EZV2" s="201"/>
      <c r="EZW2" s="201"/>
      <c r="EZX2" s="201"/>
      <c r="EZY2" s="201"/>
      <c r="EZZ2" s="201"/>
      <c r="FAA2" s="201"/>
      <c r="FAB2" s="201"/>
      <c r="FAC2" s="201"/>
      <c r="FAD2" s="201"/>
      <c r="FAE2" s="201"/>
      <c r="FAF2" s="201"/>
      <c r="FAG2" s="201"/>
      <c r="FAH2" s="201"/>
      <c r="FAI2" s="201"/>
      <c r="FAJ2" s="201"/>
      <c r="FAK2" s="201"/>
      <c r="FAL2" s="201"/>
      <c r="FAM2" s="201"/>
      <c r="FAN2" s="201"/>
      <c r="FAO2" s="201"/>
      <c r="FAP2" s="201"/>
      <c r="FAQ2" s="201"/>
      <c r="FAR2" s="201"/>
      <c r="FAS2" s="201"/>
      <c r="FAT2" s="201"/>
      <c r="FAU2" s="201"/>
      <c r="FAV2" s="201"/>
      <c r="FAW2" s="201"/>
      <c r="FAX2" s="201"/>
      <c r="FAY2" s="201"/>
      <c r="FAZ2" s="201"/>
      <c r="FBA2" s="201"/>
      <c r="FBB2" s="201"/>
      <c r="FBC2" s="201"/>
      <c r="FBD2" s="201"/>
      <c r="FBE2" s="201"/>
      <c r="FBF2" s="201"/>
      <c r="FBG2" s="201"/>
      <c r="FBH2" s="201"/>
      <c r="FBI2" s="201"/>
      <c r="FBJ2" s="201"/>
      <c r="FBK2" s="201"/>
      <c r="FBL2" s="201"/>
      <c r="FBM2" s="201"/>
      <c r="FBN2" s="201"/>
      <c r="FBO2" s="201"/>
      <c r="FBP2" s="201"/>
      <c r="FBQ2" s="201"/>
      <c r="FBR2" s="201"/>
      <c r="FBS2" s="201"/>
      <c r="FBT2" s="201"/>
      <c r="FBU2" s="201"/>
      <c r="FBV2" s="201"/>
      <c r="FBW2" s="201"/>
      <c r="FBX2" s="201"/>
      <c r="FBY2" s="201"/>
      <c r="FBZ2" s="201"/>
      <c r="FCA2" s="201"/>
      <c r="FCB2" s="201"/>
      <c r="FCC2" s="201"/>
      <c r="FCD2" s="201"/>
      <c r="FCE2" s="201"/>
      <c r="FCF2" s="201"/>
      <c r="FCG2" s="201"/>
      <c r="FCH2" s="201"/>
      <c r="FCI2" s="201"/>
      <c r="FCJ2" s="201"/>
      <c r="FCK2" s="201"/>
      <c r="FCL2" s="201"/>
      <c r="FCM2" s="201"/>
      <c r="FCN2" s="201"/>
      <c r="FCO2" s="201"/>
      <c r="FCP2" s="201"/>
      <c r="FCQ2" s="201"/>
      <c r="FCR2" s="201"/>
      <c r="FCS2" s="201"/>
      <c r="FCT2" s="201"/>
      <c r="FCU2" s="201"/>
      <c r="FCV2" s="201"/>
      <c r="FCW2" s="201"/>
      <c r="FCX2" s="201"/>
      <c r="FCY2" s="201"/>
      <c r="FCZ2" s="201"/>
      <c r="FDA2" s="201"/>
      <c r="FDB2" s="201"/>
      <c r="FDC2" s="201"/>
      <c r="FDD2" s="201"/>
      <c r="FDE2" s="201"/>
      <c r="FDF2" s="201"/>
      <c r="FDG2" s="201"/>
      <c r="FDH2" s="201"/>
      <c r="FDI2" s="201"/>
      <c r="FDJ2" s="201"/>
      <c r="FDK2" s="201"/>
      <c r="FDL2" s="201"/>
      <c r="FDM2" s="201"/>
      <c r="FDN2" s="201"/>
      <c r="FDO2" s="201"/>
      <c r="FDP2" s="201"/>
      <c r="FDQ2" s="201"/>
      <c r="FDR2" s="201"/>
      <c r="FDS2" s="201"/>
      <c r="FDT2" s="201"/>
      <c r="FDU2" s="201"/>
      <c r="FDV2" s="201"/>
      <c r="FDW2" s="201"/>
      <c r="FDX2" s="201"/>
      <c r="FDY2" s="201"/>
      <c r="FDZ2" s="201"/>
      <c r="FEA2" s="201"/>
      <c r="FEB2" s="201"/>
      <c r="FEC2" s="201"/>
      <c r="FED2" s="201"/>
      <c r="FEE2" s="201"/>
      <c r="FEF2" s="201"/>
      <c r="FEG2" s="201"/>
      <c r="FEH2" s="201"/>
      <c r="FEI2" s="201"/>
      <c r="FEJ2" s="201"/>
      <c r="FEK2" s="201"/>
      <c r="FEL2" s="201"/>
      <c r="FEM2" s="201"/>
      <c r="FEN2" s="201"/>
      <c r="FEO2" s="201"/>
      <c r="FEP2" s="201"/>
      <c r="FEQ2" s="201"/>
      <c r="FER2" s="201"/>
      <c r="FES2" s="201"/>
      <c r="FET2" s="201"/>
      <c r="FEU2" s="201"/>
      <c r="FEV2" s="201"/>
      <c r="FEW2" s="201"/>
      <c r="FEX2" s="201"/>
      <c r="FEY2" s="201"/>
      <c r="FEZ2" s="201"/>
      <c r="FFA2" s="201"/>
      <c r="FFB2" s="201"/>
      <c r="FFC2" s="201"/>
      <c r="FFD2" s="201"/>
      <c r="FFE2" s="201"/>
      <c r="FFF2" s="201"/>
      <c r="FFG2" s="201"/>
      <c r="FFH2" s="201"/>
      <c r="FFI2" s="201"/>
      <c r="FFJ2" s="201"/>
      <c r="FFK2" s="201"/>
      <c r="FFL2" s="201"/>
      <c r="FFM2" s="201"/>
      <c r="FFN2" s="201"/>
      <c r="FFO2" s="201"/>
      <c r="FFP2" s="201"/>
      <c r="FFQ2" s="201"/>
      <c r="FFR2" s="201"/>
      <c r="FFS2" s="201"/>
      <c r="FFT2" s="201"/>
      <c r="FFU2" s="201"/>
      <c r="FFV2" s="201"/>
      <c r="FFW2" s="201"/>
      <c r="FFX2" s="201"/>
      <c r="FFY2" s="201"/>
      <c r="FFZ2" s="201"/>
      <c r="FGA2" s="201"/>
      <c r="FGB2" s="201"/>
      <c r="FGC2" s="201"/>
      <c r="FGD2" s="201"/>
      <c r="FGE2" s="201"/>
      <c r="FGF2" s="201"/>
      <c r="FGG2" s="201"/>
      <c r="FGH2" s="201"/>
      <c r="FGI2" s="201"/>
      <c r="FGJ2" s="201"/>
      <c r="FGK2" s="201"/>
      <c r="FGL2" s="201"/>
      <c r="FGM2" s="201"/>
      <c r="FGN2" s="201"/>
      <c r="FGO2" s="201"/>
      <c r="FGP2" s="201"/>
      <c r="FGQ2" s="201"/>
      <c r="FGR2" s="201"/>
      <c r="FGS2" s="201"/>
      <c r="FGT2" s="201"/>
      <c r="FGU2" s="201"/>
      <c r="FGV2" s="201"/>
      <c r="FGW2" s="201"/>
      <c r="FGX2" s="201"/>
      <c r="FGY2" s="201"/>
      <c r="FGZ2" s="201"/>
      <c r="FHA2" s="201"/>
      <c r="FHB2" s="201"/>
      <c r="FHC2" s="201"/>
      <c r="FHD2" s="201"/>
      <c r="FHE2" s="201"/>
      <c r="FHF2" s="201"/>
      <c r="FHG2" s="201"/>
      <c r="FHH2" s="201"/>
      <c r="FHI2" s="201"/>
      <c r="FHJ2" s="201"/>
      <c r="FHK2" s="201"/>
      <c r="FHL2" s="201"/>
      <c r="FHM2" s="201"/>
      <c r="FHN2" s="201"/>
      <c r="FHO2" s="201"/>
      <c r="FHP2" s="201"/>
      <c r="FHQ2" s="201"/>
      <c r="FHR2" s="201"/>
      <c r="FHS2" s="201"/>
      <c r="FHT2" s="201"/>
      <c r="FHU2" s="201"/>
      <c r="FHV2" s="201"/>
      <c r="FHW2" s="201"/>
      <c r="FHX2" s="201"/>
      <c r="FHY2" s="201"/>
      <c r="FHZ2" s="201"/>
      <c r="FIA2" s="201"/>
      <c r="FIB2" s="201"/>
      <c r="FIC2" s="201"/>
      <c r="FID2" s="201"/>
      <c r="FIE2" s="201"/>
      <c r="FIF2" s="201"/>
      <c r="FIG2" s="201"/>
      <c r="FIH2" s="201"/>
      <c r="FII2" s="201"/>
      <c r="FIJ2" s="201"/>
      <c r="FIK2" s="201"/>
      <c r="FIL2" s="201"/>
      <c r="FIM2" s="201"/>
      <c r="FIN2" s="201"/>
      <c r="FIO2" s="201"/>
      <c r="FIP2" s="201"/>
      <c r="FIQ2" s="201"/>
      <c r="FIR2" s="201"/>
      <c r="FIS2" s="201"/>
      <c r="FIT2" s="201"/>
      <c r="FIU2" s="201"/>
      <c r="FIV2" s="201"/>
      <c r="FIW2" s="201"/>
      <c r="FIX2" s="201"/>
      <c r="FIY2" s="201"/>
      <c r="FIZ2" s="201"/>
      <c r="FJA2" s="201"/>
      <c r="FJB2" s="201"/>
      <c r="FJC2" s="201"/>
      <c r="FJD2" s="201"/>
      <c r="FJE2" s="201"/>
      <c r="FJF2" s="201"/>
      <c r="FJG2" s="201"/>
      <c r="FJH2" s="201"/>
      <c r="FJI2" s="201"/>
      <c r="FJJ2" s="201"/>
      <c r="FJK2" s="201"/>
      <c r="FJL2" s="201"/>
      <c r="FJM2" s="201"/>
      <c r="FJN2" s="201"/>
      <c r="FJO2" s="201"/>
      <c r="FJP2" s="201"/>
      <c r="FJQ2" s="201"/>
      <c r="FJR2" s="201"/>
      <c r="FJS2" s="201"/>
      <c r="FJT2" s="201"/>
      <c r="FJU2" s="201"/>
      <c r="FJV2" s="201"/>
      <c r="FJW2" s="201"/>
      <c r="FJX2" s="201"/>
      <c r="FJY2" s="201"/>
      <c r="FJZ2" s="201"/>
      <c r="FKA2" s="201"/>
      <c r="FKB2" s="201"/>
      <c r="FKC2" s="201"/>
      <c r="FKD2" s="201"/>
      <c r="FKE2" s="201"/>
      <c r="FKF2" s="201"/>
      <c r="FKG2" s="201"/>
      <c r="FKH2" s="201"/>
      <c r="FKI2" s="201"/>
      <c r="FKJ2" s="201"/>
      <c r="FKK2" s="201"/>
      <c r="FKL2" s="201"/>
      <c r="FKM2" s="201"/>
      <c r="FKN2" s="201"/>
      <c r="FKO2" s="201"/>
      <c r="FKP2" s="201"/>
      <c r="FKQ2" s="201"/>
      <c r="FKR2" s="201"/>
      <c r="FKS2" s="201"/>
      <c r="FKT2" s="201"/>
      <c r="FKU2" s="201"/>
      <c r="FKV2" s="201"/>
      <c r="FKW2" s="201"/>
      <c r="FKX2" s="201"/>
      <c r="FKY2" s="201"/>
      <c r="FKZ2" s="201"/>
      <c r="FLA2" s="201"/>
      <c r="FLB2" s="201"/>
      <c r="FLC2" s="201"/>
      <c r="FLD2" s="201"/>
      <c r="FLE2" s="201"/>
      <c r="FLF2" s="201"/>
      <c r="FLG2" s="201"/>
      <c r="FLH2" s="201"/>
      <c r="FLI2" s="201"/>
      <c r="FLJ2" s="201"/>
      <c r="FLK2" s="201"/>
      <c r="FLL2" s="201"/>
      <c r="FLM2" s="201"/>
      <c r="FLN2" s="201"/>
      <c r="FLO2" s="201"/>
      <c r="FLP2" s="201"/>
      <c r="FLQ2" s="201"/>
      <c r="FLR2" s="201"/>
      <c r="FLS2" s="201"/>
      <c r="FLT2" s="201"/>
      <c r="FLU2" s="201"/>
      <c r="FLV2" s="201"/>
      <c r="FLW2" s="201"/>
      <c r="FLX2" s="201"/>
      <c r="FLY2" s="201"/>
      <c r="FLZ2" s="201"/>
      <c r="FMA2" s="201"/>
      <c r="FMB2" s="201"/>
      <c r="FMC2" s="201"/>
      <c r="FMD2" s="201"/>
      <c r="FME2" s="201"/>
      <c r="FMF2" s="201"/>
      <c r="FMG2" s="201"/>
      <c r="FMH2" s="201"/>
      <c r="FMI2" s="201"/>
      <c r="FMJ2" s="201"/>
      <c r="FMK2" s="201"/>
      <c r="FML2" s="201"/>
      <c r="FMM2" s="201"/>
      <c r="FMN2" s="201"/>
      <c r="FMO2" s="201"/>
      <c r="FMP2" s="201"/>
      <c r="FMQ2" s="201"/>
      <c r="FMR2" s="201"/>
      <c r="FMS2" s="201"/>
      <c r="FMT2" s="201"/>
      <c r="FMU2" s="201"/>
      <c r="FMV2" s="201"/>
      <c r="FMW2" s="201"/>
      <c r="FMX2" s="201"/>
      <c r="FMY2" s="201"/>
      <c r="FMZ2" s="201"/>
      <c r="FNA2" s="201"/>
      <c r="FNB2" s="201"/>
      <c r="FNC2" s="201"/>
      <c r="FND2" s="201"/>
      <c r="FNE2" s="201"/>
      <c r="FNF2" s="201"/>
      <c r="FNG2" s="201"/>
      <c r="FNH2" s="201"/>
      <c r="FNI2" s="201"/>
      <c r="FNJ2" s="201"/>
      <c r="FNK2" s="201"/>
      <c r="FNL2" s="201"/>
      <c r="FNM2" s="201"/>
      <c r="FNN2" s="201"/>
      <c r="FNO2" s="201"/>
      <c r="FNP2" s="201"/>
      <c r="FNQ2" s="201"/>
      <c r="FNR2" s="201"/>
      <c r="FNS2" s="201"/>
      <c r="FNT2" s="201"/>
      <c r="FNU2" s="201"/>
      <c r="FNV2" s="201"/>
      <c r="FNW2" s="201"/>
      <c r="FNX2" s="201"/>
      <c r="FNY2" s="201"/>
      <c r="FNZ2" s="201"/>
      <c r="FOA2" s="201"/>
      <c r="FOB2" s="201"/>
      <c r="FOC2" s="201"/>
      <c r="FOD2" s="201"/>
      <c r="FOE2" s="201"/>
      <c r="FOF2" s="201"/>
      <c r="FOG2" s="201"/>
      <c r="FOH2" s="201"/>
      <c r="FOI2" s="201"/>
      <c r="FOJ2" s="201"/>
      <c r="FOK2" s="201"/>
      <c r="FOL2" s="201"/>
      <c r="FOM2" s="201"/>
      <c r="FON2" s="201"/>
      <c r="FOO2" s="201"/>
      <c r="FOP2" s="201"/>
      <c r="FOQ2" s="201"/>
      <c r="FOR2" s="201"/>
      <c r="FOS2" s="201"/>
      <c r="FOT2" s="201"/>
      <c r="FOU2" s="201"/>
      <c r="FOV2" s="201"/>
      <c r="FOW2" s="201"/>
      <c r="FOX2" s="201"/>
      <c r="FOY2" s="201"/>
      <c r="FOZ2" s="201"/>
      <c r="FPA2" s="201"/>
      <c r="FPB2" s="201"/>
      <c r="FPC2" s="201"/>
      <c r="FPD2" s="201"/>
      <c r="FPE2" s="201"/>
      <c r="FPF2" s="201"/>
      <c r="FPG2" s="201"/>
      <c r="FPH2" s="201"/>
      <c r="FPI2" s="201"/>
      <c r="FPJ2" s="201"/>
      <c r="FPK2" s="201"/>
      <c r="FPL2" s="201"/>
      <c r="FPM2" s="201"/>
      <c r="FPN2" s="201"/>
      <c r="FPO2" s="201"/>
      <c r="FPP2" s="201"/>
      <c r="FPQ2" s="201"/>
      <c r="FPR2" s="201"/>
      <c r="FPS2" s="201"/>
      <c r="FPT2" s="201"/>
      <c r="FPU2" s="201"/>
      <c r="FPV2" s="201"/>
      <c r="FPW2" s="201"/>
      <c r="FPX2" s="201"/>
      <c r="FPY2" s="201"/>
      <c r="FPZ2" s="201"/>
      <c r="FQA2" s="201"/>
      <c r="FQB2" s="201"/>
      <c r="FQC2" s="201"/>
      <c r="FQD2" s="201"/>
      <c r="FQE2" s="201"/>
      <c r="FQF2" s="201"/>
      <c r="FQG2" s="201"/>
      <c r="FQH2" s="201"/>
      <c r="FQI2" s="201"/>
      <c r="FQJ2" s="201"/>
      <c r="FQK2" s="201"/>
      <c r="FQL2" s="201"/>
      <c r="FQM2" s="201"/>
      <c r="FQN2" s="201"/>
      <c r="FQO2" s="201"/>
      <c r="FQP2" s="201"/>
      <c r="FQQ2" s="201"/>
      <c r="FQR2" s="201"/>
      <c r="FQS2" s="201"/>
      <c r="FQT2" s="201"/>
      <c r="FQU2" s="201"/>
      <c r="FQV2" s="201"/>
      <c r="FQW2" s="201"/>
      <c r="FQX2" s="201"/>
      <c r="FQY2" s="201"/>
      <c r="FQZ2" s="201"/>
      <c r="FRA2" s="201"/>
      <c r="FRB2" s="201"/>
      <c r="FRC2" s="201"/>
      <c r="FRD2" s="201"/>
      <c r="FRE2" s="201"/>
      <c r="FRF2" s="201"/>
      <c r="FRG2" s="201"/>
      <c r="FRH2" s="201"/>
      <c r="FRI2" s="201"/>
      <c r="FRJ2" s="201"/>
      <c r="FRK2" s="201"/>
      <c r="FRL2" s="201"/>
      <c r="FRM2" s="201"/>
      <c r="FRN2" s="201"/>
      <c r="FRO2" s="201"/>
      <c r="FRP2" s="201"/>
      <c r="FRQ2" s="201"/>
      <c r="FRR2" s="201"/>
      <c r="FRS2" s="201"/>
      <c r="FRT2" s="201"/>
      <c r="FRU2" s="201"/>
      <c r="FRV2" s="201"/>
      <c r="FRW2" s="201"/>
      <c r="FRX2" s="201"/>
      <c r="FRY2" s="201"/>
      <c r="FRZ2" s="201"/>
      <c r="FSA2" s="201"/>
      <c r="FSB2" s="201"/>
      <c r="FSC2" s="201"/>
      <c r="FSD2" s="201"/>
      <c r="FSE2" s="201"/>
      <c r="FSF2" s="201"/>
      <c r="FSG2" s="201"/>
      <c r="FSH2" s="201"/>
      <c r="FSI2" s="201"/>
      <c r="FSJ2" s="201"/>
      <c r="FSK2" s="201"/>
      <c r="FSL2" s="201"/>
      <c r="FSM2" s="201"/>
      <c r="FSN2" s="201"/>
      <c r="FSO2" s="201"/>
      <c r="FSP2" s="201"/>
      <c r="FSQ2" s="201"/>
      <c r="FSR2" s="201"/>
      <c r="FSS2" s="201"/>
      <c r="FST2" s="201"/>
      <c r="FSU2" s="201"/>
      <c r="FSV2" s="201"/>
      <c r="FSW2" s="201"/>
      <c r="FSX2" s="201"/>
      <c r="FSY2" s="201"/>
      <c r="FSZ2" s="201"/>
      <c r="FTA2" s="201"/>
      <c r="FTB2" s="201"/>
      <c r="FTC2" s="201"/>
      <c r="FTD2" s="201"/>
      <c r="FTE2" s="201"/>
      <c r="FTF2" s="201"/>
      <c r="FTG2" s="201"/>
      <c r="FTH2" s="201"/>
      <c r="FTI2" s="201"/>
      <c r="FTJ2" s="201"/>
      <c r="FTK2" s="201"/>
      <c r="FTL2" s="201"/>
      <c r="FTM2" s="201"/>
      <c r="FTN2" s="201"/>
      <c r="FTO2" s="201"/>
      <c r="FTP2" s="201"/>
      <c r="FTQ2" s="201"/>
      <c r="FTR2" s="201"/>
      <c r="FTS2" s="201"/>
      <c r="FTT2" s="201"/>
      <c r="FTU2" s="201"/>
      <c r="FTV2" s="201"/>
      <c r="FTW2" s="201"/>
      <c r="FTX2" s="201"/>
      <c r="FTY2" s="201"/>
      <c r="FTZ2" s="201"/>
      <c r="FUA2" s="201"/>
      <c r="FUB2" s="201"/>
      <c r="FUC2" s="201"/>
      <c r="FUD2" s="201"/>
      <c r="FUE2" s="201"/>
      <c r="FUF2" s="201"/>
      <c r="FUG2" s="201"/>
      <c r="FUH2" s="201"/>
      <c r="FUI2" s="201"/>
      <c r="FUJ2" s="201"/>
      <c r="FUK2" s="201"/>
      <c r="FUL2" s="201"/>
      <c r="FUM2" s="201"/>
      <c r="FUN2" s="201"/>
      <c r="FUO2" s="201"/>
      <c r="FUP2" s="201"/>
      <c r="FUQ2" s="201"/>
      <c r="FUR2" s="201"/>
      <c r="FUS2" s="201"/>
      <c r="FUT2" s="201"/>
      <c r="FUU2" s="201"/>
      <c r="FUV2" s="201"/>
      <c r="FUW2" s="201"/>
      <c r="FUX2" s="201"/>
      <c r="FUY2" s="201"/>
      <c r="FUZ2" s="201"/>
      <c r="FVA2" s="201"/>
      <c r="FVB2" s="201"/>
      <c r="FVC2" s="201"/>
      <c r="FVD2" s="201"/>
      <c r="FVE2" s="201"/>
      <c r="FVF2" s="201"/>
      <c r="FVG2" s="201"/>
      <c r="FVH2" s="201"/>
      <c r="FVI2" s="201"/>
      <c r="FVJ2" s="201"/>
      <c r="FVK2" s="201"/>
      <c r="FVL2" s="201"/>
      <c r="FVM2" s="201"/>
      <c r="FVN2" s="201"/>
      <c r="FVO2" s="201"/>
      <c r="FVP2" s="201"/>
      <c r="FVQ2" s="201"/>
      <c r="FVR2" s="201"/>
      <c r="FVS2" s="201"/>
      <c r="FVT2" s="201"/>
      <c r="FVU2" s="201"/>
      <c r="FVV2" s="201"/>
      <c r="FVW2" s="201"/>
      <c r="FVX2" s="201"/>
      <c r="FVY2" s="201"/>
      <c r="FVZ2" s="201"/>
      <c r="FWA2" s="201"/>
      <c r="FWB2" s="201"/>
      <c r="FWC2" s="201"/>
      <c r="FWD2" s="201"/>
      <c r="FWE2" s="201"/>
      <c r="FWF2" s="201"/>
      <c r="FWG2" s="201"/>
      <c r="FWH2" s="201"/>
      <c r="FWI2" s="201"/>
      <c r="FWJ2" s="201"/>
      <c r="FWK2" s="201"/>
      <c r="FWL2" s="201"/>
      <c r="FWM2" s="201"/>
      <c r="FWN2" s="201"/>
      <c r="FWO2" s="201"/>
      <c r="FWP2" s="201"/>
      <c r="FWQ2" s="201"/>
      <c r="FWR2" s="201"/>
      <c r="FWS2" s="201"/>
      <c r="FWT2" s="201"/>
      <c r="FWU2" s="201"/>
      <c r="FWV2" s="201"/>
      <c r="FWW2" s="201"/>
      <c r="FWX2" s="201"/>
      <c r="FWY2" s="201"/>
      <c r="FWZ2" s="201"/>
      <c r="FXA2" s="201"/>
      <c r="FXB2" s="201"/>
      <c r="FXC2" s="201"/>
      <c r="FXD2" s="201"/>
      <c r="FXE2" s="201"/>
      <c r="FXF2" s="201"/>
      <c r="FXG2" s="201"/>
      <c r="FXH2" s="201"/>
      <c r="FXI2" s="201"/>
      <c r="FXJ2" s="201"/>
      <c r="FXK2" s="201"/>
      <c r="FXL2" s="201"/>
      <c r="FXM2" s="201"/>
      <c r="FXN2" s="201"/>
      <c r="FXO2" s="201"/>
      <c r="FXP2" s="201"/>
      <c r="FXQ2" s="201"/>
      <c r="FXR2" s="201"/>
      <c r="FXS2" s="201"/>
      <c r="FXT2" s="201"/>
      <c r="FXU2" s="201"/>
      <c r="FXV2" s="201"/>
      <c r="FXW2" s="201"/>
      <c r="FXX2" s="201"/>
      <c r="FXY2" s="201"/>
      <c r="FXZ2" s="201"/>
      <c r="FYA2" s="201"/>
      <c r="FYB2" s="201"/>
      <c r="FYC2" s="201"/>
      <c r="FYD2" s="201"/>
      <c r="FYE2" s="201"/>
      <c r="FYF2" s="201"/>
      <c r="FYG2" s="201"/>
      <c r="FYH2" s="201"/>
      <c r="FYI2" s="201"/>
      <c r="FYJ2" s="201"/>
      <c r="FYK2" s="201"/>
      <c r="FYL2" s="201"/>
      <c r="FYM2" s="201"/>
      <c r="FYN2" s="201"/>
      <c r="FYO2" s="201"/>
      <c r="FYP2" s="201"/>
      <c r="FYQ2" s="201"/>
      <c r="FYR2" s="201"/>
      <c r="FYS2" s="201"/>
      <c r="FYT2" s="201"/>
      <c r="FYU2" s="201"/>
      <c r="FYV2" s="201"/>
      <c r="FYW2" s="201"/>
      <c r="FYX2" s="201"/>
      <c r="FYY2" s="201"/>
      <c r="FYZ2" s="201"/>
      <c r="FZA2" s="201"/>
      <c r="FZB2" s="201"/>
      <c r="FZC2" s="201"/>
      <c r="FZD2" s="201"/>
      <c r="FZE2" s="201"/>
      <c r="FZF2" s="201"/>
      <c r="FZG2" s="201"/>
      <c r="FZH2" s="201"/>
      <c r="FZI2" s="201"/>
      <c r="FZJ2" s="201"/>
      <c r="FZK2" s="201"/>
      <c r="FZL2" s="201"/>
      <c r="FZM2" s="201"/>
      <c r="FZN2" s="201"/>
      <c r="FZO2" s="201"/>
      <c r="FZP2" s="201"/>
      <c r="FZQ2" s="201"/>
      <c r="FZR2" s="201"/>
      <c r="FZS2" s="201"/>
      <c r="FZT2" s="201"/>
      <c r="FZU2" s="201"/>
      <c r="FZV2" s="201"/>
      <c r="FZW2" s="201"/>
      <c r="FZX2" s="201"/>
      <c r="FZY2" s="201"/>
      <c r="FZZ2" s="201"/>
      <c r="GAA2" s="201"/>
      <c r="GAB2" s="201"/>
      <c r="GAC2" s="201"/>
      <c r="GAD2" s="201"/>
      <c r="GAE2" s="201"/>
      <c r="GAF2" s="201"/>
      <c r="GAG2" s="201"/>
      <c r="GAH2" s="201"/>
      <c r="GAI2" s="201"/>
      <c r="GAJ2" s="201"/>
      <c r="GAK2" s="201"/>
      <c r="GAL2" s="201"/>
      <c r="GAM2" s="201"/>
      <c r="GAN2" s="201"/>
      <c r="GAO2" s="201"/>
      <c r="GAP2" s="201"/>
      <c r="GAQ2" s="201"/>
      <c r="GAR2" s="201"/>
      <c r="GAS2" s="201"/>
      <c r="GAT2" s="201"/>
      <c r="GAU2" s="201"/>
      <c r="GAV2" s="201"/>
      <c r="GAW2" s="201"/>
      <c r="GAX2" s="201"/>
      <c r="GAY2" s="201"/>
      <c r="GAZ2" s="201"/>
      <c r="GBA2" s="201"/>
      <c r="GBB2" s="201"/>
      <c r="GBC2" s="201"/>
      <c r="GBD2" s="201"/>
      <c r="GBE2" s="201"/>
      <c r="GBF2" s="201"/>
      <c r="GBG2" s="201"/>
      <c r="GBH2" s="201"/>
      <c r="GBI2" s="201"/>
      <c r="GBJ2" s="201"/>
      <c r="GBK2" s="201"/>
      <c r="GBL2" s="201"/>
      <c r="GBM2" s="201"/>
      <c r="GBN2" s="201"/>
      <c r="GBO2" s="201"/>
      <c r="GBP2" s="201"/>
      <c r="GBQ2" s="201"/>
      <c r="GBR2" s="201"/>
      <c r="GBS2" s="201"/>
      <c r="GBT2" s="201"/>
      <c r="GBU2" s="201"/>
      <c r="GBV2" s="201"/>
      <c r="GBW2" s="201"/>
      <c r="GBX2" s="201"/>
      <c r="GBY2" s="201"/>
      <c r="GBZ2" s="201"/>
      <c r="GCA2" s="201"/>
      <c r="GCB2" s="201"/>
      <c r="GCC2" s="201"/>
      <c r="GCD2" s="201"/>
      <c r="GCE2" s="201"/>
      <c r="GCF2" s="201"/>
      <c r="GCG2" s="201"/>
      <c r="GCH2" s="201"/>
      <c r="GCI2" s="201"/>
      <c r="GCJ2" s="201"/>
      <c r="GCK2" s="201"/>
      <c r="GCL2" s="201"/>
      <c r="GCM2" s="201"/>
      <c r="GCN2" s="201"/>
      <c r="GCO2" s="201"/>
      <c r="GCP2" s="201"/>
      <c r="GCQ2" s="201"/>
      <c r="GCR2" s="201"/>
      <c r="GCS2" s="201"/>
      <c r="GCT2" s="201"/>
      <c r="GCU2" s="201"/>
      <c r="GCV2" s="201"/>
      <c r="GCW2" s="201"/>
      <c r="GCX2" s="201"/>
      <c r="GCY2" s="201"/>
      <c r="GCZ2" s="201"/>
      <c r="GDA2" s="201"/>
      <c r="GDB2" s="201"/>
      <c r="GDC2" s="201"/>
      <c r="GDD2" s="201"/>
      <c r="GDE2" s="201"/>
      <c r="GDF2" s="201"/>
      <c r="GDG2" s="201"/>
      <c r="GDH2" s="201"/>
      <c r="GDI2" s="201"/>
      <c r="GDJ2" s="201"/>
      <c r="GDK2" s="201"/>
      <c r="GDL2" s="201"/>
      <c r="GDM2" s="201"/>
      <c r="GDN2" s="201"/>
      <c r="GDO2" s="201"/>
      <c r="GDP2" s="201"/>
      <c r="GDQ2" s="201"/>
      <c r="GDR2" s="201"/>
      <c r="GDS2" s="201"/>
      <c r="GDT2" s="201"/>
      <c r="GDU2" s="201"/>
      <c r="GDV2" s="201"/>
      <c r="GDW2" s="201"/>
      <c r="GDX2" s="201"/>
      <c r="GDY2" s="201"/>
      <c r="GDZ2" s="201"/>
      <c r="GEA2" s="201"/>
      <c r="GEB2" s="201"/>
      <c r="GEC2" s="201"/>
      <c r="GED2" s="201"/>
      <c r="GEE2" s="201"/>
      <c r="GEF2" s="201"/>
      <c r="GEG2" s="201"/>
      <c r="GEH2" s="201"/>
      <c r="GEI2" s="201"/>
      <c r="GEJ2" s="201"/>
      <c r="GEK2" s="201"/>
      <c r="GEL2" s="201"/>
      <c r="GEM2" s="201"/>
      <c r="GEN2" s="201"/>
      <c r="GEO2" s="201"/>
      <c r="GEP2" s="201"/>
      <c r="GEQ2" s="201"/>
      <c r="GER2" s="201"/>
      <c r="GES2" s="201"/>
      <c r="GET2" s="201"/>
      <c r="GEU2" s="201"/>
      <c r="GEV2" s="201"/>
      <c r="GEW2" s="201"/>
      <c r="GEX2" s="201"/>
      <c r="GEY2" s="201"/>
      <c r="GEZ2" s="201"/>
      <c r="GFA2" s="201"/>
      <c r="GFB2" s="201"/>
      <c r="GFC2" s="201"/>
      <c r="GFD2" s="201"/>
      <c r="GFE2" s="201"/>
      <c r="GFF2" s="201"/>
      <c r="GFG2" s="201"/>
      <c r="GFH2" s="201"/>
      <c r="GFI2" s="201"/>
      <c r="GFJ2" s="201"/>
      <c r="GFK2" s="201"/>
      <c r="GFL2" s="201"/>
      <c r="GFM2" s="201"/>
      <c r="GFN2" s="201"/>
      <c r="GFO2" s="201"/>
      <c r="GFP2" s="201"/>
      <c r="GFQ2" s="201"/>
      <c r="GFR2" s="201"/>
      <c r="GFS2" s="201"/>
      <c r="GFT2" s="201"/>
      <c r="GFU2" s="201"/>
      <c r="GFV2" s="201"/>
      <c r="GFW2" s="201"/>
      <c r="GFX2" s="201"/>
      <c r="GFY2" s="201"/>
      <c r="GFZ2" s="201"/>
      <c r="GGA2" s="201"/>
      <c r="GGB2" s="201"/>
      <c r="GGC2" s="201"/>
      <c r="GGD2" s="201"/>
      <c r="GGE2" s="201"/>
      <c r="GGF2" s="201"/>
      <c r="GGG2" s="201"/>
      <c r="GGH2" s="201"/>
      <c r="GGI2" s="201"/>
      <c r="GGJ2" s="201"/>
      <c r="GGK2" s="201"/>
      <c r="GGL2" s="201"/>
      <c r="GGM2" s="201"/>
      <c r="GGN2" s="201"/>
      <c r="GGO2" s="201"/>
      <c r="GGP2" s="201"/>
      <c r="GGQ2" s="201"/>
      <c r="GGR2" s="201"/>
      <c r="GGS2" s="201"/>
      <c r="GGT2" s="201"/>
      <c r="GGU2" s="201"/>
      <c r="GGV2" s="201"/>
      <c r="GGW2" s="201"/>
      <c r="GGX2" s="201"/>
      <c r="GGY2" s="201"/>
      <c r="GGZ2" s="201"/>
      <c r="GHA2" s="201"/>
      <c r="GHB2" s="201"/>
      <c r="GHC2" s="201"/>
      <c r="GHD2" s="201"/>
      <c r="GHE2" s="201"/>
      <c r="GHF2" s="201"/>
      <c r="GHG2" s="201"/>
      <c r="GHH2" s="201"/>
      <c r="GHI2" s="201"/>
      <c r="GHJ2" s="201"/>
      <c r="GHK2" s="201"/>
      <c r="GHL2" s="201"/>
      <c r="GHM2" s="201"/>
      <c r="GHN2" s="201"/>
      <c r="GHO2" s="201"/>
      <c r="GHP2" s="201"/>
      <c r="GHQ2" s="201"/>
      <c r="GHR2" s="201"/>
      <c r="GHS2" s="201"/>
      <c r="GHT2" s="201"/>
      <c r="GHU2" s="201"/>
      <c r="GHV2" s="201"/>
      <c r="GHW2" s="201"/>
      <c r="GHX2" s="201"/>
      <c r="GHY2" s="201"/>
      <c r="GHZ2" s="201"/>
      <c r="GIA2" s="201"/>
      <c r="GIB2" s="201"/>
      <c r="GIC2" s="201"/>
      <c r="GID2" s="201"/>
      <c r="GIE2" s="201"/>
      <c r="GIF2" s="201"/>
      <c r="GIG2" s="201"/>
      <c r="GIH2" s="201"/>
      <c r="GII2" s="201"/>
      <c r="GIJ2" s="201"/>
      <c r="GIK2" s="201"/>
      <c r="GIL2" s="201"/>
      <c r="GIM2" s="201"/>
      <c r="GIN2" s="201"/>
      <c r="GIO2" s="201"/>
      <c r="GIP2" s="201"/>
      <c r="GIQ2" s="201"/>
      <c r="GIR2" s="201"/>
      <c r="GIS2" s="201"/>
      <c r="GIT2" s="201"/>
      <c r="GIU2" s="201"/>
      <c r="GIV2" s="201"/>
      <c r="GIW2" s="201"/>
      <c r="GIX2" s="201"/>
      <c r="GIY2" s="201"/>
      <c r="GIZ2" s="201"/>
      <c r="GJA2" s="201"/>
      <c r="GJB2" s="201"/>
      <c r="GJC2" s="201"/>
      <c r="GJD2" s="201"/>
      <c r="GJE2" s="201"/>
      <c r="GJF2" s="201"/>
      <c r="GJG2" s="201"/>
      <c r="GJH2" s="201"/>
      <c r="GJI2" s="201"/>
      <c r="GJJ2" s="201"/>
      <c r="GJK2" s="201"/>
      <c r="GJL2" s="201"/>
      <c r="GJM2" s="201"/>
      <c r="GJN2" s="201"/>
      <c r="GJO2" s="201"/>
      <c r="GJP2" s="201"/>
      <c r="GJQ2" s="201"/>
      <c r="GJR2" s="201"/>
      <c r="GJS2" s="201"/>
      <c r="GJT2" s="201"/>
      <c r="GJU2" s="201"/>
      <c r="GJV2" s="201"/>
      <c r="GJW2" s="201"/>
      <c r="GJX2" s="201"/>
      <c r="GJY2" s="201"/>
      <c r="GJZ2" s="201"/>
      <c r="GKA2" s="201"/>
      <c r="GKB2" s="201"/>
      <c r="GKC2" s="201"/>
      <c r="GKD2" s="201"/>
      <c r="GKE2" s="201"/>
      <c r="GKF2" s="201"/>
      <c r="GKG2" s="201"/>
      <c r="GKH2" s="201"/>
      <c r="GKI2" s="201"/>
      <c r="GKJ2" s="201"/>
      <c r="GKK2" s="201"/>
      <c r="GKL2" s="201"/>
      <c r="GKM2" s="201"/>
      <c r="GKN2" s="201"/>
      <c r="GKO2" s="201"/>
      <c r="GKP2" s="201"/>
      <c r="GKQ2" s="201"/>
      <c r="GKR2" s="201"/>
      <c r="GKS2" s="201"/>
      <c r="GKT2" s="201"/>
      <c r="GKU2" s="201"/>
      <c r="GKV2" s="201"/>
      <c r="GKW2" s="201"/>
      <c r="GKX2" s="201"/>
      <c r="GKY2" s="201"/>
      <c r="GKZ2" s="201"/>
      <c r="GLA2" s="201"/>
      <c r="GLB2" s="201"/>
      <c r="GLC2" s="201"/>
      <c r="GLD2" s="201"/>
      <c r="GLE2" s="201"/>
      <c r="GLF2" s="201"/>
      <c r="GLG2" s="201"/>
      <c r="GLH2" s="201"/>
      <c r="GLI2" s="201"/>
      <c r="GLJ2" s="201"/>
      <c r="GLK2" s="201"/>
      <c r="GLL2" s="201"/>
      <c r="GLM2" s="201"/>
      <c r="GLN2" s="201"/>
      <c r="GLO2" s="201"/>
      <c r="GLP2" s="201"/>
      <c r="GLQ2" s="201"/>
      <c r="GLR2" s="201"/>
      <c r="GLS2" s="201"/>
      <c r="GLT2" s="201"/>
      <c r="GLU2" s="201"/>
      <c r="GLV2" s="201"/>
      <c r="GLW2" s="201"/>
      <c r="GLX2" s="201"/>
      <c r="GLY2" s="201"/>
      <c r="GLZ2" s="201"/>
      <c r="GMA2" s="201"/>
      <c r="GMB2" s="201"/>
      <c r="GMC2" s="201"/>
      <c r="GMD2" s="201"/>
      <c r="GME2" s="201"/>
      <c r="GMF2" s="201"/>
      <c r="GMG2" s="201"/>
      <c r="GMH2" s="201"/>
      <c r="GMI2" s="201"/>
      <c r="GMJ2" s="201"/>
      <c r="GMK2" s="201"/>
      <c r="GML2" s="201"/>
      <c r="GMM2" s="201"/>
      <c r="GMN2" s="201"/>
      <c r="GMO2" s="201"/>
      <c r="GMP2" s="201"/>
      <c r="GMQ2" s="201"/>
      <c r="GMR2" s="201"/>
      <c r="GMS2" s="201"/>
      <c r="GMT2" s="201"/>
      <c r="GMU2" s="201"/>
      <c r="GMV2" s="201"/>
      <c r="GMW2" s="201"/>
      <c r="GMX2" s="201"/>
      <c r="GMY2" s="201"/>
      <c r="GMZ2" s="201"/>
      <c r="GNA2" s="201"/>
      <c r="GNB2" s="201"/>
      <c r="GNC2" s="201"/>
      <c r="GND2" s="201"/>
      <c r="GNE2" s="201"/>
      <c r="GNF2" s="201"/>
      <c r="GNG2" s="201"/>
      <c r="GNH2" s="201"/>
      <c r="GNI2" s="201"/>
      <c r="GNJ2" s="201"/>
      <c r="GNK2" s="201"/>
      <c r="GNL2" s="201"/>
      <c r="GNM2" s="201"/>
      <c r="GNN2" s="201"/>
      <c r="GNO2" s="201"/>
      <c r="GNP2" s="201"/>
      <c r="GNQ2" s="201"/>
      <c r="GNR2" s="201"/>
      <c r="GNS2" s="201"/>
      <c r="GNT2" s="201"/>
      <c r="GNU2" s="201"/>
      <c r="GNV2" s="201"/>
      <c r="GNW2" s="201"/>
      <c r="GNX2" s="201"/>
      <c r="GNY2" s="201"/>
      <c r="GNZ2" s="201"/>
      <c r="GOA2" s="201"/>
      <c r="GOB2" s="201"/>
      <c r="GOC2" s="201"/>
      <c r="GOD2" s="201"/>
      <c r="GOE2" s="201"/>
      <c r="GOF2" s="201"/>
      <c r="GOG2" s="201"/>
      <c r="GOH2" s="201"/>
      <c r="GOI2" s="201"/>
      <c r="GOJ2" s="201"/>
      <c r="GOK2" s="201"/>
      <c r="GOL2" s="201"/>
      <c r="GOM2" s="201"/>
      <c r="GON2" s="201"/>
      <c r="GOO2" s="201"/>
      <c r="GOP2" s="201"/>
      <c r="GOQ2" s="201"/>
      <c r="GOR2" s="201"/>
      <c r="GOS2" s="201"/>
      <c r="GOT2" s="201"/>
      <c r="GOU2" s="201"/>
      <c r="GOV2" s="201"/>
      <c r="GOW2" s="201"/>
      <c r="GOX2" s="201"/>
      <c r="GOY2" s="201"/>
      <c r="GOZ2" s="201"/>
      <c r="GPA2" s="201"/>
      <c r="GPB2" s="201"/>
      <c r="GPC2" s="201"/>
      <c r="GPD2" s="201"/>
      <c r="GPE2" s="201"/>
      <c r="GPF2" s="201"/>
      <c r="GPG2" s="201"/>
      <c r="GPH2" s="201"/>
      <c r="GPI2" s="201"/>
      <c r="GPJ2" s="201"/>
      <c r="GPK2" s="201"/>
      <c r="GPL2" s="201"/>
      <c r="GPM2" s="201"/>
      <c r="GPN2" s="201"/>
      <c r="GPO2" s="201"/>
      <c r="GPP2" s="201"/>
      <c r="GPQ2" s="201"/>
      <c r="GPR2" s="201"/>
      <c r="GPS2" s="201"/>
      <c r="GPT2" s="201"/>
      <c r="GPU2" s="201"/>
      <c r="GPV2" s="201"/>
      <c r="GPW2" s="201"/>
      <c r="GPX2" s="201"/>
      <c r="GPY2" s="201"/>
      <c r="GPZ2" s="201"/>
      <c r="GQA2" s="201"/>
      <c r="GQB2" s="201"/>
      <c r="GQC2" s="201"/>
      <c r="GQD2" s="201"/>
      <c r="GQE2" s="201"/>
      <c r="GQF2" s="201"/>
      <c r="GQG2" s="201"/>
      <c r="GQH2" s="201"/>
      <c r="GQI2" s="201"/>
      <c r="GQJ2" s="201"/>
      <c r="GQK2" s="201"/>
      <c r="GQL2" s="201"/>
      <c r="GQM2" s="201"/>
      <c r="GQN2" s="201"/>
      <c r="GQO2" s="201"/>
      <c r="GQP2" s="201"/>
      <c r="GQQ2" s="201"/>
      <c r="GQR2" s="201"/>
      <c r="GQS2" s="201"/>
      <c r="GQT2" s="201"/>
      <c r="GQU2" s="201"/>
      <c r="GQV2" s="201"/>
      <c r="GQW2" s="201"/>
      <c r="GQX2" s="201"/>
      <c r="GQY2" s="201"/>
      <c r="GQZ2" s="201"/>
      <c r="GRA2" s="201"/>
      <c r="GRB2" s="201"/>
      <c r="GRC2" s="201"/>
      <c r="GRD2" s="201"/>
      <c r="GRE2" s="201"/>
      <c r="GRF2" s="201"/>
      <c r="GRG2" s="201"/>
      <c r="GRH2" s="201"/>
      <c r="GRI2" s="201"/>
      <c r="GRJ2" s="201"/>
      <c r="GRK2" s="201"/>
      <c r="GRL2" s="201"/>
      <c r="GRM2" s="201"/>
      <c r="GRN2" s="201"/>
      <c r="GRO2" s="201"/>
      <c r="GRP2" s="201"/>
      <c r="GRQ2" s="201"/>
      <c r="GRR2" s="201"/>
      <c r="GRS2" s="201"/>
      <c r="GRT2" s="201"/>
      <c r="GRU2" s="201"/>
      <c r="GRV2" s="201"/>
      <c r="GRW2" s="201"/>
      <c r="GRX2" s="201"/>
      <c r="GRY2" s="201"/>
      <c r="GRZ2" s="201"/>
      <c r="GSA2" s="201"/>
      <c r="GSB2" s="201"/>
      <c r="GSC2" s="201"/>
      <c r="GSD2" s="201"/>
      <c r="GSE2" s="201"/>
      <c r="GSF2" s="201"/>
      <c r="GSG2" s="201"/>
      <c r="GSH2" s="201"/>
      <c r="GSI2" s="201"/>
      <c r="GSJ2" s="201"/>
      <c r="GSK2" s="201"/>
      <c r="GSL2" s="201"/>
      <c r="GSM2" s="201"/>
      <c r="GSN2" s="201"/>
      <c r="GSO2" s="201"/>
      <c r="GSP2" s="201"/>
      <c r="GSQ2" s="201"/>
      <c r="GSR2" s="201"/>
      <c r="GSS2" s="201"/>
      <c r="GST2" s="201"/>
      <c r="GSU2" s="201"/>
      <c r="GSV2" s="201"/>
      <c r="GSW2" s="201"/>
      <c r="GSX2" s="201"/>
      <c r="GSY2" s="201"/>
      <c r="GSZ2" s="201"/>
      <c r="GTA2" s="201"/>
      <c r="GTB2" s="201"/>
      <c r="GTC2" s="201"/>
      <c r="GTD2" s="201"/>
      <c r="GTE2" s="201"/>
      <c r="GTF2" s="201"/>
      <c r="GTG2" s="201"/>
      <c r="GTH2" s="201"/>
      <c r="GTI2" s="201"/>
      <c r="GTJ2" s="201"/>
      <c r="GTK2" s="201"/>
      <c r="GTL2" s="201"/>
      <c r="GTM2" s="201"/>
      <c r="GTN2" s="201"/>
      <c r="GTO2" s="201"/>
      <c r="GTP2" s="201"/>
      <c r="GTQ2" s="201"/>
      <c r="GTR2" s="201"/>
      <c r="GTS2" s="201"/>
      <c r="GTT2" s="201"/>
      <c r="GTU2" s="201"/>
      <c r="GTV2" s="201"/>
      <c r="GTW2" s="201"/>
      <c r="GTX2" s="201"/>
      <c r="GTY2" s="201"/>
      <c r="GTZ2" s="201"/>
      <c r="GUA2" s="201"/>
      <c r="GUB2" s="201"/>
      <c r="GUC2" s="201"/>
      <c r="GUD2" s="201"/>
      <c r="GUE2" s="201"/>
      <c r="GUF2" s="201"/>
      <c r="GUG2" s="201"/>
      <c r="GUH2" s="201"/>
      <c r="GUI2" s="201"/>
      <c r="GUJ2" s="201"/>
      <c r="GUK2" s="201"/>
      <c r="GUL2" s="201"/>
      <c r="GUM2" s="201"/>
      <c r="GUN2" s="201"/>
      <c r="GUO2" s="201"/>
      <c r="GUP2" s="201"/>
      <c r="GUQ2" s="201"/>
      <c r="GUR2" s="201"/>
      <c r="GUS2" s="201"/>
      <c r="GUT2" s="201"/>
      <c r="GUU2" s="201"/>
      <c r="GUV2" s="201"/>
      <c r="GUW2" s="201"/>
      <c r="GUX2" s="201"/>
      <c r="GUY2" s="201"/>
      <c r="GUZ2" s="201"/>
      <c r="GVA2" s="201"/>
      <c r="GVB2" s="201"/>
      <c r="GVC2" s="201"/>
      <c r="GVD2" s="201"/>
      <c r="GVE2" s="201"/>
      <c r="GVF2" s="201"/>
      <c r="GVG2" s="201"/>
      <c r="GVH2" s="201"/>
      <c r="GVI2" s="201"/>
      <c r="GVJ2" s="201"/>
      <c r="GVK2" s="201"/>
      <c r="GVL2" s="201"/>
      <c r="GVM2" s="201"/>
      <c r="GVN2" s="201"/>
      <c r="GVO2" s="201"/>
      <c r="GVP2" s="201"/>
      <c r="GVQ2" s="201"/>
      <c r="GVR2" s="201"/>
      <c r="GVS2" s="201"/>
      <c r="GVT2" s="201"/>
      <c r="GVU2" s="201"/>
      <c r="GVV2" s="201"/>
      <c r="GVW2" s="201"/>
      <c r="GVX2" s="201"/>
      <c r="GVY2" s="201"/>
      <c r="GVZ2" s="201"/>
      <c r="GWA2" s="201"/>
      <c r="GWB2" s="201"/>
      <c r="GWC2" s="201"/>
      <c r="GWD2" s="201"/>
      <c r="GWE2" s="201"/>
      <c r="GWF2" s="201"/>
      <c r="GWG2" s="201"/>
      <c r="GWH2" s="201"/>
      <c r="GWI2" s="201"/>
      <c r="GWJ2" s="201"/>
      <c r="GWK2" s="201"/>
      <c r="GWL2" s="201"/>
      <c r="GWM2" s="201"/>
      <c r="GWN2" s="201"/>
      <c r="GWO2" s="201"/>
      <c r="GWP2" s="201"/>
      <c r="GWQ2" s="201"/>
      <c r="GWR2" s="201"/>
      <c r="GWS2" s="201"/>
      <c r="GWT2" s="201"/>
      <c r="GWU2" s="201"/>
      <c r="GWV2" s="201"/>
      <c r="GWW2" s="201"/>
      <c r="GWX2" s="201"/>
      <c r="GWY2" s="201"/>
      <c r="GWZ2" s="201"/>
      <c r="GXA2" s="201"/>
      <c r="GXB2" s="201"/>
      <c r="GXC2" s="201"/>
      <c r="GXD2" s="201"/>
      <c r="GXE2" s="201"/>
      <c r="GXF2" s="201"/>
      <c r="GXG2" s="201"/>
      <c r="GXH2" s="201"/>
      <c r="GXI2" s="201"/>
      <c r="GXJ2" s="201"/>
      <c r="GXK2" s="201"/>
      <c r="GXL2" s="201"/>
      <c r="GXM2" s="201"/>
      <c r="GXN2" s="201"/>
      <c r="GXO2" s="201"/>
      <c r="GXP2" s="201"/>
      <c r="GXQ2" s="201"/>
      <c r="GXR2" s="201"/>
      <c r="GXS2" s="201"/>
      <c r="GXT2" s="201"/>
      <c r="GXU2" s="201"/>
      <c r="GXV2" s="201"/>
      <c r="GXW2" s="201"/>
      <c r="GXX2" s="201"/>
      <c r="GXY2" s="201"/>
      <c r="GXZ2" s="201"/>
      <c r="GYA2" s="201"/>
      <c r="GYB2" s="201"/>
      <c r="GYC2" s="201"/>
      <c r="GYD2" s="201"/>
      <c r="GYE2" s="201"/>
      <c r="GYF2" s="201"/>
      <c r="GYG2" s="201"/>
      <c r="GYH2" s="201"/>
      <c r="GYI2" s="201"/>
      <c r="GYJ2" s="201"/>
      <c r="GYK2" s="201"/>
      <c r="GYL2" s="201"/>
      <c r="GYM2" s="201"/>
      <c r="GYN2" s="201"/>
      <c r="GYO2" s="201"/>
      <c r="GYP2" s="201"/>
      <c r="GYQ2" s="201"/>
      <c r="GYR2" s="201"/>
      <c r="GYS2" s="201"/>
      <c r="GYT2" s="201"/>
      <c r="GYU2" s="201"/>
      <c r="GYV2" s="201"/>
      <c r="GYW2" s="201"/>
      <c r="GYX2" s="201"/>
      <c r="GYY2" s="201"/>
      <c r="GYZ2" s="201"/>
      <c r="GZA2" s="201"/>
      <c r="GZB2" s="201"/>
      <c r="GZC2" s="201"/>
      <c r="GZD2" s="201"/>
      <c r="GZE2" s="201"/>
      <c r="GZF2" s="201"/>
      <c r="GZG2" s="201"/>
      <c r="GZH2" s="201"/>
      <c r="GZI2" s="201"/>
      <c r="GZJ2" s="201"/>
      <c r="GZK2" s="201"/>
      <c r="GZL2" s="201"/>
      <c r="GZM2" s="201"/>
      <c r="GZN2" s="201"/>
      <c r="GZO2" s="201"/>
      <c r="GZP2" s="201"/>
      <c r="GZQ2" s="201"/>
      <c r="GZR2" s="201"/>
      <c r="GZS2" s="201"/>
      <c r="GZT2" s="201"/>
      <c r="GZU2" s="201"/>
      <c r="GZV2" s="201"/>
      <c r="GZW2" s="201"/>
      <c r="GZX2" s="201"/>
      <c r="GZY2" s="201"/>
      <c r="GZZ2" s="201"/>
      <c r="HAA2" s="201"/>
      <c r="HAB2" s="201"/>
      <c r="HAC2" s="201"/>
      <c r="HAD2" s="201"/>
      <c r="HAE2" s="201"/>
      <c r="HAF2" s="201"/>
      <c r="HAG2" s="201"/>
      <c r="HAH2" s="201"/>
      <c r="HAI2" s="201"/>
      <c r="HAJ2" s="201"/>
      <c r="HAK2" s="201"/>
      <c r="HAL2" s="201"/>
      <c r="HAM2" s="201"/>
      <c r="HAN2" s="201"/>
      <c r="HAO2" s="201"/>
      <c r="HAP2" s="201"/>
      <c r="HAQ2" s="201"/>
      <c r="HAR2" s="201"/>
      <c r="HAS2" s="201"/>
      <c r="HAT2" s="201"/>
      <c r="HAU2" s="201"/>
      <c r="HAV2" s="201"/>
      <c r="HAW2" s="201"/>
      <c r="HAX2" s="201"/>
      <c r="HAY2" s="201"/>
      <c r="HAZ2" s="201"/>
      <c r="HBA2" s="201"/>
      <c r="HBB2" s="201"/>
      <c r="HBC2" s="201"/>
      <c r="HBD2" s="201"/>
      <c r="HBE2" s="201"/>
      <c r="HBF2" s="201"/>
      <c r="HBG2" s="201"/>
      <c r="HBH2" s="201"/>
      <c r="HBI2" s="201"/>
      <c r="HBJ2" s="201"/>
      <c r="HBK2" s="201"/>
      <c r="HBL2" s="201"/>
      <c r="HBM2" s="201"/>
      <c r="HBN2" s="201"/>
      <c r="HBO2" s="201"/>
      <c r="HBP2" s="201"/>
      <c r="HBQ2" s="201"/>
      <c r="HBR2" s="201"/>
      <c r="HBS2" s="201"/>
      <c r="HBT2" s="201"/>
      <c r="HBU2" s="201"/>
      <c r="HBV2" s="201"/>
      <c r="HBW2" s="201"/>
      <c r="HBX2" s="201"/>
      <c r="HBY2" s="201"/>
      <c r="HBZ2" s="201"/>
      <c r="HCA2" s="201"/>
      <c r="HCB2" s="201"/>
      <c r="HCC2" s="201"/>
      <c r="HCD2" s="201"/>
      <c r="HCE2" s="201"/>
      <c r="HCF2" s="201"/>
      <c r="HCG2" s="201"/>
      <c r="HCH2" s="201"/>
      <c r="HCI2" s="201"/>
      <c r="HCJ2" s="201"/>
      <c r="HCK2" s="201"/>
      <c r="HCL2" s="201"/>
      <c r="HCM2" s="201"/>
      <c r="HCN2" s="201"/>
      <c r="HCO2" s="201"/>
      <c r="HCP2" s="201"/>
      <c r="HCQ2" s="201"/>
      <c r="HCR2" s="201"/>
      <c r="HCS2" s="201"/>
      <c r="HCT2" s="201"/>
      <c r="HCU2" s="201"/>
      <c r="HCV2" s="201"/>
      <c r="HCW2" s="201"/>
      <c r="HCX2" s="201"/>
      <c r="HCY2" s="201"/>
      <c r="HCZ2" s="201"/>
      <c r="HDA2" s="201"/>
      <c r="HDB2" s="201"/>
      <c r="HDC2" s="201"/>
      <c r="HDD2" s="201"/>
      <c r="HDE2" s="201"/>
      <c r="HDF2" s="201"/>
      <c r="HDG2" s="201"/>
      <c r="HDH2" s="201"/>
      <c r="HDI2" s="201"/>
      <c r="HDJ2" s="201"/>
      <c r="HDK2" s="201"/>
      <c r="HDL2" s="201"/>
      <c r="HDM2" s="201"/>
      <c r="HDN2" s="201"/>
      <c r="HDO2" s="201"/>
      <c r="HDP2" s="201"/>
      <c r="HDQ2" s="201"/>
      <c r="HDR2" s="201"/>
      <c r="HDS2" s="201"/>
      <c r="HDT2" s="201"/>
      <c r="HDU2" s="201"/>
      <c r="HDV2" s="201"/>
      <c r="HDW2" s="201"/>
      <c r="HDX2" s="201"/>
      <c r="HDY2" s="201"/>
      <c r="HDZ2" s="201"/>
      <c r="HEA2" s="201"/>
      <c r="HEB2" s="201"/>
      <c r="HEC2" s="201"/>
      <c r="HED2" s="201"/>
      <c r="HEE2" s="201"/>
      <c r="HEF2" s="201"/>
      <c r="HEG2" s="201"/>
      <c r="HEH2" s="201"/>
      <c r="HEI2" s="201"/>
      <c r="HEJ2" s="201"/>
      <c r="HEK2" s="201"/>
      <c r="HEL2" s="201"/>
      <c r="HEM2" s="201"/>
      <c r="HEN2" s="201"/>
      <c r="HEO2" s="201"/>
      <c r="HEP2" s="201"/>
      <c r="HEQ2" s="201"/>
      <c r="HER2" s="201"/>
      <c r="HES2" s="201"/>
      <c r="HET2" s="201"/>
      <c r="HEU2" s="201"/>
      <c r="HEV2" s="201"/>
      <c r="HEW2" s="201"/>
      <c r="HEX2" s="201"/>
      <c r="HEY2" s="201"/>
      <c r="HEZ2" s="201"/>
      <c r="HFA2" s="201"/>
      <c r="HFB2" s="201"/>
      <c r="HFC2" s="201"/>
      <c r="HFD2" s="201"/>
      <c r="HFE2" s="201"/>
      <c r="HFF2" s="201"/>
      <c r="HFG2" s="201"/>
      <c r="HFH2" s="201"/>
      <c r="HFI2" s="201"/>
      <c r="HFJ2" s="201"/>
      <c r="HFK2" s="201"/>
      <c r="HFL2" s="201"/>
      <c r="HFM2" s="201"/>
      <c r="HFN2" s="201"/>
      <c r="HFO2" s="201"/>
      <c r="HFP2" s="201"/>
      <c r="HFQ2" s="201"/>
      <c r="HFR2" s="201"/>
      <c r="HFS2" s="201"/>
      <c r="HFT2" s="201"/>
      <c r="HFU2" s="201"/>
      <c r="HFV2" s="201"/>
      <c r="HFW2" s="201"/>
      <c r="HFX2" s="201"/>
      <c r="HFY2" s="201"/>
      <c r="HFZ2" s="201"/>
      <c r="HGA2" s="201"/>
      <c r="HGB2" s="201"/>
      <c r="HGC2" s="201"/>
      <c r="HGD2" s="201"/>
      <c r="HGE2" s="201"/>
      <c r="HGF2" s="201"/>
      <c r="HGG2" s="201"/>
      <c r="HGH2" s="201"/>
      <c r="HGI2" s="201"/>
      <c r="HGJ2" s="201"/>
      <c r="HGK2" s="201"/>
      <c r="HGL2" s="201"/>
      <c r="HGM2" s="201"/>
      <c r="HGN2" s="201"/>
      <c r="HGO2" s="201"/>
      <c r="HGP2" s="201"/>
      <c r="HGQ2" s="201"/>
      <c r="HGR2" s="201"/>
      <c r="HGS2" s="201"/>
      <c r="HGT2" s="201"/>
      <c r="HGU2" s="201"/>
      <c r="HGV2" s="201"/>
      <c r="HGW2" s="201"/>
      <c r="HGX2" s="201"/>
      <c r="HGY2" s="201"/>
      <c r="HGZ2" s="201"/>
      <c r="HHA2" s="201"/>
      <c r="HHB2" s="201"/>
      <c r="HHC2" s="201"/>
      <c r="HHD2" s="201"/>
      <c r="HHE2" s="201"/>
      <c r="HHF2" s="201"/>
      <c r="HHG2" s="201"/>
      <c r="HHH2" s="201"/>
      <c r="HHI2" s="201"/>
      <c r="HHJ2" s="201"/>
      <c r="HHK2" s="201"/>
      <c r="HHL2" s="201"/>
      <c r="HHM2" s="201"/>
      <c r="HHN2" s="201"/>
      <c r="HHO2" s="201"/>
      <c r="HHP2" s="201"/>
      <c r="HHQ2" s="201"/>
      <c r="HHR2" s="201"/>
      <c r="HHS2" s="201"/>
      <c r="HHT2" s="201"/>
      <c r="HHU2" s="201"/>
      <c r="HHV2" s="201"/>
      <c r="HHW2" s="201"/>
      <c r="HHX2" s="201"/>
      <c r="HHY2" s="201"/>
      <c r="HHZ2" s="201"/>
      <c r="HIA2" s="201"/>
      <c r="HIB2" s="201"/>
      <c r="HIC2" s="201"/>
      <c r="HID2" s="201"/>
      <c r="HIE2" s="201"/>
      <c r="HIF2" s="201"/>
      <c r="HIG2" s="201"/>
      <c r="HIH2" s="201"/>
      <c r="HII2" s="201"/>
      <c r="HIJ2" s="201"/>
      <c r="HIK2" s="201"/>
      <c r="HIL2" s="201"/>
      <c r="HIM2" s="201"/>
      <c r="HIN2" s="201"/>
      <c r="HIO2" s="201"/>
      <c r="HIP2" s="201"/>
      <c r="HIQ2" s="201"/>
      <c r="HIR2" s="201"/>
      <c r="HIS2" s="201"/>
      <c r="HIT2" s="201"/>
      <c r="HIU2" s="201"/>
      <c r="HIV2" s="201"/>
      <c r="HIW2" s="201"/>
      <c r="HIX2" s="201"/>
      <c r="HIY2" s="201"/>
      <c r="HIZ2" s="201"/>
      <c r="HJA2" s="201"/>
      <c r="HJB2" s="201"/>
      <c r="HJC2" s="201"/>
      <c r="HJD2" s="201"/>
      <c r="HJE2" s="201"/>
      <c r="HJF2" s="201"/>
      <c r="HJG2" s="201"/>
      <c r="HJH2" s="201"/>
      <c r="HJI2" s="201"/>
      <c r="HJJ2" s="201"/>
      <c r="HJK2" s="201"/>
      <c r="HJL2" s="201"/>
      <c r="HJM2" s="201"/>
      <c r="HJN2" s="201"/>
      <c r="HJO2" s="201"/>
      <c r="HJP2" s="201"/>
      <c r="HJQ2" s="201"/>
      <c r="HJR2" s="201"/>
      <c r="HJS2" s="201"/>
      <c r="HJT2" s="201"/>
      <c r="HJU2" s="201"/>
      <c r="HJV2" s="201"/>
      <c r="HJW2" s="201"/>
      <c r="HJX2" s="201"/>
      <c r="HJY2" s="201"/>
      <c r="HJZ2" s="201"/>
      <c r="HKA2" s="201"/>
      <c r="HKB2" s="201"/>
      <c r="HKC2" s="201"/>
      <c r="HKD2" s="201"/>
      <c r="HKE2" s="201"/>
      <c r="HKF2" s="201"/>
      <c r="HKG2" s="201"/>
      <c r="HKH2" s="201"/>
      <c r="HKI2" s="201"/>
      <c r="HKJ2" s="201"/>
      <c r="HKK2" s="201"/>
      <c r="HKL2" s="201"/>
      <c r="HKM2" s="201"/>
      <c r="HKN2" s="201"/>
      <c r="HKO2" s="201"/>
      <c r="HKP2" s="201"/>
      <c r="HKQ2" s="201"/>
      <c r="HKR2" s="201"/>
      <c r="HKS2" s="201"/>
      <c r="HKT2" s="201"/>
      <c r="HKU2" s="201"/>
      <c r="HKV2" s="201"/>
      <c r="HKW2" s="201"/>
      <c r="HKX2" s="201"/>
      <c r="HKY2" s="201"/>
      <c r="HKZ2" s="201"/>
      <c r="HLA2" s="201"/>
      <c r="HLB2" s="201"/>
      <c r="HLC2" s="201"/>
      <c r="HLD2" s="201"/>
      <c r="HLE2" s="201"/>
      <c r="HLF2" s="201"/>
      <c r="HLG2" s="201"/>
      <c r="HLH2" s="201"/>
      <c r="HLI2" s="201"/>
      <c r="HLJ2" s="201"/>
      <c r="HLK2" s="201"/>
      <c r="HLL2" s="201"/>
      <c r="HLM2" s="201"/>
      <c r="HLN2" s="201"/>
      <c r="HLO2" s="201"/>
      <c r="HLP2" s="201"/>
      <c r="HLQ2" s="201"/>
      <c r="HLR2" s="201"/>
      <c r="HLS2" s="201"/>
      <c r="HLT2" s="201"/>
      <c r="HLU2" s="201"/>
      <c r="HLV2" s="201"/>
      <c r="HLW2" s="201"/>
      <c r="HLX2" s="201"/>
      <c r="HLY2" s="201"/>
      <c r="HLZ2" s="201"/>
      <c r="HMA2" s="201"/>
      <c r="HMB2" s="201"/>
      <c r="HMC2" s="201"/>
      <c r="HMD2" s="201"/>
      <c r="HME2" s="201"/>
      <c r="HMF2" s="201"/>
      <c r="HMG2" s="201"/>
      <c r="HMH2" s="201"/>
      <c r="HMI2" s="201"/>
      <c r="HMJ2" s="201"/>
      <c r="HMK2" s="201"/>
      <c r="HML2" s="201"/>
      <c r="HMM2" s="201"/>
      <c r="HMN2" s="201"/>
      <c r="HMO2" s="201"/>
      <c r="HMP2" s="201"/>
      <c r="HMQ2" s="201"/>
      <c r="HMR2" s="201"/>
      <c r="HMS2" s="201"/>
      <c r="HMT2" s="201"/>
      <c r="HMU2" s="201"/>
      <c r="HMV2" s="201"/>
      <c r="HMW2" s="201"/>
      <c r="HMX2" s="201"/>
      <c r="HMY2" s="201"/>
      <c r="HMZ2" s="201"/>
      <c r="HNA2" s="201"/>
      <c r="HNB2" s="201"/>
      <c r="HNC2" s="201"/>
      <c r="HND2" s="201"/>
      <c r="HNE2" s="201"/>
      <c r="HNF2" s="201"/>
      <c r="HNG2" s="201"/>
      <c r="HNH2" s="201"/>
      <c r="HNI2" s="201"/>
      <c r="HNJ2" s="201"/>
      <c r="HNK2" s="201"/>
      <c r="HNL2" s="201"/>
      <c r="HNM2" s="201"/>
      <c r="HNN2" s="201"/>
      <c r="HNO2" s="201"/>
      <c r="HNP2" s="201"/>
      <c r="HNQ2" s="201"/>
      <c r="HNR2" s="201"/>
      <c r="HNS2" s="201"/>
      <c r="HNT2" s="201"/>
      <c r="HNU2" s="201"/>
      <c r="HNV2" s="201"/>
      <c r="HNW2" s="201"/>
      <c r="HNX2" s="201"/>
      <c r="HNY2" s="201"/>
      <c r="HNZ2" s="201"/>
      <c r="HOA2" s="201"/>
      <c r="HOB2" s="201"/>
      <c r="HOC2" s="201"/>
      <c r="HOD2" s="201"/>
      <c r="HOE2" s="201"/>
      <c r="HOF2" s="201"/>
      <c r="HOG2" s="201"/>
      <c r="HOH2" s="201"/>
      <c r="HOI2" s="201"/>
      <c r="HOJ2" s="201"/>
      <c r="HOK2" s="201"/>
      <c r="HOL2" s="201"/>
      <c r="HOM2" s="201"/>
      <c r="HON2" s="201"/>
      <c r="HOO2" s="201"/>
      <c r="HOP2" s="201"/>
      <c r="HOQ2" s="201"/>
      <c r="HOR2" s="201"/>
      <c r="HOS2" s="201"/>
      <c r="HOT2" s="201"/>
      <c r="HOU2" s="201"/>
      <c r="HOV2" s="201"/>
      <c r="HOW2" s="201"/>
      <c r="HOX2" s="201"/>
      <c r="HOY2" s="201"/>
      <c r="HOZ2" s="201"/>
      <c r="HPA2" s="201"/>
      <c r="HPB2" s="201"/>
      <c r="HPC2" s="201"/>
      <c r="HPD2" s="201"/>
      <c r="HPE2" s="201"/>
      <c r="HPF2" s="201"/>
      <c r="HPG2" s="201"/>
      <c r="HPH2" s="201"/>
      <c r="HPI2" s="201"/>
      <c r="HPJ2" s="201"/>
      <c r="HPK2" s="201"/>
      <c r="HPL2" s="201"/>
      <c r="HPM2" s="201"/>
      <c r="HPN2" s="201"/>
      <c r="HPO2" s="201"/>
      <c r="HPP2" s="201"/>
      <c r="HPQ2" s="201"/>
      <c r="HPR2" s="201"/>
      <c r="HPS2" s="201"/>
      <c r="HPT2" s="201"/>
      <c r="HPU2" s="201"/>
      <c r="HPV2" s="201"/>
      <c r="HPW2" s="201"/>
      <c r="HPX2" s="201"/>
      <c r="HPY2" s="201"/>
      <c r="HPZ2" s="201"/>
      <c r="HQA2" s="201"/>
      <c r="HQB2" s="201"/>
      <c r="HQC2" s="201"/>
      <c r="HQD2" s="201"/>
      <c r="HQE2" s="201"/>
      <c r="HQF2" s="201"/>
      <c r="HQG2" s="201"/>
      <c r="HQH2" s="201"/>
      <c r="HQI2" s="201"/>
      <c r="HQJ2" s="201"/>
      <c r="HQK2" s="201"/>
      <c r="HQL2" s="201"/>
      <c r="HQM2" s="201"/>
      <c r="HQN2" s="201"/>
      <c r="HQO2" s="201"/>
      <c r="HQP2" s="201"/>
      <c r="HQQ2" s="201"/>
      <c r="HQR2" s="201"/>
      <c r="HQS2" s="201"/>
      <c r="HQT2" s="201"/>
      <c r="HQU2" s="201"/>
      <c r="HQV2" s="201"/>
      <c r="HQW2" s="201"/>
      <c r="HQX2" s="201"/>
      <c r="HQY2" s="201"/>
      <c r="HQZ2" s="201"/>
      <c r="HRA2" s="201"/>
      <c r="HRB2" s="201"/>
      <c r="HRC2" s="201"/>
      <c r="HRD2" s="201"/>
      <c r="HRE2" s="201"/>
      <c r="HRF2" s="201"/>
      <c r="HRG2" s="201"/>
      <c r="HRH2" s="201"/>
      <c r="HRI2" s="201"/>
      <c r="HRJ2" s="201"/>
      <c r="HRK2" s="201"/>
      <c r="HRL2" s="201"/>
      <c r="HRM2" s="201"/>
      <c r="HRN2" s="201"/>
      <c r="HRO2" s="201"/>
      <c r="HRP2" s="201"/>
      <c r="HRQ2" s="201"/>
      <c r="HRR2" s="201"/>
      <c r="HRS2" s="201"/>
      <c r="HRT2" s="201"/>
      <c r="HRU2" s="201"/>
      <c r="HRV2" s="201"/>
      <c r="HRW2" s="201"/>
      <c r="HRX2" s="201"/>
      <c r="HRY2" s="201"/>
      <c r="HRZ2" s="201"/>
      <c r="HSA2" s="201"/>
      <c r="HSB2" s="201"/>
      <c r="HSC2" s="201"/>
      <c r="HSD2" s="201"/>
      <c r="HSE2" s="201"/>
      <c r="HSF2" s="201"/>
      <c r="HSG2" s="201"/>
      <c r="HSH2" s="201"/>
      <c r="HSI2" s="201"/>
      <c r="HSJ2" s="201"/>
      <c r="HSK2" s="201"/>
      <c r="HSL2" s="201"/>
      <c r="HSM2" s="201"/>
      <c r="HSN2" s="201"/>
      <c r="HSO2" s="201"/>
      <c r="HSP2" s="201"/>
      <c r="HSQ2" s="201"/>
      <c r="HSR2" s="201"/>
      <c r="HSS2" s="201"/>
      <c r="HST2" s="201"/>
      <c r="HSU2" s="201"/>
      <c r="HSV2" s="201"/>
      <c r="HSW2" s="201"/>
      <c r="HSX2" s="201"/>
      <c r="HSY2" s="201"/>
      <c r="HSZ2" s="201"/>
      <c r="HTA2" s="201"/>
      <c r="HTB2" s="201"/>
      <c r="HTC2" s="201"/>
      <c r="HTD2" s="201"/>
      <c r="HTE2" s="201"/>
      <c r="HTF2" s="201"/>
      <c r="HTG2" s="201"/>
      <c r="HTH2" s="201"/>
      <c r="HTI2" s="201"/>
      <c r="HTJ2" s="201"/>
      <c r="HTK2" s="201"/>
      <c r="HTL2" s="201"/>
      <c r="HTM2" s="201"/>
      <c r="HTN2" s="201"/>
      <c r="HTO2" s="201"/>
      <c r="HTP2" s="201"/>
      <c r="HTQ2" s="201"/>
      <c r="HTR2" s="201"/>
      <c r="HTS2" s="201"/>
      <c r="HTT2" s="201"/>
      <c r="HTU2" s="201"/>
      <c r="HTV2" s="201"/>
      <c r="HTW2" s="201"/>
      <c r="HTX2" s="201"/>
      <c r="HTY2" s="201"/>
      <c r="HTZ2" s="201"/>
      <c r="HUA2" s="201"/>
      <c r="HUB2" s="201"/>
      <c r="HUC2" s="201"/>
      <c r="HUD2" s="201"/>
      <c r="HUE2" s="201"/>
      <c r="HUF2" s="201"/>
      <c r="HUG2" s="201"/>
      <c r="HUH2" s="201"/>
      <c r="HUI2" s="201"/>
      <c r="HUJ2" s="201"/>
      <c r="HUK2" s="201"/>
      <c r="HUL2" s="201"/>
      <c r="HUM2" s="201"/>
      <c r="HUN2" s="201"/>
      <c r="HUO2" s="201"/>
      <c r="HUP2" s="201"/>
      <c r="HUQ2" s="201"/>
      <c r="HUR2" s="201"/>
      <c r="HUS2" s="201"/>
      <c r="HUT2" s="201"/>
      <c r="HUU2" s="201"/>
      <c r="HUV2" s="201"/>
      <c r="HUW2" s="201"/>
      <c r="HUX2" s="201"/>
      <c r="HUY2" s="201"/>
      <c r="HUZ2" s="201"/>
      <c r="HVA2" s="201"/>
      <c r="HVB2" s="201"/>
      <c r="HVC2" s="201"/>
      <c r="HVD2" s="201"/>
      <c r="HVE2" s="201"/>
      <c r="HVF2" s="201"/>
      <c r="HVG2" s="201"/>
      <c r="HVH2" s="201"/>
      <c r="HVI2" s="201"/>
      <c r="HVJ2" s="201"/>
      <c r="HVK2" s="201"/>
      <c r="HVL2" s="201"/>
      <c r="HVM2" s="201"/>
      <c r="HVN2" s="201"/>
      <c r="HVO2" s="201"/>
      <c r="HVP2" s="201"/>
      <c r="HVQ2" s="201"/>
      <c r="HVR2" s="201"/>
      <c r="HVS2" s="201"/>
      <c r="HVT2" s="201"/>
      <c r="HVU2" s="201"/>
      <c r="HVV2" s="201"/>
      <c r="HVW2" s="201"/>
      <c r="HVX2" s="201"/>
      <c r="HVY2" s="201"/>
      <c r="HVZ2" s="201"/>
      <c r="HWA2" s="201"/>
      <c r="HWB2" s="201"/>
      <c r="HWC2" s="201"/>
      <c r="HWD2" s="201"/>
      <c r="HWE2" s="201"/>
      <c r="HWF2" s="201"/>
      <c r="HWG2" s="201"/>
      <c r="HWH2" s="201"/>
      <c r="HWI2" s="201"/>
      <c r="HWJ2" s="201"/>
      <c r="HWK2" s="201"/>
      <c r="HWL2" s="201"/>
      <c r="HWM2" s="201"/>
      <c r="HWN2" s="201"/>
      <c r="HWO2" s="201"/>
      <c r="HWP2" s="201"/>
      <c r="HWQ2" s="201"/>
      <c r="HWR2" s="201"/>
      <c r="HWS2" s="201"/>
      <c r="HWT2" s="201"/>
      <c r="HWU2" s="201"/>
      <c r="HWV2" s="201"/>
      <c r="HWW2" s="201"/>
      <c r="HWX2" s="201"/>
      <c r="HWY2" s="201"/>
      <c r="HWZ2" s="201"/>
      <c r="HXA2" s="201"/>
      <c r="HXB2" s="201"/>
      <c r="HXC2" s="201"/>
      <c r="HXD2" s="201"/>
      <c r="HXE2" s="201"/>
      <c r="HXF2" s="201"/>
      <c r="HXG2" s="201"/>
      <c r="HXH2" s="201"/>
      <c r="HXI2" s="201"/>
      <c r="HXJ2" s="201"/>
      <c r="HXK2" s="201"/>
      <c r="HXL2" s="201"/>
      <c r="HXM2" s="201"/>
      <c r="HXN2" s="201"/>
      <c r="HXO2" s="201"/>
      <c r="HXP2" s="201"/>
      <c r="HXQ2" s="201"/>
      <c r="HXR2" s="201"/>
      <c r="HXS2" s="201"/>
      <c r="HXT2" s="201"/>
      <c r="HXU2" s="201"/>
      <c r="HXV2" s="201"/>
      <c r="HXW2" s="201"/>
      <c r="HXX2" s="201"/>
      <c r="HXY2" s="201"/>
      <c r="HXZ2" s="201"/>
      <c r="HYA2" s="201"/>
      <c r="HYB2" s="201"/>
      <c r="HYC2" s="201"/>
      <c r="HYD2" s="201"/>
      <c r="HYE2" s="201"/>
      <c r="HYF2" s="201"/>
      <c r="HYG2" s="201"/>
      <c r="HYH2" s="201"/>
      <c r="HYI2" s="201"/>
      <c r="HYJ2" s="201"/>
      <c r="HYK2" s="201"/>
      <c r="HYL2" s="201"/>
      <c r="HYM2" s="201"/>
      <c r="HYN2" s="201"/>
      <c r="HYO2" s="201"/>
      <c r="HYP2" s="201"/>
      <c r="HYQ2" s="201"/>
      <c r="HYR2" s="201"/>
      <c r="HYS2" s="201"/>
      <c r="HYT2" s="201"/>
      <c r="HYU2" s="201"/>
      <c r="HYV2" s="201"/>
      <c r="HYW2" s="201"/>
      <c r="HYX2" s="201"/>
      <c r="HYY2" s="201"/>
      <c r="HYZ2" s="201"/>
      <c r="HZA2" s="201"/>
      <c r="HZB2" s="201"/>
      <c r="HZC2" s="201"/>
      <c r="HZD2" s="201"/>
      <c r="HZE2" s="201"/>
      <c r="HZF2" s="201"/>
      <c r="HZG2" s="201"/>
      <c r="HZH2" s="201"/>
      <c r="HZI2" s="201"/>
      <c r="HZJ2" s="201"/>
      <c r="HZK2" s="201"/>
      <c r="HZL2" s="201"/>
      <c r="HZM2" s="201"/>
      <c r="HZN2" s="201"/>
      <c r="HZO2" s="201"/>
      <c r="HZP2" s="201"/>
      <c r="HZQ2" s="201"/>
      <c r="HZR2" s="201"/>
      <c r="HZS2" s="201"/>
      <c r="HZT2" s="201"/>
      <c r="HZU2" s="201"/>
      <c r="HZV2" s="201"/>
      <c r="HZW2" s="201"/>
      <c r="HZX2" s="201"/>
      <c r="HZY2" s="201"/>
      <c r="HZZ2" s="201"/>
      <c r="IAA2" s="201"/>
      <c r="IAB2" s="201"/>
      <c r="IAC2" s="201"/>
      <c r="IAD2" s="201"/>
      <c r="IAE2" s="201"/>
      <c r="IAF2" s="201"/>
      <c r="IAG2" s="201"/>
      <c r="IAH2" s="201"/>
      <c r="IAI2" s="201"/>
      <c r="IAJ2" s="201"/>
      <c r="IAK2" s="201"/>
      <c r="IAL2" s="201"/>
      <c r="IAM2" s="201"/>
      <c r="IAN2" s="201"/>
      <c r="IAO2" s="201"/>
      <c r="IAP2" s="201"/>
      <c r="IAQ2" s="201"/>
      <c r="IAR2" s="201"/>
      <c r="IAS2" s="201"/>
      <c r="IAT2" s="201"/>
      <c r="IAU2" s="201"/>
      <c r="IAV2" s="201"/>
      <c r="IAW2" s="201"/>
      <c r="IAX2" s="201"/>
      <c r="IAY2" s="201"/>
      <c r="IAZ2" s="201"/>
      <c r="IBA2" s="201"/>
      <c r="IBB2" s="201"/>
      <c r="IBC2" s="201"/>
      <c r="IBD2" s="201"/>
      <c r="IBE2" s="201"/>
      <c r="IBF2" s="201"/>
      <c r="IBG2" s="201"/>
      <c r="IBH2" s="201"/>
      <c r="IBI2" s="201"/>
      <c r="IBJ2" s="201"/>
      <c r="IBK2" s="201"/>
      <c r="IBL2" s="201"/>
      <c r="IBM2" s="201"/>
      <c r="IBN2" s="201"/>
      <c r="IBO2" s="201"/>
      <c r="IBP2" s="201"/>
      <c r="IBQ2" s="201"/>
      <c r="IBR2" s="201"/>
      <c r="IBS2" s="201"/>
      <c r="IBT2" s="201"/>
      <c r="IBU2" s="201"/>
      <c r="IBV2" s="201"/>
      <c r="IBW2" s="201"/>
      <c r="IBX2" s="201"/>
      <c r="IBY2" s="201"/>
      <c r="IBZ2" s="201"/>
      <c r="ICA2" s="201"/>
      <c r="ICB2" s="201"/>
      <c r="ICC2" s="201"/>
      <c r="ICD2" s="201"/>
      <c r="ICE2" s="201"/>
      <c r="ICF2" s="201"/>
      <c r="ICG2" s="201"/>
      <c r="ICH2" s="201"/>
      <c r="ICI2" s="201"/>
      <c r="ICJ2" s="201"/>
      <c r="ICK2" s="201"/>
      <c r="ICL2" s="201"/>
      <c r="ICM2" s="201"/>
      <c r="ICN2" s="201"/>
      <c r="ICO2" s="201"/>
      <c r="ICP2" s="201"/>
      <c r="ICQ2" s="201"/>
      <c r="ICR2" s="201"/>
      <c r="ICS2" s="201"/>
      <c r="ICT2" s="201"/>
      <c r="ICU2" s="201"/>
      <c r="ICV2" s="201"/>
      <c r="ICW2" s="201"/>
      <c r="ICX2" s="201"/>
      <c r="ICY2" s="201"/>
      <c r="ICZ2" s="201"/>
      <c r="IDA2" s="201"/>
      <c r="IDB2" s="201"/>
      <c r="IDC2" s="201"/>
      <c r="IDD2" s="201"/>
      <c r="IDE2" s="201"/>
      <c r="IDF2" s="201"/>
      <c r="IDG2" s="201"/>
      <c r="IDH2" s="201"/>
      <c r="IDI2" s="201"/>
      <c r="IDJ2" s="201"/>
      <c r="IDK2" s="201"/>
      <c r="IDL2" s="201"/>
      <c r="IDM2" s="201"/>
      <c r="IDN2" s="201"/>
      <c r="IDO2" s="201"/>
      <c r="IDP2" s="201"/>
      <c r="IDQ2" s="201"/>
      <c r="IDR2" s="201"/>
      <c r="IDS2" s="201"/>
      <c r="IDT2" s="201"/>
      <c r="IDU2" s="201"/>
      <c r="IDV2" s="201"/>
      <c r="IDW2" s="201"/>
      <c r="IDX2" s="201"/>
      <c r="IDY2" s="201"/>
      <c r="IDZ2" s="201"/>
      <c r="IEA2" s="201"/>
      <c r="IEB2" s="201"/>
      <c r="IEC2" s="201"/>
      <c r="IED2" s="201"/>
      <c r="IEE2" s="201"/>
      <c r="IEF2" s="201"/>
      <c r="IEG2" s="201"/>
      <c r="IEH2" s="201"/>
      <c r="IEI2" s="201"/>
      <c r="IEJ2" s="201"/>
      <c r="IEK2" s="201"/>
      <c r="IEL2" s="201"/>
      <c r="IEM2" s="201"/>
      <c r="IEN2" s="201"/>
      <c r="IEO2" s="201"/>
      <c r="IEP2" s="201"/>
      <c r="IEQ2" s="201"/>
      <c r="IER2" s="201"/>
      <c r="IES2" s="201"/>
      <c r="IET2" s="201"/>
      <c r="IEU2" s="201"/>
      <c r="IEV2" s="201"/>
      <c r="IEW2" s="201"/>
      <c r="IEX2" s="201"/>
      <c r="IEY2" s="201"/>
      <c r="IEZ2" s="201"/>
      <c r="IFA2" s="201"/>
      <c r="IFB2" s="201"/>
      <c r="IFC2" s="201"/>
      <c r="IFD2" s="201"/>
      <c r="IFE2" s="201"/>
      <c r="IFF2" s="201"/>
      <c r="IFG2" s="201"/>
      <c r="IFH2" s="201"/>
      <c r="IFI2" s="201"/>
      <c r="IFJ2" s="201"/>
      <c r="IFK2" s="201"/>
      <c r="IFL2" s="201"/>
      <c r="IFM2" s="201"/>
      <c r="IFN2" s="201"/>
      <c r="IFO2" s="201"/>
      <c r="IFP2" s="201"/>
      <c r="IFQ2" s="201"/>
      <c r="IFR2" s="201"/>
      <c r="IFS2" s="201"/>
      <c r="IFT2" s="201"/>
      <c r="IFU2" s="201"/>
      <c r="IFV2" s="201"/>
      <c r="IFW2" s="201"/>
      <c r="IFX2" s="201"/>
      <c r="IFY2" s="201"/>
      <c r="IFZ2" s="201"/>
      <c r="IGA2" s="201"/>
      <c r="IGB2" s="201"/>
      <c r="IGC2" s="201"/>
      <c r="IGD2" s="201"/>
      <c r="IGE2" s="201"/>
      <c r="IGF2" s="201"/>
      <c r="IGG2" s="201"/>
      <c r="IGH2" s="201"/>
      <c r="IGI2" s="201"/>
      <c r="IGJ2" s="201"/>
      <c r="IGK2" s="201"/>
      <c r="IGL2" s="201"/>
      <c r="IGM2" s="201"/>
      <c r="IGN2" s="201"/>
      <c r="IGO2" s="201"/>
      <c r="IGP2" s="201"/>
      <c r="IGQ2" s="201"/>
      <c r="IGR2" s="201"/>
      <c r="IGS2" s="201"/>
      <c r="IGT2" s="201"/>
      <c r="IGU2" s="201"/>
      <c r="IGV2" s="201"/>
      <c r="IGW2" s="201"/>
      <c r="IGX2" s="201"/>
      <c r="IGY2" s="201"/>
      <c r="IGZ2" s="201"/>
      <c r="IHA2" s="201"/>
      <c r="IHB2" s="201"/>
      <c r="IHC2" s="201"/>
      <c r="IHD2" s="201"/>
      <c r="IHE2" s="201"/>
      <c r="IHF2" s="201"/>
      <c r="IHG2" s="201"/>
      <c r="IHH2" s="201"/>
      <c r="IHI2" s="201"/>
      <c r="IHJ2" s="201"/>
      <c r="IHK2" s="201"/>
      <c r="IHL2" s="201"/>
      <c r="IHM2" s="201"/>
      <c r="IHN2" s="201"/>
      <c r="IHO2" s="201"/>
      <c r="IHP2" s="201"/>
      <c r="IHQ2" s="201"/>
      <c r="IHR2" s="201"/>
      <c r="IHS2" s="201"/>
      <c r="IHT2" s="201"/>
      <c r="IHU2" s="201"/>
      <c r="IHV2" s="201"/>
      <c r="IHW2" s="201"/>
      <c r="IHX2" s="201"/>
      <c r="IHY2" s="201"/>
      <c r="IHZ2" s="201"/>
      <c r="IIA2" s="201"/>
      <c r="IIB2" s="201"/>
      <c r="IIC2" s="201"/>
      <c r="IID2" s="201"/>
      <c r="IIE2" s="201"/>
      <c r="IIF2" s="201"/>
      <c r="IIG2" s="201"/>
      <c r="IIH2" s="201"/>
      <c r="III2" s="201"/>
      <c r="IIJ2" s="201"/>
      <c r="IIK2" s="201"/>
      <c r="IIL2" s="201"/>
      <c r="IIM2" s="201"/>
      <c r="IIN2" s="201"/>
      <c r="IIO2" s="201"/>
      <c r="IIP2" s="201"/>
      <c r="IIQ2" s="201"/>
      <c r="IIR2" s="201"/>
      <c r="IIS2" s="201"/>
      <c r="IIT2" s="201"/>
      <c r="IIU2" s="201"/>
      <c r="IIV2" s="201"/>
      <c r="IIW2" s="201"/>
      <c r="IIX2" s="201"/>
      <c r="IIY2" s="201"/>
      <c r="IIZ2" s="201"/>
      <c r="IJA2" s="201"/>
      <c r="IJB2" s="201"/>
      <c r="IJC2" s="201"/>
      <c r="IJD2" s="201"/>
      <c r="IJE2" s="201"/>
      <c r="IJF2" s="201"/>
      <c r="IJG2" s="201"/>
      <c r="IJH2" s="201"/>
      <c r="IJI2" s="201"/>
      <c r="IJJ2" s="201"/>
      <c r="IJK2" s="201"/>
      <c r="IJL2" s="201"/>
      <c r="IJM2" s="201"/>
      <c r="IJN2" s="201"/>
      <c r="IJO2" s="201"/>
      <c r="IJP2" s="201"/>
      <c r="IJQ2" s="201"/>
      <c r="IJR2" s="201"/>
      <c r="IJS2" s="201"/>
      <c r="IJT2" s="201"/>
      <c r="IJU2" s="201"/>
      <c r="IJV2" s="201"/>
      <c r="IJW2" s="201"/>
      <c r="IJX2" s="201"/>
      <c r="IJY2" s="201"/>
      <c r="IJZ2" s="201"/>
      <c r="IKA2" s="201"/>
      <c r="IKB2" s="201"/>
      <c r="IKC2" s="201"/>
      <c r="IKD2" s="201"/>
      <c r="IKE2" s="201"/>
      <c r="IKF2" s="201"/>
      <c r="IKG2" s="201"/>
      <c r="IKH2" s="201"/>
      <c r="IKI2" s="201"/>
      <c r="IKJ2" s="201"/>
      <c r="IKK2" s="201"/>
      <c r="IKL2" s="201"/>
      <c r="IKM2" s="201"/>
      <c r="IKN2" s="201"/>
      <c r="IKO2" s="201"/>
      <c r="IKP2" s="201"/>
      <c r="IKQ2" s="201"/>
      <c r="IKR2" s="201"/>
      <c r="IKS2" s="201"/>
      <c r="IKT2" s="201"/>
      <c r="IKU2" s="201"/>
      <c r="IKV2" s="201"/>
      <c r="IKW2" s="201"/>
      <c r="IKX2" s="201"/>
      <c r="IKY2" s="201"/>
      <c r="IKZ2" s="201"/>
      <c r="ILA2" s="201"/>
      <c r="ILB2" s="201"/>
      <c r="ILC2" s="201"/>
      <c r="ILD2" s="201"/>
      <c r="ILE2" s="201"/>
      <c r="ILF2" s="201"/>
      <c r="ILG2" s="201"/>
      <c r="ILH2" s="201"/>
      <c r="ILI2" s="201"/>
      <c r="ILJ2" s="201"/>
      <c r="ILK2" s="201"/>
      <c r="ILL2" s="201"/>
      <c r="ILM2" s="201"/>
      <c r="ILN2" s="201"/>
      <c r="ILO2" s="201"/>
      <c r="ILP2" s="201"/>
      <c r="ILQ2" s="201"/>
      <c r="ILR2" s="201"/>
      <c r="ILS2" s="201"/>
      <c r="ILT2" s="201"/>
      <c r="ILU2" s="201"/>
      <c r="ILV2" s="201"/>
      <c r="ILW2" s="201"/>
      <c r="ILX2" s="201"/>
      <c r="ILY2" s="201"/>
      <c r="ILZ2" s="201"/>
      <c r="IMA2" s="201"/>
      <c r="IMB2" s="201"/>
      <c r="IMC2" s="201"/>
      <c r="IMD2" s="201"/>
      <c r="IME2" s="201"/>
      <c r="IMF2" s="201"/>
      <c r="IMG2" s="201"/>
      <c r="IMH2" s="201"/>
      <c r="IMI2" s="201"/>
      <c r="IMJ2" s="201"/>
      <c r="IMK2" s="201"/>
      <c r="IML2" s="201"/>
      <c r="IMM2" s="201"/>
      <c r="IMN2" s="201"/>
      <c r="IMO2" s="201"/>
      <c r="IMP2" s="201"/>
      <c r="IMQ2" s="201"/>
      <c r="IMR2" s="201"/>
      <c r="IMS2" s="201"/>
      <c r="IMT2" s="201"/>
      <c r="IMU2" s="201"/>
      <c r="IMV2" s="201"/>
      <c r="IMW2" s="201"/>
      <c r="IMX2" s="201"/>
      <c r="IMY2" s="201"/>
      <c r="IMZ2" s="201"/>
      <c r="INA2" s="201"/>
      <c r="INB2" s="201"/>
      <c r="INC2" s="201"/>
      <c r="IND2" s="201"/>
      <c r="INE2" s="201"/>
      <c r="INF2" s="201"/>
      <c r="ING2" s="201"/>
      <c r="INH2" s="201"/>
      <c r="INI2" s="201"/>
      <c r="INJ2" s="201"/>
      <c r="INK2" s="201"/>
      <c r="INL2" s="201"/>
      <c r="INM2" s="201"/>
      <c r="INN2" s="201"/>
      <c r="INO2" s="201"/>
      <c r="INP2" s="201"/>
      <c r="INQ2" s="201"/>
      <c r="INR2" s="201"/>
      <c r="INS2" s="201"/>
      <c r="INT2" s="201"/>
      <c r="INU2" s="201"/>
      <c r="INV2" s="201"/>
      <c r="INW2" s="201"/>
      <c r="INX2" s="201"/>
      <c r="INY2" s="201"/>
      <c r="INZ2" s="201"/>
      <c r="IOA2" s="201"/>
      <c r="IOB2" s="201"/>
      <c r="IOC2" s="201"/>
      <c r="IOD2" s="201"/>
      <c r="IOE2" s="201"/>
      <c r="IOF2" s="201"/>
      <c r="IOG2" s="201"/>
      <c r="IOH2" s="201"/>
      <c r="IOI2" s="201"/>
      <c r="IOJ2" s="201"/>
      <c r="IOK2" s="201"/>
      <c r="IOL2" s="201"/>
      <c r="IOM2" s="201"/>
      <c r="ION2" s="201"/>
      <c r="IOO2" s="201"/>
      <c r="IOP2" s="201"/>
      <c r="IOQ2" s="201"/>
      <c r="IOR2" s="201"/>
      <c r="IOS2" s="201"/>
      <c r="IOT2" s="201"/>
      <c r="IOU2" s="201"/>
      <c r="IOV2" s="201"/>
      <c r="IOW2" s="201"/>
      <c r="IOX2" s="201"/>
      <c r="IOY2" s="201"/>
      <c r="IOZ2" s="201"/>
      <c r="IPA2" s="201"/>
      <c r="IPB2" s="201"/>
      <c r="IPC2" s="201"/>
      <c r="IPD2" s="201"/>
      <c r="IPE2" s="201"/>
      <c r="IPF2" s="201"/>
      <c r="IPG2" s="201"/>
      <c r="IPH2" s="201"/>
      <c r="IPI2" s="201"/>
      <c r="IPJ2" s="201"/>
      <c r="IPK2" s="201"/>
      <c r="IPL2" s="201"/>
      <c r="IPM2" s="201"/>
      <c r="IPN2" s="201"/>
      <c r="IPO2" s="201"/>
      <c r="IPP2" s="201"/>
      <c r="IPQ2" s="201"/>
      <c r="IPR2" s="201"/>
      <c r="IPS2" s="201"/>
      <c r="IPT2" s="201"/>
      <c r="IPU2" s="201"/>
      <c r="IPV2" s="201"/>
      <c r="IPW2" s="201"/>
      <c r="IPX2" s="201"/>
      <c r="IPY2" s="201"/>
      <c r="IPZ2" s="201"/>
      <c r="IQA2" s="201"/>
      <c r="IQB2" s="201"/>
      <c r="IQC2" s="201"/>
      <c r="IQD2" s="201"/>
      <c r="IQE2" s="201"/>
      <c r="IQF2" s="201"/>
      <c r="IQG2" s="201"/>
      <c r="IQH2" s="201"/>
      <c r="IQI2" s="201"/>
      <c r="IQJ2" s="201"/>
      <c r="IQK2" s="201"/>
      <c r="IQL2" s="201"/>
      <c r="IQM2" s="201"/>
      <c r="IQN2" s="201"/>
      <c r="IQO2" s="201"/>
      <c r="IQP2" s="201"/>
      <c r="IQQ2" s="201"/>
      <c r="IQR2" s="201"/>
      <c r="IQS2" s="201"/>
      <c r="IQT2" s="201"/>
      <c r="IQU2" s="201"/>
      <c r="IQV2" s="201"/>
      <c r="IQW2" s="201"/>
      <c r="IQX2" s="201"/>
      <c r="IQY2" s="201"/>
      <c r="IQZ2" s="201"/>
      <c r="IRA2" s="201"/>
      <c r="IRB2" s="201"/>
      <c r="IRC2" s="201"/>
      <c r="IRD2" s="201"/>
      <c r="IRE2" s="201"/>
      <c r="IRF2" s="201"/>
      <c r="IRG2" s="201"/>
      <c r="IRH2" s="201"/>
      <c r="IRI2" s="201"/>
      <c r="IRJ2" s="201"/>
      <c r="IRK2" s="201"/>
      <c r="IRL2" s="201"/>
      <c r="IRM2" s="201"/>
      <c r="IRN2" s="201"/>
      <c r="IRO2" s="201"/>
      <c r="IRP2" s="201"/>
      <c r="IRQ2" s="201"/>
      <c r="IRR2" s="201"/>
      <c r="IRS2" s="201"/>
      <c r="IRT2" s="201"/>
      <c r="IRU2" s="201"/>
      <c r="IRV2" s="201"/>
      <c r="IRW2" s="201"/>
      <c r="IRX2" s="201"/>
      <c r="IRY2" s="201"/>
      <c r="IRZ2" s="201"/>
      <c r="ISA2" s="201"/>
      <c r="ISB2" s="201"/>
      <c r="ISC2" s="201"/>
      <c r="ISD2" s="201"/>
      <c r="ISE2" s="201"/>
      <c r="ISF2" s="201"/>
      <c r="ISG2" s="201"/>
      <c r="ISH2" s="201"/>
      <c r="ISI2" s="201"/>
      <c r="ISJ2" s="201"/>
      <c r="ISK2" s="201"/>
      <c r="ISL2" s="201"/>
      <c r="ISM2" s="201"/>
      <c r="ISN2" s="201"/>
      <c r="ISO2" s="201"/>
      <c r="ISP2" s="201"/>
      <c r="ISQ2" s="201"/>
      <c r="ISR2" s="201"/>
      <c r="ISS2" s="201"/>
      <c r="IST2" s="201"/>
      <c r="ISU2" s="201"/>
      <c r="ISV2" s="201"/>
      <c r="ISW2" s="201"/>
      <c r="ISX2" s="201"/>
      <c r="ISY2" s="201"/>
      <c r="ISZ2" s="201"/>
      <c r="ITA2" s="201"/>
      <c r="ITB2" s="201"/>
      <c r="ITC2" s="201"/>
      <c r="ITD2" s="201"/>
      <c r="ITE2" s="201"/>
      <c r="ITF2" s="201"/>
      <c r="ITG2" s="201"/>
      <c r="ITH2" s="201"/>
      <c r="ITI2" s="201"/>
      <c r="ITJ2" s="201"/>
      <c r="ITK2" s="201"/>
      <c r="ITL2" s="201"/>
      <c r="ITM2" s="201"/>
      <c r="ITN2" s="201"/>
      <c r="ITO2" s="201"/>
      <c r="ITP2" s="201"/>
      <c r="ITQ2" s="201"/>
      <c r="ITR2" s="201"/>
      <c r="ITS2" s="201"/>
      <c r="ITT2" s="201"/>
      <c r="ITU2" s="201"/>
      <c r="ITV2" s="201"/>
      <c r="ITW2" s="201"/>
      <c r="ITX2" s="201"/>
      <c r="ITY2" s="201"/>
      <c r="ITZ2" s="201"/>
      <c r="IUA2" s="201"/>
      <c r="IUB2" s="201"/>
      <c r="IUC2" s="201"/>
      <c r="IUD2" s="201"/>
      <c r="IUE2" s="201"/>
      <c r="IUF2" s="201"/>
      <c r="IUG2" s="201"/>
      <c r="IUH2" s="201"/>
      <c r="IUI2" s="201"/>
      <c r="IUJ2" s="201"/>
      <c r="IUK2" s="201"/>
      <c r="IUL2" s="201"/>
      <c r="IUM2" s="201"/>
      <c r="IUN2" s="201"/>
      <c r="IUO2" s="201"/>
      <c r="IUP2" s="201"/>
      <c r="IUQ2" s="201"/>
      <c r="IUR2" s="201"/>
      <c r="IUS2" s="201"/>
      <c r="IUT2" s="201"/>
      <c r="IUU2" s="201"/>
      <c r="IUV2" s="201"/>
      <c r="IUW2" s="201"/>
      <c r="IUX2" s="201"/>
      <c r="IUY2" s="201"/>
      <c r="IUZ2" s="201"/>
      <c r="IVA2" s="201"/>
      <c r="IVB2" s="201"/>
      <c r="IVC2" s="201"/>
      <c r="IVD2" s="201"/>
      <c r="IVE2" s="201"/>
      <c r="IVF2" s="201"/>
      <c r="IVG2" s="201"/>
      <c r="IVH2" s="201"/>
      <c r="IVI2" s="201"/>
      <c r="IVJ2" s="201"/>
      <c r="IVK2" s="201"/>
      <c r="IVL2" s="201"/>
      <c r="IVM2" s="201"/>
      <c r="IVN2" s="201"/>
      <c r="IVO2" s="201"/>
      <c r="IVP2" s="201"/>
      <c r="IVQ2" s="201"/>
      <c r="IVR2" s="201"/>
      <c r="IVS2" s="201"/>
      <c r="IVT2" s="201"/>
      <c r="IVU2" s="201"/>
      <c r="IVV2" s="201"/>
      <c r="IVW2" s="201"/>
      <c r="IVX2" s="201"/>
      <c r="IVY2" s="201"/>
      <c r="IVZ2" s="201"/>
      <c r="IWA2" s="201"/>
      <c r="IWB2" s="201"/>
      <c r="IWC2" s="201"/>
      <c r="IWD2" s="201"/>
      <c r="IWE2" s="201"/>
      <c r="IWF2" s="201"/>
      <c r="IWG2" s="201"/>
      <c r="IWH2" s="201"/>
      <c r="IWI2" s="201"/>
      <c r="IWJ2" s="201"/>
      <c r="IWK2" s="201"/>
      <c r="IWL2" s="201"/>
      <c r="IWM2" s="201"/>
      <c r="IWN2" s="201"/>
      <c r="IWO2" s="201"/>
      <c r="IWP2" s="201"/>
      <c r="IWQ2" s="201"/>
      <c r="IWR2" s="201"/>
      <c r="IWS2" s="201"/>
      <c r="IWT2" s="201"/>
      <c r="IWU2" s="201"/>
      <c r="IWV2" s="201"/>
      <c r="IWW2" s="201"/>
      <c r="IWX2" s="201"/>
      <c r="IWY2" s="201"/>
      <c r="IWZ2" s="201"/>
      <c r="IXA2" s="201"/>
      <c r="IXB2" s="201"/>
      <c r="IXC2" s="201"/>
      <c r="IXD2" s="201"/>
      <c r="IXE2" s="201"/>
      <c r="IXF2" s="201"/>
      <c r="IXG2" s="201"/>
      <c r="IXH2" s="201"/>
      <c r="IXI2" s="201"/>
      <c r="IXJ2" s="201"/>
      <c r="IXK2" s="201"/>
      <c r="IXL2" s="201"/>
      <c r="IXM2" s="201"/>
      <c r="IXN2" s="201"/>
      <c r="IXO2" s="201"/>
      <c r="IXP2" s="201"/>
      <c r="IXQ2" s="201"/>
      <c r="IXR2" s="201"/>
      <c r="IXS2" s="201"/>
      <c r="IXT2" s="201"/>
      <c r="IXU2" s="201"/>
      <c r="IXV2" s="201"/>
      <c r="IXW2" s="201"/>
      <c r="IXX2" s="201"/>
      <c r="IXY2" s="201"/>
      <c r="IXZ2" s="201"/>
      <c r="IYA2" s="201"/>
      <c r="IYB2" s="201"/>
      <c r="IYC2" s="201"/>
      <c r="IYD2" s="201"/>
      <c r="IYE2" s="201"/>
      <c r="IYF2" s="201"/>
      <c r="IYG2" s="201"/>
      <c r="IYH2" s="201"/>
      <c r="IYI2" s="201"/>
      <c r="IYJ2" s="201"/>
      <c r="IYK2" s="201"/>
      <c r="IYL2" s="201"/>
      <c r="IYM2" s="201"/>
      <c r="IYN2" s="201"/>
      <c r="IYO2" s="201"/>
      <c r="IYP2" s="201"/>
      <c r="IYQ2" s="201"/>
      <c r="IYR2" s="201"/>
      <c r="IYS2" s="201"/>
      <c r="IYT2" s="201"/>
      <c r="IYU2" s="201"/>
      <c r="IYV2" s="201"/>
      <c r="IYW2" s="201"/>
      <c r="IYX2" s="201"/>
      <c r="IYY2" s="201"/>
      <c r="IYZ2" s="201"/>
      <c r="IZA2" s="201"/>
      <c r="IZB2" s="201"/>
      <c r="IZC2" s="201"/>
      <c r="IZD2" s="201"/>
      <c r="IZE2" s="201"/>
      <c r="IZF2" s="201"/>
      <c r="IZG2" s="201"/>
      <c r="IZH2" s="201"/>
      <c r="IZI2" s="201"/>
      <c r="IZJ2" s="201"/>
      <c r="IZK2" s="201"/>
      <c r="IZL2" s="201"/>
      <c r="IZM2" s="201"/>
      <c r="IZN2" s="201"/>
      <c r="IZO2" s="201"/>
      <c r="IZP2" s="201"/>
      <c r="IZQ2" s="201"/>
      <c r="IZR2" s="201"/>
      <c r="IZS2" s="201"/>
      <c r="IZT2" s="201"/>
      <c r="IZU2" s="201"/>
      <c r="IZV2" s="201"/>
      <c r="IZW2" s="201"/>
      <c r="IZX2" s="201"/>
      <c r="IZY2" s="201"/>
      <c r="IZZ2" s="201"/>
      <c r="JAA2" s="201"/>
      <c r="JAB2" s="201"/>
      <c r="JAC2" s="201"/>
      <c r="JAD2" s="201"/>
      <c r="JAE2" s="201"/>
      <c r="JAF2" s="201"/>
      <c r="JAG2" s="201"/>
      <c r="JAH2" s="201"/>
      <c r="JAI2" s="201"/>
      <c r="JAJ2" s="201"/>
      <c r="JAK2" s="201"/>
      <c r="JAL2" s="201"/>
      <c r="JAM2" s="201"/>
      <c r="JAN2" s="201"/>
      <c r="JAO2" s="201"/>
      <c r="JAP2" s="201"/>
      <c r="JAQ2" s="201"/>
      <c r="JAR2" s="201"/>
      <c r="JAS2" s="201"/>
      <c r="JAT2" s="201"/>
      <c r="JAU2" s="201"/>
      <c r="JAV2" s="201"/>
      <c r="JAW2" s="201"/>
      <c r="JAX2" s="201"/>
      <c r="JAY2" s="201"/>
      <c r="JAZ2" s="201"/>
      <c r="JBA2" s="201"/>
      <c r="JBB2" s="201"/>
      <c r="JBC2" s="201"/>
      <c r="JBD2" s="201"/>
      <c r="JBE2" s="201"/>
      <c r="JBF2" s="201"/>
      <c r="JBG2" s="201"/>
      <c r="JBH2" s="201"/>
      <c r="JBI2" s="201"/>
      <c r="JBJ2" s="201"/>
      <c r="JBK2" s="201"/>
      <c r="JBL2" s="201"/>
      <c r="JBM2" s="201"/>
      <c r="JBN2" s="201"/>
      <c r="JBO2" s="201"/>
      <c r="JBP2" s="201"/>
      <c r="JBQ2" s="201"/>
      <c r="JBR2" s="201"/>
      <c r="JBS2" s="201"/>
      <c r="JBT2" s="201"/>
      <c r="JBU2" s="201"/>
      <c r="JBV2" s="201"/>
      <c r="JBW2" s="201"/>
      <c r="JBX2" s="201"/>
      <c r="JBY2" s="201"/>
      <c r="JBZ2" s="201"/>
      <c r="JCA2" s="201"/>
      <c r="JCB2" s="201"/>
      <c r="JCC2" s="201"/>
      <c r="JCD2" s="201"/>
      <c r="JCE2" s="201"/>
      <c r="JCF2" s="201"/>
      <c r="JCG2" s="201"/>
      <c r="JCH2" s="201"/>
      <c r="JCI2" s="201"/>
      <c r="JCJ2" s="201"/>
      <c r="JCK2" s="201"/>
      <c r="JCL2" s="201"/>
      <c r="JCM2" s="201"/>
      <c r="JCN2" s="201"/>
      <c r="JCO2" s="201"/>
      <c r="JCP2" s="201"/>
      <c r="JCQ2" s="201"/>
      <c r="JCR2" s="201"/>
      <c r="JCS2" s="201"/>
      <c r="JCT2" s="201"/>
      <c r="JCU2" s="201"/>
      <c r="JCV2" s="201"/>
      <c r="JCW2" s="201"/>
      <c r="JCX2" s="201"/>
      <c r="JCY2" s="201"/>
      <c r="JCZ2" s="201"/>
      <c r="JDA2" s="201"/>
      <c r="JDB2" s="201"/>
      <c r="JDC2" s="201"/>
      <c r="JDD2" s="201"/>
      <c r="JDE2" s="201"/>
      <c r="JDF2" s="201"/>
      <c r="JDG2" s="201"/>
      <c r="JDH2" s="201"/>
      <c r="JDI2" s="201"/>
      <c r="JDJ2" s="201"/>
      <c r="JDK2" s="201"/>
      <c r="JDL2" s="201"/>
      <c r="JDM2" s="201"/>
      <c r="JDN2" s="201"/>
      <c r="JDO2" s="201"/>
      <c r="JDP2" s="201"/>
      <c r="JDQ2" s="201"/>
      <c r="JDR2" s="201"/>
      <c r="JDS2" s="201"/>
      <c r="JDT2" s="201"/>
      <c r="JDU2" s="201"/>
      <c r="JDV2" s="201"/>
      <c r="JDW2" s="201"/>
      <c r="JDX2" s="201"/>
      <c r="JDY2" s="201"/>
      <c r="JDZ2" s="201"/>
      <c r="JEA2" s="201"/>
      <c r="JEB2" s="201"/>
      <c r="JEC2" s="201"/>
      <c r="JED2" s="201"/>
      <c r="JEE2" s="201"/>
      <c r="JEF2" s="201"/>
      <c r="JEG2" s="201"/>
      <c r="JEH2" s="201"/>
      <c r="JEI2" s="201"/>
      <c r="JEJ2" s="201"/>
      <c r="JEK2" s="201"/>
      <c r="JEL2" s="201"/>
      <c r="JEM2" s="201"/>
      <c r="JEN2" s="201"/>
      <c r="JEO2" s="201"/>
      <c r="JEP2" s="201"/>
      <c r="JEQ2" s="201"/>
      <c r="JER2" s="201"/>
      <c r="JES2" s="201"/>
      <c r="JET2" s="201"/>
      <c r="JEU2" s="201"/>
      <c r="JEV2" s="201"/>
      <c r="JEW2" s="201"/>
      <c r="JEX2" s="201"/>
      <c r="JEY2" s="201"/>
      <c r="JEZ2" s="201"/>
      <c r="JFA2" s="201"/>
      <c r="JFB2" s="201"/>
      <c r="JFC2" s="201"/>
      <c r="JFD2" s="201"/>
      <c r="JFE2" s="201"/>
      <c r="JFF2" s="201"/>
      <c r="JFG2" s="201"/>
      <c r="JFH2" s="201"/>
      <c r="JFI2" s="201"/>
      <c r="JFJ2" s="201"/>
      <c r="JFK2" s="201"/>
      <c r="JFL2" s="201"/>
      <c r="JFM2" s="201"/>
      <c r="JFN2" s="201"/>
      <c r="JFO2" s="201"/>
      <c r="JFP2" s="201"/>
      <c r="JFQ2" s="201"/>
      <c r="JFR2" s="201"/>
      <c r="JFS2" s="201"/>
      <c r="JFT2" s="201"/>
      <c r="JFU2" s="201"/>
      <c r="JFV2" s="201"/>
      <c r="JFW2" s="201"/>
      <c r="JFX2" s="201"/>
      <c r="JFY2" s="201"/>
      <c r="JFZ2" s="201"/>
      <c r="JGA2" s="201"/>
      <c r="JGB2" s="201"/>
      <c r="JGC2" s="201"/>
      <c r="JGD2" s="201"/>
      <c r="JGE2" s="201"/>
      <c r="JGF2" s="201"/>
      <c r="JGG2" s="201"/>
      <c r="JGH2" s="201"/>
      <c r="JGI2" s="201"/>
      <c r="JGJ2" s="201"/>
      <c r="JGK2" s="201"/>
      <c r="JGL2" s="201"/>
      <c r="JGM2" s="201"/>
      <c r="JGN2" s="201"/>
      <c r="JGO2" s="201"/>
      <c r="JGP2" s="201"/>
      <c r="JGQ2" s="201"/>
      <c r="JGR2" s="201"/>
      <c r="JGS2" s="201"/>
      <c r="JGT2" s="201"/>
      <c r="JGU2" s="201"/>
      <c r="JGV2" s="201"/>
      <c r="JGW2" s="201"/>
      <c r="JGX2" s="201"/>
      <c r="JGY2" s="201"/>
      <c r="JGZ2" s="201"/>
      <c r="JHA2" s="201"/>
      <c r="JHB2" s="201"/>
      <c r="JHC2" s="201"/>
      <c r="JHD2" s="201"/>
      <c r="JHE2" s="201"/>
      <c r="JHF2" s="201"/>
      <c r="JHG2" s="201"/>
      <c r="JHH2" s="201"/>
      <c r="JHI2" s="201"/>
      <c r="JHJ2" s="201"/>
      <c r="JHK2" s="201"/>
      <c r="JHL2" s="201"/>
      <c r="JHM2" s="201"/>
      <c r="JHN2" s="201"/>
      <c r="JHO2" s="201"/>
      <c r="JHP2" s="201"/>
      <c r="JHQ2" s="201"/>
      <c r="JHR2" s="201"/>
      <c r="JHS2" s="201"/>
      <c r="JHT2" s="201"/>
      <c r="JHU2" s="201"/>
      <c r="JHV2" s="201"/>
      <c r="JHW2" s="201"/>
      <c r="JHX2" s="201"/>
      <c r="JHY2" s="201"/>
      <c r="JHZ2" s="201"/>
      <c r="JIA2" s="201"/>
      <c r="JIB2" s="201"/>
      <c r="JIC2" s="201"/>
      <c r="JID2" s="201"/>
      <c r="JIE2" s="201"/>
      <c r="JIF2" s="201"/>
      <c r="JIG2" s="201"/>
      <c r="JIH2" s="201"/>
      <c r="JII2" s="201"/>
      <c r="JIJ2" s="201"/>
      <c r="JIK2" s="201"/>
      <c r="JIL2" s="201"/>
      <c r="JIM2" s="201"/>
      <c r="JIN2" s="201"/>
      <c r="JIO2" s="201"/>
      <c r="JIP2" s="201"/>
      <c r="JIQ2" s="201"/>
      <c r="JIR2" s="201"/>
      <c r="JIS2" s="201"/>
      <c r="JIT2" s="201"/>
      <c r="JIU2" s="201"/>
      <c r="JIV2" s="201"/>
      <c r="JIW2" s="201"/>
      <c r="JIX2" s="201"/>
      <c r="JIY2" s="201"/>
      <c r="JIZ2" s="201"/>
      <c r="JJA2" s="201"/>
      <c r="JJB2" s="201"/>
      <c r="JJC2" s="201"/>
      <c r="JJD2" s="201"/>
      <c r="JJE2" s="201"/>
      <c r="JJF2" s="201"/>
      <c r="JJG2" s="201"/>
      <c r="JJH2" s="201"/>
      <c r="JJI2" s="201"/>
      <c r="JJJ2" s="201"/>
      <c r="JJK2" s="201"/>
      <c r="JJL2" s="201"/>
      <c r="JJM2" s="201"/>
      <c r="JJN2" s="201"/>
      <c r="JJO2" s="201"/>
      <c r="JJP2" s="201"/>
      <c r="JJQ2" s="201"/>
      <c r="JJR2" s="201"/>
      <c r="JJS2" s="201"/>
      <c r="JJT2" s="201"/>
      <c r="JJU2" s="201"/>
      <c r="JJV2" s="201"/>
      <c r="JJW2" s="201"/>
      <c r="JJX2" s="201"/>
      <c r="JJY2" s="201"/>
      <c r="JJZ2" s="201"/>
      <c r="JKA2" s="201"/>
      <c r="JKB2" s="201"/>
      <c r="JKC2" s="201"/>
      <c r="JKD2" s="201"/>
      <c r="JKE2" s="201"/>
      <c r="JKF2" s="201"/>
      <c r="JKG2" s="201"/>
      <c r="JKH2" s="201"/>
      <c r="JKI2" s="201"/>
      <c r="JKJ2" s="201"/>
      <c r="JKK2" s="201"/>
      <c r="JKL2" s="201"/>
      <c r="JKM2" s="201"/>
      <c r="JKN2" s="201"/>
      <c r="JKO2" s="201"/>
      <c r="JKP2" s="201"/>
      <c r="JKQ2" s="201"/>
      <c r="JKR2" s="201"/>
      <c r="JKS2" s="201"/>
      <c r="JKT2" s="201"/>
      <c r="JKU2" s="201"/>
      <c r="JKV2" s="201"/>
      <c r="JKW2" s="201"/>
      <c r="JKX2" s="201"/>
      <c r="JKY2" s="201"/>
      <c r="JKZ2" s="201"/>
      <c r="JLA2" s="201"/>
      <c r="JLB2" s="201"/>
      <c r="JLC2" s="201"/>
      <c r="JLD2" s="201"/>
      <c r="JLE2" s="201"/>
      <c r="JLF2" s="201"/>
      <c r="JLG2" s="201"/>
      <c r="JLH2" s="201"/>
      <c r="JLI2" s="201"/>
      <c r="JLJ2" s="201"/>
      <c r="JLK2" s="201"/>
      <c r="JLL2" s="201"/>
      <c r="JLM2" s="201"/>
      <c r="JLN2" s="201"/>
      <c r="JLO2" s="201"/>
      <c r="JLP2" s="201"/>
      <c r="JLQ2" s="201"/>
      <c r="JLR2" s="201"/>
      <c r="JLS2" s="201"/>
      <c r="JLT2" s="201"/>
      <c r="JLU2" s="201"/>
      <c r="JLV2" s="201"/>
      <c r="JLW2" s="201"/>
      <c r="JLX2" s="201"/>
      <c r="JLY2" s="201"/>
      <c r="JLZ2" s="201"/>
      <c r="JMA2" s="201"/>
      <c r="JMB2" s="201"/>
      <c r="JMC2" s="201"/>
      <c r="JMD2" s="201"/>
      <c r="JME2" s="201"/>
      <c r="JMF2" s="201"/>
      <c r="JMG2" s="201"/>
      <c r="JMH2" s="201"/>
      <c r="JMI2" s="201"/>
      <c r="JMJ2" s="201"/>
      <c r="JMK2" s="201"/>
      <c r="JML2" s="201"/>
      <c r="JMM2" s="201"/>
      <c r="JMN2" s="201"/>
      <c r="JMO2" s="201"/>
      <c r="JMP2" s="201"/>
      <c r="JMQ2" s="201"/>
      <c r="JMR2" s="201"/>
      <c r="JMS2" s="201"/>
      <c r="JMT2" s="201"/>
      <c r="JMU2" s="201"/>
      <c r="JMV2" s="201"/>
      <c r="JMW2" s="201"/>
      <c r="JMX2" s="201"/>
      <c r="JMY2" s="201"/>
      <c r="JMZ2" s="201"/>
      <c r="JNA2" s="201"/>
      <c r="JNB2" s="201"/>
      <c r="JNC2" s="201"/>
      <c r="JND2" s="201"/>
      <c r="JNE2" s="201"/>
      <c r="JNF2" s="201"/>
      <c r="JNG2" s="201"/>
      <c r="JNH2" s="201"/>
      <c r="JNI2" s="201"/>
      <c r="JNJ2" s="201"/>
      <c r="JNK2" s="201"/>
      <c r="JNL2" s="201"/>
      <c r="JNM2" s="201"/>
      <c r="JNN2" s="201"/>
      <c r="JNO2" s="201"/>
      <c r="JNP2" s="201"/>
      <c r="JNQ2" s="201"/>
      <c r="JNR2" s="201"/>
      <c r="JNS2" s="201"/>
      <c r="JNT2" s="201"/>
      <c r="JNU2" s="201"/>
      <c r="JNV2" s="201"/>
      <c r="JNW2" s="201"/>
      <c r="JNX2" s="201"/>
      <c r="JNY2" s="201"/>
      <c r="JNZ2" s="201"/>
      <c r="JOA2" s="201"/>
      <c r="JOB2" s="201"/>
      <c r="JOC2" s="201"/>
      <c r="JOD2" s="201"/>
      <c r="JOE2" s="201"/>
      <c r="JOF2" s="201"/>
      <c r="JOG2" s="201"/>
      <c r="JOH2" s="201"/>
      <c r="JOI2" s="201"/>
      <c r="JOJ2" s="201"/>
      <c r="JOK2" s="201"/>
      <c r="JOL2" s="201"/>
      <c r="JOM2" s="201"/>
      <c r="JON2" s="201"/>
      <c r="JOO2" s="201"/>
      <c r="JOP2" s="201"/>
      <c r="JOQ2" s="201"/>
      <c r="JOR2" s="201"/>
      <c r="JOS2" s="201"/>
      <c r="JOT2" s="201"/>
      <c r="JOU2" s="201"/>
      <c r="JOV2" s="201"/>
      <c r="JOW2" s="201"/>
      <c r="JOX2" s="201"/>
      <c r="JOY2" s="201"/>
      <c r="JOZ2" s="201"/>
      <c r="JPA2" s="201"/>
      <c r="JPB2" s="201"/>
      <c r="JPC2" s="201"/>
      <c r="JPD2" s="201"/>
      <c r="JPE2" s="201"/>
      <c r="JPF2" s="201"/>
      <c r="JPG2" s="201"/>
      <c r="JPH2" s="201"/>
      <c r="JPI2" s="201"/>
      <c r="JPJ2" s="201"/>
      <c r="JPK2" s="201"/>
      <c r="JPL2" s="201"/>
      <c r="JPM2" s="201"/>
      <c r="JPN2" s="201"/>
      <c r="JPO2" s="201"/>
      <c r="JPP2" s="201"/>
      <c r="JPQ2" s="201"/>
      <c r="JPR2" s="201"/>
      <c r="JPS2" s="201"/>
      <c r="JPT2" s="201"/>
      <c r="JPU2" s="201"/>
      <c r="JPV2" s="201"/>
      <c r="JPW2" s="201"/>
      <c r="JPX2" s="201"/>
      <c r="JPY2" s="201"/>
      <c r="JPZ2" s="201"/>
      <c r="JQA2" s="201"/>
      <c r="JQB2" s="201"/>
      <c r="JQC2" s="201"/>
      <c r="JQD2" s="201"/>
      <c r="JQE2" s="201"/>
      <c r="JQF2" s="201"/>
      <c r="JQG2" s="201"/>
      <c r="JQH2" s="201"/>
      <c r="JQI2" s="201"/>
      <c r="JQJ2" s="201"/>
      <c r="JQK2" s="201"/>
      <c r="JQL2" s="201"/>
      <c r="JQM2" s="201"/>
      <c r="JQN2" s="201"/>
      <c r="JQO2" s="201"/>
      <c r="JQP2" s="201"/>
      <c r="JQQ2" s="201"/>
      <c r="JQR2" s="201"/>
      <c r="JQS2" s="201"/>
      <c r="JQT2" s="201"/>
      <c r="JQU2" s="201"/>
      <c r="JQV2" s="201"/>
      <c r="JQW2" s="201"/>
      <c r="JQX2" s="201"/>
      <c r="JQY2" s="201"/>
      <c r="JQZ2" s="201"/>
      <c r="JRA2" s="201"/>
      <c r="JRB2" s="201"/>
      <c r="JRC2" s="201"/>
      <c r="JRD2" s="201"/>
      <c r="JRE2" s="201"/>
      <c r="JRF2" s="201"/>
      <c r="JRG2" s="201"/>
      <c r="JRH2" s="201"/>
      <c r="JRI2" s="201"/>
      <c r="JRJ2" s="201"/>
      <c r="JRK2" s="201"/>
      <c r="JRL2" s="201"/>
      <c r="JRM2" s="201"/>
      <c r="JRN2" s="201"/>
      <c r="JRO2" s="201"/>
      <c r="JRP2" s="201"/>
      <c r="JRQ2" s="201"/>
      <c r="JRR2" s="201"/>
      <c r="JRS2" s="201"/>
      <c r="JRT2" s="201"/>
      <c r="JRU2" s="201"/>
      <c r="JRV2" s="201"/>
      <c r="JRW2" s="201"/>
      <c r="JRX2" s="201"/>
      <c r="JRY2" s="201"/>
      <c r="JRZ2" s="201"/>
      <c r="JSA2" s="201"/>
      <c r="JSB2" s="201"/>
      <c r="JSC2" s="201"/>
      <c r="JSD2" s="201"/>
      <c r="JSE2" s="201"/>
      <c r="JSF2" s="201"/>
      <c r="JSG2" s="201"/>
      <c r="JSH2" s="201"/>
      <c r="JSI2" s="201"/>
      <c r="JSJ2" s="201"/>
      <c r="JSK2" s="201"/>
      <c r="JSL2" s="201"/>
      <c r="JSM2" s="201"/>
      <c r="JSN2" s="201"/>
      <c r="JSO2" s="201"/>
      <c r="JSP2" s="201"/>
      <c r="JSQ2" s="201"/>
      <c r="JSR2" s="201"/>
      <c r="JSS2" s="201"/>
      <c r="JST2" s="201"/>
      <c r="JSU2" s="201"/>
      <c r="JSV2" s="201"/>
      <c r="JSW2" s="201"/>
      <c r="JSX2" s="201"/>
      <c r="JSY2" s="201"/>
      <c r="JSZ2" s="201"/>
      <c r="JTA2" s="201"/>
      <c r="JTB2" s="201"/>
      <c r="JTC2" s="201"/>
      <c r="JTD2" s="201"/>
      <c r="JTE2" s="201"/>
      <c r="JTF2" s="201"/>
      <c r="JTG2" s="201"/>
      <c r="JTH2" s="201"/>
      <c r="JTI2" s="201"/>
      <c r="JTJ2" s="201"/>
      <c r="JTK2" s="201"/>
      <c r="JTL2" s="201"/>
      <c r="JTM2" s="201"/>
      <c r="JTN2" s="201"/>
      <c r="JTO2" s="201"/>
      <c r="JTP2" s="201"/>
      <c r="JTQ2" s="201"/>
      <c r="JTR2" s="201"/>
      <c r="JTS2" s="201"/>
      <c r="JTT2" s="201"/>
      <c r="JTU2" s="201"/>
      <c r="JTV2" s="201"/>
      <c r="JTW2" s="201"/>
      <c r="JTX2" s="201"/>
      <c r="JTY2" s="201"/>
      <c r="JTZ2" s="201"/>
      <c r="JUA2" s="201"/>
      <c r="JUB2" s="201"/>
      <c r="JUC2" s="201"/>
      <c r="JUD2" s="201"/>
      <c r="JUE2" s="201"/>
      <c r="JUF2" s="201"/>
      <c r="JUG2" s="201"/>
      <c r="JUH2" s="201"/>
      <c r="JUI2" s="201"/>
      <c r="JUJ2" s="201"/>
      <c r="JUK2" s="201"/>
      <c r="JUL2" s="201"/>
      <c r="JUM2" s="201"/>
      <c r="JUN2" s="201"/>
      <c r="JUO2" s="201"/>
      <c r="JUP2" s="201"/>
      <c r="JUQ2" s="201"/>
      <c r="JUR2" s="201"/>
      <c r="JUS2" s="201"/>
      <c r="JUT2" s="201"/>
      <c r="JUU2" s="201"/>
      <c r="JUV2" s="201"/>
      <c r="JUW2" s="201"/>
      <c r="JUX2" s="201"/>
      <c r="JUY2" s="201"/>
      <c r="JUZ2" s="201"/>
      <c r="JVA2" s="201"/>
      <c r="JVB2" s="201"/>
      <c r="JVC2" s="201"/>
      <c r="JVD2" s="201"/>
      <c r="JVE2" s="201"/>
      <c r="JVF2" s="201"/>
      <c r="JVG2" s="201"/>
      <c r="JVH2" s="201"/>
      <c r="JVI2" s="201"/>
      <c r="JVJ2" s="201"/>
      <c r="JVK2" s="201"/>
      <c r="JVL2" s="201"/>
      <c r="JVM2" s="201"/>
      <c r="JVN2" s="201"/>
      <c r="JVO2" s="201"/>
      <c r="JVP2" s="201"/>
      <c r="JVQ2" s="201"/>
      <c r="JVR2" s="201"/>
      <c r="JVS2" s="201"/>
      <c r="JVT2" s="201"/>
      <c r="JVU2" s="201"/>
      <c r="JVV2" s="201"/>
      <c r="JVW2" s="201"/>
      <c r="JVX2" s="201"/>
      <c r="JVY2" s="201"/>
      <c r="JVZ2" s="201"/>
      <c r="JWA2" s="201"/>
      <c r="JWB2" s="201"/>
      <c r="JWC2" s="201"/>
      <c r="JWD2" s="201"/>
      <c r="JWE2" s="201"/>
      <c r="JWF2" s="201"/>
      <c r="JWG2" s="201"/>
      <c r="JWH2" s="201"/>
      <c r="JWI2" s="201"/>
      <c r="JWJ2" s="201"/>
      <c r="JWK2" s="201"/>
      <c r="JWL2" s="201"/>
      <c r="JWM2" s="201"/>
      <c r="JWN2" s="201"/>
      <c r="JWO2" s="201"/>
      <c r="JWP2" s="201"/>
      <c r="JWQ2" s="201"/>
      <c r="JWR2" s="201"/>
      <c r="JWS2" s="201"/>
      <c r="JWT2" s="201"/>
      <c r="JWU2" s="201"/>
      <c r="JWV2" s="201"/>
      <c r="JWW2" s="201"/>
      <c r="JWX2" s="201"/>
      <c r="JWY2" s="201"/>
      <c r="JWZ2" s="201"/>
      <c r="JXA2" s="201"/>
      <c r="JXB2" s="201"/>
      <c r="JXC2" s="201"/>
      <c r="JXD2" s="201"/>
      <c r="JXE2" s="201"/>
      <c r="JXF2" s="201"/>
      <c r="JXG2" s="201"/>
      <c r="JXH2" s="201"/>
      <c r="JXI2" s="201"/>
      <c r="JXJ2" s="201"/>
      <c r="JXK2" s="201"/>
      <c r="JXL2" s="201"/>
      <c r="JXM2" s="201"/>
      <c r="JXN2" s="201"/>
      <c r="JXO2" s="201"/>
      <c r="JXP2" s="201"/>
      <c r="JXQ2" s="201"/>
      <c r="JXR2" s="201"/>
      <c r="JXS2" s="201"/>
      <c r="JXT2" s="201"/>
      <c r="JXU2" s="201"/>
      <c r="JXV2" s="201"/>
      <c r="JXW2" s="201"/>
      <c r="JXX2" s="201"/>
      <c r="JXY2" s="201"/>
      <c r="JXZ2" s="201"/>
      <c r="JYA2" s="201"/>
      <c r="JYB2" s="201"/>
      <c r="JYC2" s="201"/>
      <c r="JYD2" s="201"/>
      <c r="JYE2" s="201"/>
      <c r="JYF2" s="201"/>
      <c r="JYG2" s="201"/>
      <c r="JYH2" s="201"/>
      <c r="JYI2" s="201"/>
      <c r="JYJ2" s="201"/>
      <c r="JYK2" s="201"/>
      <c r="JYL2" s="201"/>
      <c r="JYM2" s="201"/>
      <c r="JYN2" s="201"/>
      <c r="JYO2" s="201"/>
      <c r="JYP2" s="201"/>
      <c r="JYQ2" s="201"/>
      <c r="JYR2" s="201"/>
      <c r="JYS2" s="201"/>
      <c r="JYT2" s="201"/>
      <c r="JYU2" s="201"/>
      <c r="JYV2" s="201"/>
      <c r="JYW2" s="201"/>
      <c r="JYX2" s="201"/>
      <c r="JYY2" s="201"/>
      <c r="JYZ2" s="201"/>
      <c r="JZA2" s="201"/>
      <c r="JZB2" s="201"/>
      <c r="JZC2" s="201"/>
      <c r="JZD2" s="201"/>
      <c r="JZE2" s="201"/>
      <c r="JZF2" s="201"/>
      <c r="JZG2" s="201"/>
      <c r="JZH2" s="201"/>
      <c r="JZI2" s="201"/>
      <c r="JZJ2" s="201"/>
      <c r="JZK2" s="201"/>
      <c r="JZL2" s="201"/>
      <c r="JZM2" s="201"/>
      <c r="JZN2" s="201"/>
      <c r="JZO2" s="201"/>
      <c r="JZP2" s="201"/>
      <c r="JZQ2" s="201"/>
      <c r="JZR2" s="201"/>
      <c r="JZS2" s="201"/>
      <c r="JZT2" s="201"/>
      <c r="JZU2" s="201"/>
      <c r="JZV2" s="201"/>
      <c r="JZW2" s="201"/>
      <c r="JZX2" s="201"/>
      <c r="JZY2" s="201"/>
      <c r="JZZ2" s="201"/>
      <c r="KAA2" s="201"/>
      <c r="KAB2" s="201"/>
      <c r="KAC2" s="201"/>
      <c r="KAD2" s="201"/>
      <c r="KAE2" s="201"/>
      <c r="KAF2" s="201"/>
      <c r="KAG2" s="201"/>
      <c r="KAH2" s="201"/>
      <c r="KAI2" s="201"/>
      <c r="KAJ2" s="201"/>
      <c r="KAK2" s="201"/>
      <c r="KAL2" s="201"/>
      <c r="KAM2" s="201"/>
      <c r="KAN2" s="201"/>
      <c r="KAO2" s="201"/>
      <c r="KAP2" s="201"/>
      <c r="KAQ2" s="201"/>
      <c r="KAR2" s="201"/>
      <c r="KAS2" s="201"/>
      <c r="KAT2" s="201"/>
      <c r="KAU2" s="201"/>
      <c r="KAV2" s="201"/>
      <c r="KAW2" s="201"/>
      <c r="KAX2" s="201"/>
      <c r="KAY2" s="201"/>
      <c r="KAZ2" s="201"/>
      <c r="KBA2" s="201"/>
      <c r="KBB2" s="201"/>
      <c r="KBC2" s="201"/>
      <c r="KBD2" s="201"/>
      <c r="KBE2" s="201"/>
      <c r="KBF2" s="201"/>
      <c r="KBG2" s="201"/>
      <c r="KBH2" s="201"/>
      <c r="KBI2" s="201"/>
      <c r="KBJ2" s="201"/>
      <c r="KBK2" s="201"/>
      <c r="KBL2" s="201"/>
      <c r="KBM2" s="201"/>
      <c r="KBN2" s="201"/>
      <c r="KBO2" s="201"/>
      <c r="KBP2" s="201"/>
      <c r="KBQ2" s="201"/>
      <c r="KBR2" s="201"/>
      <c r="KBS2" s="201"/>
      <c r="KBT2" s="201"/>
      <c r="KBU2" s="201"/>
      <c r="KBV2" s="201"/>
      <c r="KBW2" s="201"/>
      <c r="KBX2" s="201"/>
      <c r="KBY2" s="201"/>
      <c r="KBZ2" s="201"/>
      <c r="KCA2" s="201"/>
      <c r="KCB2" s="201"/>
      <c r="KCC2" s="201"/>
      <c r="KCD2" s="201"/>
      <c r="KCE2" s="201"/>
      <c r="KCF2" s="201"/>
      <c r="KCG2" s="201"/>
      <c r="KCH2" s="201"/>
      <c r="KCI2" s="201"/>
      <c r="KCJ2" s="201"/>
      <c r="KCK2" s="201"/>
      <c r="KCL2" s="201"/>
      <c r="KCM2" s="201"/>
      <c r="KCN2" s="201"/>
      <c r="KCO2" s="201"/>
      <c r="KCP2" s="201"/>
      <c r="KCQ2" s="201"/>
      <c r="KCR2" s="201"/>
      <c r="KCS2" s="201"/>
      <c r="KCT2" s="201"/>
      <c r="KCU2" s="201"/>
      <c r="KCV2" s="201"/>
      <c r="KCW2" s="201"/>
      <c r="KCX2" s="201"/>
      <c r="KCY2" s="201"/>
      <c r="KCZ2" s="201"/>
      <c r="KDA2" s="201"/>
      <c r="KDB2" s="201"/>
      <c r="KDC2" s="201"/>
      <c r="KDD2" s="201"/>
      <c r="KDE2" s="201"/>
      <c r="KDF2" s="201"/>
      <c r="KDG2" s="201"/>
      <c r="KDH2" s="201"/>
      <c r="KDI2" s="201"/>
      <c r="KDJ2" s="201"/>
      <c r="KDK2" s="201"/>
      <c r="KDL2" s="201"/>
      <c r="KDM2" s="201"/>
      <c r="KDN2" s="201"/>
      <c r="KDO2" s="201"/>
      <c r="KDP2" s="201"/>
      <c r="KDQ2" s="201"/>
      <c r="KDR2" s="201"/>
      <c r="KDS2" s="201"/>
      <c r="KDT2" s="201"/>
      <c r="KDU2" s="201"/>
      <c r="KDV2" s="201"/>
      <c r="KDW2" s="201"/>
      <c r="KDX2" s="201"/>
      <c r="KDY2" s="201"/>
      <c r="KDZ2" s="201"/>
      <c r="KEA2" s="201"/>
      <c r="KEB2" s="201"/>
      <c r="KEC2" s="201"/>
      <c r="KED2" s="201"/>
      <c r="KEE2" s="201"/>
      <c r="KEF2" s="201"/>
      <c r="KEG2" s="201"/>
      <c r="KEH2" s="201"/>
      <c r="KEI2" s="201"/>
      <c r="KEJ2" s="201"/>
      <c r="KEK2" s="201"/>
      <c r="KEL2" s="201"/>
      <c r="KEM2" s="201"/>
      <c r="KEN2" s="201"/>
      <c r="KEO2" s="201"/>
      <c r="KEP2" s="201"/>
      <c r="KEQ2" s="201"/>
      <c r="KER2" s="201"/>
      <c r="KES2" s="201"/>
      <c r="KET2" s="201"/>
      <c r="KEU2" s="201"/>
      <c r="KEV2" s="201"/>
      <c r="KEW2" s="201"/>
      <c r="KEX2" s="201"/>
      <c r="KEY2" s="201"/>
      <c r="KEZ2" s="201"/>
      <c r="KFA2" s="201"/>
      <c r="KFB2" s="201"/>
      <c r="KFC2" s="201"/>
      <c r="KFD2" s="201"/>
      <c r="KFE2" s="201"/>
      <c r="KFF2" s="201"/>
      <c r="KFG2" s="201"/>
      <c r="KFH2" s="201"/>
      <c r="KFI2" s="201"/>
      <c r="KFJ2" s="201"/>
      <c r="KFK2" s="201"/>
      <c r="KFL2" s="201"/>
      <c r="KFM2" s="201"/>
      <c r="KFN2" s="201"/>
      <c r="KFO2" s="201"/>
      <c r="KFP2" s="201"/>
      <c r="KFQ2" s="201"/>
      <c r="KFR2" s="201"/>
      <c r="KFS2" s="201"/>
      <c r="KFT2" s="201"/>
      <c r="KFU2" s="201"/>
      <c r="KFV2" s="201"/>
      <c r="KFW2" s="201"/>
      <c r="KFX2" s="201"/>
      <c r="KFY2" s="201"/>
      <c r="KFZ2" s="201"/>
      <c r="KGA2" s="201"/>
      <c r="KGB2" s="201"/>
      <c r="KGC2" s="201"/>
      <c r="KGD2" s="201"/>
      <c r="KGE2" s="201"/>
      <c r="KGF2" s="201"/>
      <c r="KGG2" s="201"/>
      <c r="KGH2" s="201"/>
      <c r="KGI2" s="201"/>
      <c r="KGJ2" s="201"/>
      <c r="KGK2" s="201"/>
      <c r="KGL2" s="201"/>
      <c r="KGM2" s="201"/>
      <c r="KGN2" s="201"/>
      <c r="KGO2" s="201"/>
      <c r="KGP2" s="201"/>
      <c r="KGQ2" s="201"/>
      <c r="KGR2" s="201"/>
      <c r="KGS2" s="201"/>
      <c r="KGT2" s="201"/>
      <c r="KGU2" s="201"/>
      <c r="KGV2" s="201"/>
      <c r="KGW2" s="201"/>
      <c r="KGX2" s="201"/>
      <c r="KGY2" s="201"/>
      <c r="KGZ2" s="201"/>
      <c r="KHA2" s="201"/>
      <c r="KHB2" s="201"/>
      <c r="KHC2" s="201"/>
      <c r="KHD2" s="201"/>
      <c r="KHE2" s="201"/>
      <c r="KHF2" s="201"/>
      <c r="KHG2" s="201"/>
      <c r="KHH2" s="201"/>
      <c r="KHI2" s="201"/>
      <c r="KHJ2" s="201"/>
      <c r="KHK2" s="201"/>
      <c r="KHL2" s="201"/>
      <c r="KHM2" s="201"/>
      <c r="KHN2" s="201"/>
      <c r="KHO2" s="201"/>
      <c r="KHP2" s="201"/>
      <c r="KHQ2" s="201"/>
      <c r="KHR2" s="201"/>
      <c r="KHS2" s="201"/>
      <c r="KHT2" s="201"/>
      <c r="KHU2" s="201"/>
      <c r="KHV2" s="201"/>
      <c r="KHW2" s="201"/>
      <c r="KHX2" s="201"/>
      <c r="KHY2" s="201"/>
      <c r="KHZ2" s="201"/>
      <c r="KIA2" s="201"/>
      <c r="KIB2" s="201"/>
      <c r="KIC2" s="201"/>
      <c r="KID2" s="201"/>
      <c r="KIE2" s="201"/>
      <c r="KIF2" s="201"/>
      <c r="KIG2" s="201"/>
      <c r="KIH2" s="201"/>
      <c r="KII2" s="201"/>
      <c r="KIJ2" s="201"/>
      <c r="KIK2" s="201"/>
      <c r="KIL2" s="201"/>
      <c r="KIM2" s="201"/>
      <c r="KIN2" s="201"/>
      <c r="KIO2" s="201"/>
      <c r="KIP2" s="201"/>
      <c r="KIQ2" s="201"/>
      <c r="KIR2" s="201"/>
      <c r="KIS2" s="201"/>
      <c r="KIT2" s="201"/>
      <c r="KIU2" s="201"/>
      <c r="KIV2" s="201"/>
      <c r="KIW2" s="201"/>
      <c r="KIX2" s="201"/>
      <c r="KIY2" s="201"/>
      <c r="KIZ2" s="201"/>
      <c r="KJA2" s="201"/>
      <c r="KJB2" s="201"/>
      <c r="KJC2" s="201"/>
      <c r="KJD2" s="201"/>
      <c r="KJE2" s="201"/>
      <c r="KJF2" s="201"/>
      <c r="KJG2" s="201"/>
      <c r="KJH2" s="201"/>
      <c r="KJI2" s="201"/>
      <c r="KJJ2" s="201"/>
      <c r="KJK2" s="201"/>
      <c r="KJL2" s="201"/>
      <c r="KJM2" s="201"/>
      <c r="KJN2" s="201"/>
      <c r="KJO2" s="201"/>
      <c r="KJP2" s="201"/>
      <c r="KJQ2" s="201"/>
      <c r="KJR2" s="201"/>
      <c r="KJS2" s="201"/>
      <c r="KJT2" s="201"/>
      <c r="KJU2" s="201"/>
      <c r="KJV2" s="201"/>
      <c r="KJW2" s="201"/>
      <c r="KJX2" s="201"/>
      <c r="KJY2" s="201"/>
      <c r="KJZ2" s="201"/>
      <c r="KKA2" s="201"/>
      <c r="KKB2" s="201"/>
      <c r="KKC2" s="201"/>
      <c r="KKD2" s="201"/>
      <c r="KKE2" s="201"/>
      <c r="KKF2" s="201"/>
      <c r="KKG2" s="201"/>
      <c r="KKH2" s="201"/>
      <c r="KKI2" s="201"/>
      <c r="KKJ2" s="201"/>
      <c r="KKK2" s="201"/>
      <c r="KKL2" s="201"/>
      <c r="KKM2" s="201"/>
      <c r="KKN2" s="201"/>
      <c r="KKO2" s="201"/>
      <c r="KKP2" s="201"/>
      <c r="KKQ2" s="201"/>
      <c r="KKR2" s="201"/>
      <c r="KKS2" s="201"/>
      <c r="KKT2" s="201"/>
      <c r="KKU2" s="201"/>
      <c r="KKV2" s="201"/>
      <c r="KKW2" s="201"/>
      <c r="KKX2" s="201"/>
      <c r="KKY2" s="201"/>
      <c r="KKZ2" s="201"/>
      <c r="KLA2" s="201"/>
      <c r="KLB2" s="201"/>
      <c r="KLC2" s="201"/>
      <c r="KLD2" s="201"/>
      <c r="KLE2" s="201"/>
      <c r="KLF2" s="201"/>
      <c r="KLG2" s="201"/>
      <c r="KLH2" s="201"/>
      <c r="KLI2" s="201"/>
      <c r="KLJ2" s="201"/>
      <c r="KLK2" s="201"/>
      <c r="KLL2" s="201"/>
      <c r="KLM2" s="201"/>
      <c r="KLN2" s="201"/>
      <c r="KLO2" s="201"/>
      <c r="KLP2" s="201"/>
      <c r="KLQ2" s="201"/>
      <c r="KLR2" s="201"/>
      <c r="KLS2" s="201"/>
      <c r="KLT2" s="201"/>
      <c r="KLU2" s="201"/>
      <c r="KLV2" s="201"/>
      <c r="KLW2" s="201"/>
      <c r="KLX2" s="201"/>
      <c r="KLY2" s="201"/>
      <c r="KLZ2" s="201"/>
      <c r="KMA2" s="201"/>
      <c r="KMB2" s="201"/>
      <c r="KMC2" s="201"/>
      <c r="KMD2" s="201"/>
      <c r="KME2" s="201"/>
      <c r="KMF2" s="201"/>
      <c r="KMG2" s="201"/>
      <c r="KMH2" s="201"/>
      <c r="KMI2" s="201"/>
      <c r="KMJ2" s="201"/>
      <c r="KMK2" s="201"/>
      <c r="KML2" s="201"/>
      <c r="KMM2" s="201"/>
      <c r="KMN2" s="201"/>
      <c r="KMO2" s="201"/>
      <c r="KMP2" s="201"/>
      <c r="KMQ2" s="201"/>
      <c r="KMR2" s="201"/>
      <c r="KMS2" s="201"/>
      <c r="KMT2" s="201"/>
      <c r="KMU2" s="201"/>
      <c r="KMV2" s="201"/>
      <c r="KMW2" s="201"/>
      <c r="KMX2" s="201"/>
      <c r="KMY2" s="201"/>
      <c r="KMZ2" s="201"/>
      <c r="KNA2" s="201"/>
      <c r="KNB2" s="201"/>
      <c r="KNC2" s="201"/>
      <c r="KND2" s="201"/>
      <c r="KNE2" s="201"/>
      <c r="KNF2" s="201"/>
      <c r="KNG2" s="201"/>
      <c r="KNH2" s="201"/>
      <c r="KNI2" s="201"/>
      <c r="KNJ2" s="201"/>
      <c r="KNK2" s="201"/>
      <c r="KNL2" s="201"/>
      <c r="KNM2" s="201"/>
      <c r="KNN2" s="201"/>
      <c r="KNO2" s="201"/>
      <c r="KNP2" s="201"/>
      <c r="KNQ2" s="201"/>
      <c r="KNR2" s="201"/>
      <c r="KNS2" s="201"/>
      <c r="KNT2" s="201"/>
      <c r="KNU2" s="201"/>
      <c r="KNV2" s="201"/>
      <c r="KNW2" s="201"/>
      <c r="KNX2" s="201"/>
      <c r="KNY2" s="201"/>
      <c r="KNZ2" s="201"/>
      <c r="KOA2" s="201"/>
      <c r="KOB2" s="201"/>
      <c r="KOC2" s="201"/>
      <c r="KOD2" s="201"/>
      <c r="KOE2" s="201"/>
      <c r="KOF2" s="201"/>
      <c r="KOG2" s="201"/>
      <c r="KOH2" s="201"/>
      <c r="KOI2" s="201"/>
      <c r="KOJ2" s="201"/>
      <c r="KOK2" s="201"/>
      <c r="KOL2" s="201"/>
      <c r="KOM2" s="201"/>
      <c r="KON2" s="201"/>
      <c r="KOO2" s="201"/>
      <c r="KOP2" s="201"/>
      <c r="KOQ2" s="201"/>
      <c r="KOR2" s="201"/>
      <c r="KOS2" s="201"/>
      <c r="KOT2" s="201"/>
      <c r="KOU2" s="201"/>
      <c r="KOV2" s="201"/>
      <c r="KOW2" s="201"/>
      <c r="KOX2" s="201"/>
      <c r="KOY2" s="201"/>
      <c r="KOZ2" s="201"/>
      <c r="KPA2" s="201"/>
      <c r="KPB2" s="201"/>
      <c r="KPC2" s="201"/>
      <c r="KPD2" s="201"/>
      <c r="KPE2" s="201"/>
      <c r="KPF2" s="201"/>
      <c r="KPG2" s="201"/>
      <c r="KPH2" s="201"/>
      <c r="KPI2" s="201"/>
      <c r="KPJ2" s="201"/>
      <c r="KPK2" s="201"/>
      <c r="KPL2" s="201"/>
      <c r="KPM2" s="201"/>
      <c r="KPN2" s="201"/>
      <c r="KPO2" s="201"/>
      <c r="KPP2" s="201"/>
      <c r="KPQ2" s="201"/>
      <c r="KPR2" s="201"/>
      <c r="KPS2" s="201"/>
      <c r="KPT2" s="201"/>
      <c r="KPU2" s="201"/>
      <c r="KPV2" s="201"/>
      <c r="KPW2" s="201"/>
      <c r="KPX2" s="201"/>
      <c r="KPY2" s="201"/>
      <c r="KPZ2" s="201"/>
      <c r="KQA2" s="201"/>
      <c r="KQB2" s="201"/>
      <c r="KQC2" s="201"/>
      <c r="KQD2" s="201"/>
      <c r="KQE2" s="201"/>
      <c r="KQF2" s="201"/>
      <c r="KQG2" s="201"/>
      <c r="KQH2" s="201"/>
      <c r="KQI2" s="201"/>
      <c r="KQJ2" s="201"/>
      <c r="KQK2" s="201"/>
      <c r="KQL2" s="201"/>
      <c r="KQM2" s="201"/>
      <c r="KQN2" s="201"/>
      <c r="KQO2" s="201"/>
      <c r="KQP2" s="201"/>
      <c r="KQQ2" s="201"/>
      <c r="KQR2" s="201"/>
      <c r="KQS2" s="201"/>
      <c r="KQT2" s="201"/>
      <c r="KQU2" s="201"/>
      <c r="KQV2" s="201"/>
      <c r="KQW2" s="201"/>
      <c r="KQX2" s="201"/>
      <c r="KQY2" s="201"/>
      <c r="KQZ2" s="201"/>
      <c r="KRA2" s="201"/>
      <c r="KRB2" s="201"/>
      <c r="KRC2" s="201"/>
      <c r="KRD2" s="201"/>
      <c r="KRE2" s="201"/>
      <c r="KRF2" s="201"/>
      <c r="KRG2" s="201"/>
      <c r="KRH2" s="201"/>
      <c r="KRI2" s="201"/>
      <c r="KRJ2" s="201"/>
      <c r="KRK2" s="201"/>
      <c r="KRL2" s="201"/>
      <c r="KRM2" s="201"/>
      <c r="KRN2" s="201"/>
      <c r="KRO2" s="201"/>
      <c r="KRP2" s="201"/>
      <c r="KRQ2" s="201"/>
      <c r="KRR2" s="201"/>
      <c r="KRS2" s="201"/>
      <c r="KRT2" s="201"/>
      <c r="KRU2" s="201"/>
      <c r="KRV2" s="201"/>
      <c r="KRW2" s="201"/>
      <c r="KRX2" s="201"/>
      <c r="KRY2" s="201"/>
      <c r="KRZ2" s="201"/>
      <c r="KSA2" s="201"/>
      <c r="KSB2" s="201"/>
      <c r="KSC2" s="201"/>
      <c r="KSD2" s="201"/>
      <c r="KSE2" s="201"/>
      <c r="KSF2" s="201"/>
      <c r="KSG2" s="201"/>
      <c r="KSH2" s="201"/>
      <c r="KSI2" s="201"/>
      <c r="KSJ2" s="201"/>
      <c r="KSK2" s="201"/>
      <c r="KSL2" s="201"/>
      <c r="KSM2" s="201"/>
      <c r="KSN2" s="201"/>
      <c r="KSO2" s="201"/>
      <c r="KSP2" s="201"/>
      <c r="KSQ2" s="201"/>
      <c r="KSR2" s="201"/>
      <c r="KSS2" s="201"/>
      <c r="KST2" s="201"/>
      <c r="KSU2" s="201"/>
      <c r="KSV2" s="201"/>
      <c r="KSW2" s="201"/>
      <c r="KSX2" s="201"/>
      <c r="KSY2" s="201"/>
      <c r="KSZ2" s="201"/>
      <c r="KTA2" s="201"/>
      <c r="KTB2" s="201"/>
      <c r="KTC2" s="201"/>
      <c r="KTD2" s="201"/>
      <c r="KTE2" s="201"/>
      <c r="KTF2" s="201"/>
      <c r="KTG2" s="201"/>
      <c r="KTH2" s="201"/>
      <c r="KTI2" s="201"/>
      <c r="KTJ2" s="201"/>
      <c r="KTK2" s="201"/>
      <c r="KTL2" s="201"/>
      <c r="KTM2" s="201"/>
      <c r="KTN2" s="201"/>
      <c r="KTO2" s="201"/>
      <c r="KTP2" s="201"/>
      <c r="KTQ2" s="201"/>
      <c r="KTR2" s="201"/>
      <c r="KTS2" s="201"/>
      <c r="KTT2" s="201"/>
      <c r="KTU2" s="201"/>
      <c r="KTV2" s="201"/>
      <c r="KTW2" s="201"/>
      <c r="KTX2" s="201"/>
      <c r="KTY2" s="201"/>
      <c r="KTZ2" s="201"/>
      <c r="KUA2" s="201"/>
      <c r="KUB2" s="201"/>
      <c r="KUC2" s="201"/>
      <c r="KUD2" s="201"/>
      <c r="KUE2" s="201"/>
      <c r="KUF2" s="201"/>
      <c r="KUG2" s="201"/>
      <c r="KUH2" s="201"/>
      <c r="KUI2" s="201"/>
      <c r="KUJ2" s="201"/>
      <c r="KUK2" s="201"/>
      <c r="KUL2" s="201"/>
      <c r="KUM2" s="201"/>
      <c r="KUN2" s="201"/>
      <c r="KUO2" s="201"/>
      <c r="KUP2" s="201"/>
      <c r="KUQ2" s="201"/>
      <c r="KUR2" s="201"/>
      <c r="KUS2" s="201"/>
      <c r="KUT2" s="201"/>
      <c r="KUU2" s="201"/>
      <c r="KUV2" s="201"/>
      <c r="KUW2" s="201"/>
      <c r="KUX2" s="201"/>
      <c r="KUY2" s="201"/>
      <c r="KUZ2" s="201"/>
      <c r="KVA2" s="201"/>
      <c r="KVB2" s="201"/>
      <c r="KVC2" s="201"/>
      <c r="KVD2" s="201"/>
      <c r="KVE2" s="201"/>
      <c r="KVF2" s="201"/>
      <c r="KVG2" s="201"/>
      <c r="KVH2" s="201"/>
      <c r="KVI2" s="201"/>
      <c r="KVJ2" s="201"/>
      <c r="KVK2" s="201"/>
      <c r="KVL2" s="201"/>
      <c r="KVM2" s="201"/>
      <c r="KVN2" s="201"/>
      <c r="KVO2" s="201"/>
      <c r="KVP2" s="201"/>
      <c r="KVQ2" s="201"/>
      <c r="KVR2" s="201"/>
      <c r="KVS2" s="201"/>
      <c r="KVT2" s="201"/>
      <c r="KVU2" s="201"/>
      <c r="KVV2" s="201"/>
      <c r="KVW2" s="201"/>
      <c r="KVX2" s="201"/>
      <c r="KVY2" s="201"/>
      <c r="KVZ2" s="201"/>
      <c r="KWA2" s="201"/>
      <c r="KWB2" s="201"/>
      <c r="KWC2" s="201"/>
      <c r="KWD2" s="201"/>
      <c r="KWE2" s="201"/>
      <c r="KWF2" s="201"/>
      <c r="KWG2" s="201"/>
      <c r="KWH2" s="201"/>
      <c r="KWI2" s="201"/>
      <c r="KWJ2" s="201"/>
      <c r="KWK2" s="201"/>
      <c r="KWL2" s="201"/>
      <c r="KWM2" s="201"/>
      <c r="KWN2" s="201"/>
      <c r="KWO2" s="201"/>
      <c r="KWP2" s="201"/>
      <c r="KWQ2" s="201"/>
      <c r="KWR2" s="201"/>
      <c r="KWS2" s="201"/>
      <c r="KWT2" s="201"/>
      <c r="KWU2" s="201"/>
      <c r="KWV2" s="201"/>
      <c r="KWW2" s="201"/>
      <c r="KWX2" s="201"/>
      <c r="KWY2" s="201"/>
      <c r="KWZ2" s="201"/>
      <c r="KXA2" s="201"/>
      <c r="KXB2" s="201"/>
      <c r="KXC2" s="201"/>
      <c r="KXD2" s="201"/>
      <c r="KXE2" s="201"/>
      <c r="KXF2" s="201"/>
      <c r="KXG2" s="201"/>
      <c r="KXH2" s="201"/>
      <c r="KXI2" s="201"/>
      <c r="KXJ2" s="201"/>
      <c r="KXK2" s="201"/>
      <c r="KXL2" s="201"/>
      <c r="KXM2" s="201"/>
      <c r="KXN2" s="201"/>
      <c r="KXO2" s="201"/>
      <c r="KXP2" s="201"/>
      <c r="KXQ2" s="201"/>
      <c r="KXR2" s="201"/>
      <c r="KXS2" s="201"/>
      <c r="KXT2" s="201"/>
      <c r="KXU2" s="201"/>
      <c r="KXV2" s="201"/>
      <c r="KXW2" s="201"/>
      <c r="KXX2" s="201"/>
      <c r="KXY2" s="201"/>
      <c r="KXZ2" s="201"/>
      <c r="KYA2" s="201"/>
      <c r="KYB2" s="201"/>
      <c r="KYC2" s="201"/>
      <c r="KYD2" s="201"/>
      <c r="KYE2" s="201"/>
      <c r="KYF2" s="201"/>
      <c r="KYG2" s="201"/>
      <c r="KYH2" s="201"/>
      <c r="KYI2" s="201"/>
      <c r="KYJ2" s="201"/>
      <c r="KYK2" s="201"/>
      <c r="KYL2" s="201"/>
      <c r="KYM2" s="201"/>
      <c r="KYN2" s="201"/>
      <c r="KYO2" s="201"/>
      <c r="KYP2" s="201"/>
      <c r="KYQ2" s="201"/>
      <c r="KYR2" s="201"/>
      <c r="KYS2" s="201"/>
      <c r="KYT2" s="201"/>
      <c r="KYU2" s="201"/>
      <c r="KYV2" s="201"/>
      <c r="KYW2" s="201"/>
      <c r="KYX2" s="201"/>
      <c r="KYY2" s="201"/>
      <c r="KYZ2" s="201"/>
      <c r="KZA2" s="201"/>
      <c r="KZB2" s="201"/>
      <c r="KZC2" s="201"/>
      <c r="KZD2" s="201"/>
      <c r="KZE2" s="201"/>
      <c r="KZF2" s="201"/>
      <c r="KZG2" s="201"/>
      <c r="KZH2" s="201"/>
      <c r="KZI2" s="201"/>
      <c r="KZJ2" s="201"/>
      <c r="KZK2" s="201"/>
      <c r="KZL2" s="201"/>
      <c r="KZM2" s="201"/>
      <c r="KZN2" s="201"/>
      <c r="KZO2" s="201"/>
      <c r="KZP2" s="201"/>
      <c r="KZQ2" s="201"/>
      <c r="KZR2" s="201"/>
      <c r="KZS2" s="201"/>
      <c r="KZT2" s="201"/>
      <c r="KZU2" s="201"/>
      <c r="KZV2" s="201"/>
      <c r="KZW2" s="201"/>
      <c r="KZX2" s="201"/>
      <c r="KZY2" s="201"/>
      <c r="KZZ2" s="201"/>
      <c r="LAA2" s="201"/>
      <c r="LAB2" s="201"/>
      <c r="LAC2" s="201"/>
      <c r="LAD2" s="201"/>
      <c r="LAE2" s="201"/>
      <c r="LAF2" s="201"/>
      <c r="LAG2" s="201"/>
      <c r="LAH2" s="201"/>
      <c r="LAI2" s="201"/>
      <c r="LAJ2" s="201"/>
      <c r="LAK2" s="201"/>
      <c r="LAL2" s="201"/>
      <c r="LAM2" s="201"/>
      <c r="LAN2" s="201"/>
      <c r="LAO2" s="201"/>
      <c r="LAP2" s="201"/>
      <c r="LAQ2" s="201"/>
      <c r="LAR2" s="201"/>
      <c r="LAS2" s="201"/>
      <c r="LAT2" s="201"/>
      <c r="LAU2" s="201"/>
      <c r="LAV2" s="201"/>
      <c r="LAW2" s="201"/>
      <c r="LAX2" s="201"/>
      <c r="LAY2" s="201"/>
      <c r="LAZ2" s="201"/>
      <c r="LBA2" s="201"/>
      <c r="LBB2" s="201"/>
      <c r="LBC2" s="201"/>
      <c r="LBD2" s="201"/>
      <c r="LBE2" s="201"/>
      <c r="LBF2" s="201"/>
      <c r="LBG2" s="201"/>
      <c r="LBH2" s="201"/>
      <c r="LBI2" s="201"/>
      <c r="LBJ2" s="201"/>
      <c r="LBK2" s="201"/>
      <c r="LBL2" s="201"/>
      <c r="LBM2" s="201"/>
      <c r="LBN2" s="201"/>
      <c r="LBO2" s="201"/>
      <c r="LBP2" s="201"/>
      <c r="LBQ2" s="201"/>
      <c r="LBR2" s="201"/>
      <c r="LBS2" s="201"/>
      <c r="LBT2" s="201"/>
      <c r="LBU2" s="201"/>
      <c r="LBV2" s="201"/>
      <c r="LBW2" s="201"/>
      <c r="LBX2" s="201"/>
      <c r="LBY2" s="201"/>
      <c r="LBZ2" s="201"/>
      <c r="LCA2" s="201"/>
      <c r="LCB2" s="201"/>
      <c r="LCC2" s="201"/>
      <c r="LCD2" s="201"/>
      <c r="LCE2" s="201"/>
      <c r="LCF2" s="201"/>
      <c r="LCG2" s="201"/>
      <c r="LCH2" s="201"/>
      <c r="LCI2" s="201"/>
      <c r="LCJ2" s="201"/>
      <c r="LCK2" s="201"/>
      <c r="LCL2" s="201"/>
      <c r="LCM2" s="201"/>
      <c r="LCN2" s="201"/>
      <c r="LCO2" s="201"/>
      <c r="LCP2" s="201"/>
      <c r="LCQ2" s="201"/>
      <c r="LCR2" s="201"/>
      <c r="LCS2" s="201"/>
      <c r="LCT2" s="201"/>
      <c r="LCU2" s="201"/>
      <c r="LCV2" s="201"/>
      <c r="LCW2" s="201"/>
      <c r="LCX2" s="201"/>
      <c r="LCY2" s="201"/>
      <c r="LCZ2" s="201"/>
      <c r="LDA2" s="201"/>
      <c r="LDB2" s="201"/>
      <c r="LDC2" s="201"/>
      <c r="LDD2" s="201"/>
      <c r="LDE2" s="201"/>
      <c r="LDF2" s="201"/>
      <c r="LDG2" s="201"/>
      <c r="LDH2" s="201"/>
      <c r="LDI2" s="201"/>
      <c r="LDJ2" s="201"/>
      <c r="LDK2" s="201"/>
      <c r="LDL2" s="201"/>
      <c r="LDM2" s="201"/>
      <c r="LDN2" s="201"/>
      <c r="LDO2" s="201"/>
      <c r="LDP2" s="201"/>
      <c r="LDQ2" s="201"/>
      <c r="LDR2" s="201"/>
      <c r="LDS2" s="201"/>
      <c r="LDT2" s="201"/>
      <c r="LDU2" s="201"/>
      <c r="LDV2" s="201"/>
      <c r="LDW2" s="201"/>
      <c r="LDX2" s="201"/>
      <c r="LDY2" s="201"/>
      <c r="LDZ2" s="201"/>
      <c r="LEA2" s="201"/>
      <c r="LEB2" s="201"/>
      <c r="LEC2" s="201"/>
      <c r="LED2" s="201"/>
      <c r="LEE2" s="201"/>
      <c r="LEF2" s="201"/>
      <c r="LEG2" s="201"/>
      <c r="LEH2" s="201"/>
      <c r="LEI2" s="201"/>
      <c r="LEJ2" s="201"/>
      <c r="LEK2" s="201"/>
      <c r="LEL2" s="201"/>
      <c r="LEM2" s="201"/>
      <c r="LEN2" s="201"/>
      <c r="LEO2" s="201"/>
      <c r="LEP2" s="201"/>
      <c r="LEQ2" s="201"/>
      <c r="LER2" s="201"/>
      <c r="LES2" s="201"/>
      <c r="LET2" s="201"/>
      <c r="LEU2" s="201"/>
      <c r="LEV2" s="201"/>
      <c r="LEW2" s="201"/>
      <c r="LEX2" s="201"/>
      <c r="LEY2" s="201"/>
      <c r="LEZ2" s="201"/>
      <c r="LFA2" s="201"/>
      <c r="LFB2" s="201"/>
      <c r="LFC2" s="201"/>
      <c r="LFD2" s="201"/>
      <c r="LFE2" s="201"/>
      <c r="LFF2" s="201"/>
      <c r="LFG2" s="201"/>
      <c r="LFH2" s="201"/>
      <c r="LFI2" s="201"/>
      <c r="LFJ2" s="201"/>
      <c r="LFK2" s="201"/>
      <c r="LFL2" s="201"/>
      <c r="LFM2" s="201"/>
      <c r="LFN2" s="201"/>
      <c r="LFO2" s="201"/>
      <c r="LFP2" s="201"/>
      <c r="LFQ2" s="201"/>
      <c r="LFR2" s="201"/>
      <c r="LFS2" s="201"/>
      <c r="LFT2" s="201"/>
      <c r="LFU2" s="201"/>
      <c r="LFV2" s="201"/>
      <c r="LFW2" s="201"/>
      <c r="LFX2" s="201"/>
      <c r="LFY2" s="201"/>
      <c r="LFZ2" s="201"/>
      <c r="LGA2" s="201"/>
      <c r="LGB2" s="201"/>
      <c r="LGC2" s="201"/>
      <c r="LGD2" s="201"/>
      <c r="LGE2" s="201"/>
      <c r="LGF2" s="201"/>
      <c r="LGG2" s="201"/>
      <c r="LGH2" s="201"/>
      <c r="LGI2" s="201"/>
      <c r="LGJ2" s="201"/>
      <c r="LGK2" s="201"/>
      <c r="LGL2" s="201"/>
      <c r="LGM2" s="201"/>
      <c r="LGN2" s="201"/>
      <c r="LGO2" s="201"/>
      <c r="LGP2" s="201"/>
      <c r="LGQ2" s="201"/>
      <c r="LGR2" s="201"/>
      <c r="LGS2" s="201"/>
      <c r="LGT2" s="201"/>
      <c r="LGU2" s="201"/>
      <c r="LGV2" s="201"/>
      <c r="LGW2" s="201"/>
      <c r="LGX2" s="201"/>
      <c r="LGY2" s="201"/>
      <c r="LGZ2" s="201"/>
      <c r="LHA2" s="201"/>
      <c r="LHB2" s="201"/>
      <c r="LHC2" s="201"/>
      <c r="LHD2" s="201"/>
      <c r="LHE2" s="201"/>
      <c r="LHF2" s="201"/>
      <c r="LHG2" s="201"/>
      <c r="LHH2" s="201"/>
      <c r="LHI2" s="201"/>
      <c r="LHJ2" s="201"/>
      <c r="LHK2" s="201"/>
      <c r="LHL2" s="201"/>
      <c r="LHM2" s="201"/>
      <c r="LHN2" s="201"/>
      <c r="LHO2" s="201"/>
      <c r="LHP2" s="201"/>
      <c r="LHQ2" s="201"/>
      <c r="LHR2" s="201"/>
      <c r="LHS2" s="201"/>
      <c r="LHT2" s="201"/>
      <c r="LHU2" s="201"/>
      <c r="LHV2" s="201"/>
      <c r="LHW2" s="201"/>
      <c r="LHX2" s="201"/>
      <c r="LHY2" s="201"/>
      <c r="LHZ2" s="201"/>
      <c r="LIA2" s="201"/>
      <c r="LIB2" s="201"/>
      <c r="LIC2" s="201"/>
      <c r="LID2" s="201"/>
      <c r="LIE2" s="201"/>
      <c r="LIF2" s="201"/>
      <c r="LIG2" s="201"/>
      <c r="LIH2" s="201"/>
      <c r="LII2" s="201"/>
      <c r="LIJ2" s="201"/>
      <c r="LIK2" s="201"/>
      <c r="LIL2" s="201"/>
      <c r="LIM2" s="201"/>
      <c r="LIN2" s="201"/>
      <c r="LIO2" s="201"/>
      <c r="LIP2" s="201"/>
      <c r="LIQ2" s="201"/>
      <c r="LIR2" s="201"/>
      <c r="LIS2" s="201"/>
      <c r="LIT2" s="201"/>
      <c r="LIU2" s="201"/>
      <c r="LIV2" s="201"/>
      <c r="LIW2" s="201"/>
      <c r="LIX2" s="201"/>
      <c r="LIY2" s="201"/>
      <c r="LIZ2" s="201"/>
      <c r="LJA2" s="201"/>
      <c r="LJB2" s="201"/>
      <c r="LJC2" s="201"/>
      <c r="LJD2" s="201"/>
      <c r="LJE2" s="201"/>
      <c r="LJF2" s="201"/>
      <c r="LJG2" s="201"/>
      <c r="LJH2" s="201"/>
      <c r="LJI2" s="201"/>
      <c r="LJJ2" s="201"/>
      <c r="LJK2" s="201"/>
      <c r="LJL2" s="201"/>
      <c r="LJM2" s="201"/>
      <c r="LJN2" s="201"/>
      <c r="LJO2" s="201"/>
      <c r="LJP2" s="201"/>
      <c r="LJQ2" s="201"/>
      <c r="LJR2" s="201"/>
      <c r="LJS2" s="201"/>
      <c r="LJT2" s="201"/>
      <c r="LJU2" s="201"/>
      <c r="LJV2" s="201"/>
      <c r="LJW2" s="201"/>
      <c r="LJX2" s="201"/>
      <c r="LJY2" s="201"/>
      <c r="LJZ2" s="201"/>
      <c r="LKA2" s="201"/>
      <c r="LKB2" s="201"/>
      <c r="LKC2" s="201"/>
      <c r="LKD2" s="201"/>
      <c r="LKE2" s="201"/>
      <c r="LKF2" s="201"/>
      <c r="LKG2" s="201"/>
      <c r="LKH2" s="201"/>
      <c r="LKI2" s="201"/>
      <c r="LKJ2" s="201"/>
      <c r="LKK2" s="201"/>
      <c r="LKL2" s="201"/>
      <c r="LKM2" s="201"/>
      <c r="LKN2" s="201"/>
      <c r="LKO2" s="201"/>
      <c r="LKP2" s="201"/>
      <c r="LKQ2" s="201"/>
      <c r="LKR2" s="201"/>
      <c r="LKS2" s="201"/>
      <c r="LKT2" s="201"/>
      <c r="LKU2" s="201"/>
      <c r="LKV2" s="201"/>
      <c r="LKW2" s="201"/>
      <c r="LKX2" s="201"/>
      <c r="LKY2" s="201"/>
      <c r="LKZ2" s="201"/>
      <c r="LLA2" s="201"/>
      <c r="LLB2" s="201"/>
      <c r="LLC2" s="201"/>
      <c r="LLD2" s="201"/>
      <c r="LLE2" s="201"/>
      <c r="LLF2" s="201"/>
      <c r="LLG2" s="201"/>
      <c r="LLH2" s="201"/>
      <c r="LLI2" s="201"/>
      <c r="LLJ2" s="201"/>
      <c r="LLK2" s="201"/>
      <c r="LLL2" s="201"/>
      <c r="LLM2" s="201"/>
      <c r="LLN2" s="201"/>
      <c r="LLO2" s="201"/>
      <c r="LLP2" s="201"/>
      <c r="LLQ2" s="201"/>
      <c r="LLR2" s="201"/>
      <c r="LLS2" s="201"/>
      <c r="LLT2" s="201"/>
      <c r="LLU2" s="201"/>
      <c r="LLV2" s="201"/>
      <c r="LLW2" s="201"/>
      <c r="LLX2" s="201"/>
      <c r="LLY2" s="201"/>
      <c r="LLZ2" s="201"/>
      <c r="LMA2" s="201"/>
      <c r="LMB2" s="201"/>
      <c r="LMC2" s="201"/>
      <c r="LMD2" s="201"/>
      <c r="LME2" s="201"/>
      <c r="LMF2" s="201"/>
      <c r="LMG2" s="201"/>
      <c r="LMH2" s="201"/>
      <c r="LMI2" s="201"/>
      <c r="LMJ2" s="201"/>
      <c r="LMK2" s="201"/>
      <c r="LML2" s="201"/>
      <c r="LMM2" s="201"/>
      <c r="LMN2" s="201"/>
      <c r="LMO2" s="201"/>
      <c r="LMP2" s="201"/>
      <c r="LMQ2" s="201"/>
      <c r="LMR2" s="201"/>
      <c r="LMS2" s="201"/>
      <c r="LMT2" s="201"/>
      <c r="LMU2" s="201"/>
      <c r="LMV2" s="201"/>
      <c r="LMW2" s="201"/>
      <c r="LMX2" s="201"/>
      <c r="LMY2" s="201"/>
      <c r="LMZ2" s="201"/>
      <c r="LNA2" s="201"/>
      <c r="LNB2" s="201"/>
      <c r="LNC2" s="201"/>
      <c r="LND2" s="201"/>
      <c r="LNE2" s="201"/>
      <c r="LNF2" s="201"/>
      <c r="LNG2" s="201"/>
      <c r="LNH2" s="201"/>
      <c r="LNI2" s="201"/>
      <c r="LNJ2" s="201"/>
      <c r="LNK2" s="201"/>
      <c r="LNL2" s="201"/>
      <c r="LNM2" s="201"/>
      <c r="LNN2" s="201"/>
      <c r="LNO2" s="201"/>
      <c r="LNP2" s="201"/>
      <c r="LNQ2" s="201"/>
      <c r="LNR2" s="201"/>
      <c r="LNS2" s="201"/>
      <c r="LNT2" s="201"/>
      <c r="LNU2" s="201"/>
      <c r="LNV2" s="201"/>
      <c r="LNW2" s="201"/>
      <c r="LNX2" s="201"/>
      <c r="LNY2" s="201"/>
      <c r="LNZ2" s="201"/>
      <c r="LOA2" s="201"/>
      <c r="LOB2" s="201"/>
      <c r="LOC2" s="201"/>
      <c r="LOD2" s="201"/>
      <c r="LOE2" s="201"/>
      <c r="LOF2" s="201"/>
      <c r="LOG2" s="201"/>
      <c r="LOH2" s="201"/>
      <c r="LOI2" s="201"/>
      <c r="LOJ2" s="201"/>
      <c r="LOK2" s="201"/>
      <c r="LOL2" s="201"/>
      <c r="LOM2" s="201"/>
      <c r="LON2" s="201"/>
      <c r="LOO2" s="201"/>
      <c r="LOP2" s="201"/>
      <c r="LOQ2" s="201"/>
      <c r="LOR2" s="201"/>
      <c r="LOS2" s="201"/>
      <c r="LOT2" s="201"/>
      <c r="LOU2" s="201"/>
      <c r="LOV2" s="201"/>
      <c r="LOW2" s="201"/>
      <c r="LOX2" s="201"/>
      <c r="LOY2" s="201"/>
      <c r="LOZ2" s="201"/>
      <c r="LPA2" s="201"/>
      <c r="LPB2" s="201"/>
      <c r="LPC2" s="201"/>
      <c r="LPD2" s="201"/>
      <c r="LPE2" s="201"/>
      <c r="LPF2" s="201"/>
      <c r="LPG2" s="201"/>
      <c r="LPH2" s="201"/>
      <c r="LPI2" s="201"/>
      <c r="LPJ2" s="201"/>
      <c r="LPK2" s="201"/>
      <c r="LPL2" s="201"/>
      <c r="LPM2" s="201"/>
      <c r="LPN2" s="201"/>
      <c r="LPO2" s="201"/>
      <c r="LPP2" s="201"/>
      <c r="LPQ2" s="201"/>
      <c r="LPR2" s="201"/>
      <c r="LPS2" s="201"/>
      <c r="LPT2" s="201"/>
      <c r="LPU2" s="201"/>
      <c r="LPV2" s="201"/>
      <c r="LPW2" s="201"/>
      <c r="LPX2" s="201"/>
      <c r="LPY2" s="201"/>
      <c r="LPZ2" s="201"/>
      <c r="LQA2" s="201"/>
      <c r="LQB2" s="201"/>
      <c r="LQC2" s="201"/>
      <c r="LQD2" s="201"/>
      <c r="LQE2" s="201"/>
      <c r="LQF2" s="201"/>
      <c r="LQG2" s="201"/>
      <c r="LQH2" s="201"/>
      <c r="LQI2" s="201"/>
      <c r="LQJ2" s="201"/>
      <c r="LQK2" s="201"/>
      <c r="LQL2" s="201"/>
      <c r="LQM2" s="201"/>
      <c r="LQN2" s="201"/>
      <c r="LQO2" s="201"/>
      <c r="LQP2" s="201"/>
      <c r="LQQ2" s="201"/>
      <c r="LQR2" s="201"/>
      <c r="LQS2" s="201"/>
      <c r="LQT2" s="201"/>
      <c r="LQU2" s="201"/>
      <c r="LQV2" s="201"/>
      <c r="LQW2" s="201"/>
      <c r="LQX2" s="201"/>
      <c r="LQY2" s="201"/>
      <c r="LQZ2" s="201"/>
      <c r="LRA2" s="201"/>
      <c r="LRB2" s="201"/>
      <c r="LRC2" s="201"/>
      <c r="LRD2" s="201"/>
      <c r="LRE2" s="201"/>
      <c r="LRF2" s="201"/>
      <c r="LRG2" s="201"/>
      <c r="LRH2" s="201"/>
      <c r="LRI2" s="201"/>
      <c r="LRJ2" s="201"/>
      <c r="LRK2" s="201"/>
      <c r="LRL2" s="201"/>
      <c r="LRM2" s="201"/>
      <c r="LRN2" s="201"/>
      <c r="LRO2" s="201"/>
      <c r="LRP2" s="201"/>
      <c r="LRQ2" s="201"/>
      <c r="LRR2" s="201"/>
      <c r="LRS2" s="201"/>
      <c r="LRT2" s="201"/>
      <c r="LRU2" s="201"/>
      <c r="LRV2" s="201"/>
      <c r="LRW2" s="201"/>
      <c r="LRX2" s="201"/>
      <c r="LRY2" s="201"/>
      <c r="LRZ2" s="201"/>
      <c r="LSA2" s="201"/>
      <c r="LSB2" s="201"/>
      <c r="LSC2" s="201"/>
      <c r="LSD2" s="201"/>
      <c r="LSE2" s="201"/>
      <c r="LSF2" s="201"/>
      <c r="LSG2" s="201"/>
      <c r="LSH2" s="201"/>
      <c r="LSI2" s="201"/>
      <c r="LSJ2" s="201"/>
      <c r="LSK2" s="201"/>
      <c r="LSL2" s="201"/>
      <c r="LSM2" s="201"/>
      <c r="LSN2" s="201"/>
      <c r="LSO2" s="201"/>
      <c r="LSP2" s="201"/>
      <c r="LSQ2" s="201"/>
      <c r="LSR2" s="201"/>
      <c r="LSS2" s="201"/>
      <c r="LST2" s="201"/>
      <c r="LSU2" s="201"/>
      <c r="LSV2" s="201"/>
      <c r="LSW2" s="201"/>
      <c r="LSX2" s="201"/>
      <c r="LSY2" s="201"/>
      <c r="LSZ2" s="201"/>
      <c r="LTA2" s="201"/>
      <c r="LTB2" s="201"/>
      <c r="LTC2" s="201"/>
      <c r="LTD2" s="201"/>
      <c r="LTE2" s="201"/>
      <c r="LTF2" s="201"/>
      <c r="LTG2" s="201"/>
      <c r="LTH2" s="201"/>
      <c r="LTI2" s="201"/>
      <c r="LTJ2" s="201"/>
      <c r="LTK2" s="201"/>
      <c r="LTL2" s="201"/>
      <c r="LTM2" s="201"/>
      <c r="LTN2" s="201"/>
      <c r="LTO2" s="201"/>
      <c r="LTP2" s="201"/>
      <c r="LTQ2" s="201"/>
      <c r="LTR2" s="201"/>
      <c r="LTS2" s="201"/>
      <c r="LTT2" s="201"/>
      <c r="LTU2" s="201"/>
      <c r="LTV2" s="201"/>
      <c r="LTW2" s="201"/>
      <c r="LTX2" s="201"/>
      <c r="LTY2" s="201"/>
      <c r="LTZ2" s="201"/>
      <c r="LUA2" s="201"/>
      <c r="LUB2" s="201"/>
      <c r="LUC2" s="201"/>
      <c r="LUD2" s="201"/>
      <c r="LUE2" s="201"/>
      <c r="LUF2" s="201"/>
      <c r="LUG2" s="201"/>
      <c r="LUH2" s="201"/>
      <c r="LUI2" s="201"/>
      <c r="LUJ2" s="201"/>
      <c r="LUK2" s="201"/>
      <c r="LUL2" s="201"/>
      <c r="LUM2" s="201"/>
      <c r="LUN2" s="201"/>
      <c r="LUO2" s="201"/>
      <c r="LUP2" s="201"/>
      <c r="LUQ2" s="201"/>
      <c r="LUR2" s="201"/>
      <c r="LUS2" s="201"/>
      <c r="LUT2" s="201"/>
      <c r="LUU2" s="201"/>
      <c r="LUV2" s="201"/>
      <c r="LUW2" s="201"/>
      <c r="LUX2" s="201"/>
      <c r="LUY2" s="201"/>
      <c r="LUZ2" s="201"/>
      <c r="LVA2" s="201"/>
      <c r="LVB2" s="201"/>
      <c r="LVC2" s="201"/>
      <c r="LVD2" s="201"/>
      <c r="LVE2" s="201"/>
      <c r="LVF2" s="201"/>
      <c r="LVG2" s="201"/>
      <c r="LVH2" s="201"/>
      <c r="LVI2" s="201"/>
      <c r="LVJ2" s="201"/>
      <c r="LVK2" s="201"/>
      <c r="LVL2" s="201"/>
      <c r="LVM2" s="201"/>
      <c r="LVN2" s="201"/>
      <c r="LVO2" s="201"/>
      <c r="LVP2" s="201"/>
      <c r="LVQ2" s="201"/>
      <c r="LVR2" s="201"/>
      <c r="LVS2" s="201"/>
      <c r="LVT2" s="201"/>
      <c r="LVU2" s="201"/>
      <c r="LVV2" s="201"/>
      <c r="LVW2" s="201"/>
      <c r="LVX2" s="201"/>
      <c r="LVY2" s="201"/>
      <c r="LVZ2" s="201"/>
      <c r="LWA2" s="201"/>
      <c r="LWB2" s="201"/>
      <c r="LWC2" s="201"/>
      <c r="LWD2" s="201"/>
      <c r="LWE2" s="201"/>
      <c r="LWF2" s="201"/>
      <c r="LWG2" s="201"/>
      <c r="LWH2" s="201"/>
      <c r="LWI2" s="201"/>
      <c r="LWJ2" s="201"/>
      <c r="LWK2" s="201"/>
      <c r="LWL2" s="201"/>
      <c r="LWM2" s="201"/>
      <c r="LWN2" s="201"/>
      <c r="LWO2" s="201"/>
      <c r="LWP2" s="201"/>
      <c r="LWQ2" s="201"/>
      <c r="LWR2" s="201"/>
      <c r="LWS2" s="201"/>
      <c r="LWT2" s="201"/>
      <c r="LWU2" s="201"/>
      <c r="LWV2" s="201"/>
      <c r="LWW2" s="201"/>
      <c r="LWX2" s="201"/>
      <c r="LWY2" s="201"/>
      <c r="LWZ2" s="201"/>
      <c r="LXA2" s="201"/>
      <c r="LXB2" s="201"/>
      <c r="LXC2" s="201"/>
      <c r="LXD2" s="201"/>
      <c r="LXE2" s="201"/>
      <c r="LXF2" s="201"/>
      <c r="LXG2" s="201"/>
      <c r="LXH2" s="201"/>
      <c r="LXI2" s="201"/>
      <c r="LXJ2" s="201"/>
      <c r="LXK2" s="201"/>
      <c r="LXL2" s="201"/>
      <c r="LXM2" s="201"/>
      <c r="LXN2" s="201"/>
      <c r="LXO2" s="201"/>
      <c r="LXP2" s="201"/>
      <c r="LXQ2" s="201"/>
      <c r="LXR2" s="201"/>
      <c r="LXS2" s="201"/>
      <c r="LXT2" s="201"/>
      <c r="LXU2" s="201"/>
      <c r="LXV2" s="201"/>
      <c r="LXW2" s="201"/>
      <c r="LXX2" s="201"/>
      <c r="LXY2" s="201"/>
      <c r="LXZ2" s="201"/>
      <c r="LYA2" s="201"/>
      <c r="LYB2" s="201"/>
      <c r="LYC2" s="201"/>
      <c r="LYD2" s="201"/>
      <c r="LYE2" s="201"/>
      <c r="LYF2" s="201"/>
      <c r="LYG2" s="201"/>
      <c r="LYH2" s="201"/>
      <c r="LYI2" s="201"/>
      <c r="LYJ2" s="201"/>
      <c r="LYK2" s="201"/>
      <c r="LYL2" s="201"/>
      <c r="LYM2" s="201"/>
      <c r="LYN2" s="201"/>
      <c r="LYO2" s="201"/>
      <c r="LYP2" s="201"/>
      <c r="LYQ2" s="201"/>
      <c r="LYR2" s="201"/>
      <c r="LYS2" s="201"/>
      <c r="LYT2" s="201"/>
      <c r="LYU2" s="201"/>
      <c r="LYV2" s="201"/>
      <c r="LYW2" s="201"/>
      <c r="LYX2" s="201"/>
      <c r="LYY2" s="201"/>
      <c r="LYZ2" s="201"/>
      <c r="LZA2" s="201"/>
      <c r="LZB2" s="201"/>
      <c r="LZC2" s="201"/>
      <c r="LZD2" s="201"/>
      <c r="LZE2" s="201"/>
      <c r="LZF2" s="201"/>
      <c r="LZG2" s="201"/>
      <c r="LZH2" s="201"/>
      <c r="LZI2" s="201"/>
      <c r="LZJ2" s="201"/>
      <c r="LZK2" s="201"/>
      <c r="LZL2" s="201"/>
      <c r="LZM2" s="201"/>
      <c r="LZN2" s="201"/>
      <c r="LZO2" s="201"/>
      <c r="LZP2" s="201"/>
      <c r="LZQ2" s="201"/>
      <c r="LZR2" s="201"/>
      <c r="LZS2" s="201"/>
      <c r="LZT2" s="201"/>
      <c r="LZU2" s="201"/>
      <c r="LZV2" s="201"/>
      <c r="LZW2" s="201"/>
      <c r="LZX2" s="201"/>
      <c r="LZY2" s="201"/>
      <c r="LZZ2" s="201"/>
      <c r="MAA2" s="201"/>
      <c r="MAB2" s="201"/>
      <c r="MAC2" s="201"/>
      <c r="MAD2" s="201"/>
      <c r="MAE2" s="201"/>
      <c r="MAF2" s="201"/>
      <c r="MAG2" s="201"/>
      <c r="MAH2" s="201"/>
      <c r="MAI2" s="201"/>
      <c r="MAJ2" s="201"/>
      <c r="MAK2" s="201"/>
      <c r="MAL2" s="201"/>
      <c r="MAM2" s="201"/>
      <c r="MAN2" s="201"/>
      <c r="MAO2" s="201"/>
      <c r="MAP2" s="201"/>
      <c r="MAQ2" s="201"/>
      <c r="MAR2" s="201"/>
      <c r="MAS2" s="201"/>
      <c r="MAT2" s="201"/>
      <c r="MAU2" s="201"/>
      <c r="MAV2" s="201"/>
      <c r="MAW2" s="201"/>
      <c r="MAX2" s="201"/>
      <c r="MAY2" s="201"/>
      <c r="MAZ2" s="201"/>
      <c r="MBA2" s="201"/>
      <c r="MBB2" s="201"/>
      <c r="MBC2" s="201"/>
      <c r="MBD2" s="201"/>
      <c r="MBE2" s="201"/>
      <c r="MBF2" s="201"/>
      <c r="MBG2" s="201"/>
      <c r="MBH2" s="201"/>
      <c r="MBI2" s="201"/>
      <c r="MBJ2" s="201"/>
      <c r="MBK2" s="201"/>
      <c r="MBL2" s="201"/>
      <c r="MBM2" s="201"/>
      <c r="MBN2" s="201"/>
      <c r="MBO2" s="201"/>
      <c r="MBP2" s="201"/>
      <c r="MBQ2" s="201"/>
      <c r="MBR2" s="201"/>
      <c r="MBS2" s="201"/>
      <c r="MBT2" s="201"/>
      <c r="MBU2" s="201"/>
      <c r="MBV2" s="201"/>
      <c r="MBW2" s="201"/>
      <c r="MBX2" s="201"/>
      <c r="MBY2" s="201"/>
      <c r="MBZ2" s="201"/>
      <c r="MCA2" s="201"/>
      <c r="MCB2" s="201"/>
      <c r="MCC2" s="201"/>
      <c r="MCD2" s="201"/>
      <c r="MCE2" s="201"/>
      <c r="MCF2" s="201"/>
      <c r="MCG2" s="201"/>
      <c r="MCH2" s="201"/>
      <c r="MCI2" s="201"/>
      <c r="MCJ2" s="201"/>
      <c r="MCK2" s="201"/>
      <c r="MCL2" s="201"/>
      <c r="MCM2" s="201"/>
      <c r="MCN2" s="201"/>
      <c r="MCO2" s="201"/>
      <c r="MCP2" s="201"/>
      <c r="MCQ2" s="201"/>
      <c r="MCR2" s="201"/>
      <c r="MCS2" s="201"/>
      <c r="MCT2" s="201"/>
      <c r="MCU2" s="201"/>
      <c r="MCV2" s="201"/>
      <c r="MCW2" s="201"/>
      <c r="MCX2" s="201"/>
      <c r="MCY2" s="201"/>
      <c r="MCZ2" s="201"/>
      <c r="MDA2" s="201"/>
      <c r="MDB2" s="201"/>
      <c r="MDC2" s="201"/>
      <c r="MDD2" s="201"/>
      <c r="MDE2" s="201"/>
      <c r="MDF2" s="201"/>
      <c r="MDG2" s="201"/>
      <c r="MDH2" s="201"/>
      <c r="MDI2" s="201"/>
      <c r="MDJ2" s="201"/>
      <c r="MDK2" s="201"/>
      <c r="MDL2" s="201"/>
      <c r="MDM2" s="201"/>
      <c r="MDN2" s="201"/>
      <c r="MDO2" s="201"/>
      <c r="MDP2" s="201"/>
      <c r="MDQ2" s="201"/>
      <c r="MDR2" s="201"/>
      <c r="MDS2" s="201"/>
      <c r="MDT2" s="201"/>
      <c r="MDU2" s="201"/>
      <c r="MDV2" s="201"/>
      <c r="MDW2" s="201"/>
      <c r="MDX2" s="201"/>
      <c r="MDY2" s="201"/>
      <c r="MDZ2" s="201"/>
      <c r="MEA2" s="201"/>
      <c r="MEB2" s="201"/>
      <c r="MEC2" s="201"/>
      <c r="MED2" s="201"/>
      <c r="MEE2" s="201"/>
      <c r="MEF2" s="201"/>
      <c r="MEG2" s="201"/>
      <c r="MEH2" s="201"/>
      <c r="MEI2" s="201"/>
      <c r="MEJ2" s="201"/>
      <c r="MEK2" s="201"/>
      <c r="MEL2" s="201"/>
      <c r="MEM2" s="201"/>
      <c r="MEN2" s="201"/>
      <c r="MEO2" s="201"/>
      <c r="MEP2" s="201"/>
      <c r="MEQ2" s="201"/>
      <c r="MER2" s="201"/>
      <c r="MES2" s="201"/>
      <c r="MET2" s="201"/>
      <c r="MEU2" s="201"/>
      <c r="MEV2" s="201"/>
      <c r="MEW2" s="201"/>
      <c r="MEX2" s="201"/>
      <c r="MEY2" s="201"/>
      <c r="MEZ2" s="201"/>
      <c r="MFA2" s="201"/>
      <c r="MFB2" s="201"/>
      <c r="MFC2" s="201"/>
      <c r="MFD2" s="201"/>
      <c r="MFE2" s="201"/>
      <c r="MFF2" s="201"/>
      <c r="MFG2" s="201"/>
      <c r="MFH2" s="201"/>
      <c r="MFI2" s="201"/>
      <c r="MFJ2" s="201"/>
      <c r="MFK2" s="201"/>
      <c r="MFL2" s="201"/>
      <c r="MFM2" s="201"/>
      <c r="MFN2" s="201"/>
      <c r="MFO2" s="201"/>
      <c r="MFP2" s="201"/>
      <c r="MFQ2" s="201"/>
      <c r="MFR2" s="201"/>
      <c r="MFS2" s="201"/>
      <c r="MFT2" s="201"/>
      <c r="MFU2" s="201"/>
      <c r="MFV2" s="201"/>
      <c r="MFW2" s="201"/>
      <c r="MFX2" s="201"/>
      <c r="MFY2" s="201"/>
      <c r="MFZ2" s="201"/>
      <c r="MGA2" s="201"/>
      <c r="MGB2" s="201"/>
      <c r="MGC2" s="201"/>
      <c r="MGD2" s="201"/>
      <c r="MGE2" s="201"/>
      <c r="MGF2" s="201"/>
      <c r="MGG2" s="201"/>
      <c r="MGH2" s="201"/>
      <c r="MGI2" s="201"/>
      <c r="MGJ2" s="201"/>
      <c r="MGK2" s="201"/>
      <c r="MGL2" s="201"/>
      <c r="MGM2" s="201"/>
      <c r="MGN2" s="201"/>
      <c r="MGO2" s="201"/>
      <c r="MGP2" s="201"/>
      <c r="MGQ2" s="201"/>
      <c r="MGR2" s="201"/>
      <c r="MGS2" s="201"/>
      <c r="MGT2" s="201"/>
      <c r="MGU2" s="201"/>
      <c r="MGV2" s="201"/>
      <c r="MGW2" s="201"/>
      <c r="MGX2" s="201"/>
      <c r="MGY2" s="201"/>
      <c r="MGZ2" s="201"/>
      <c r="MHA2" s="201"/>
      <c r="MHB2" s="201"/>
      <c r="MHC2" s="201"/>
      <c r="MHD2" s="201"/>
      <c r="MHE2" s="201"/>
      <c r="MHF2" s="201"/>
      <c r="MHG2" s="201"/>
      <c r="MHH2" s="201"/>
      <c r="MHI2" s="201"/>
      <c r="MHJ2" s="201"/>
      <c r="MHK2" s="201"/>
      <c r="MHL2" s="201"/>
      <c r="MHM2" s="201"/>
      <c r="MHN2" s="201"/>
      <c r="MHO2" s="201"/>
      <c r="MHP2" s="201"/>
      <c r="MHQ2" s="201"/>
      <c r="MHR2" s="201"/>
      <c r="MHS2" s="201"/>
      <c r="MHT2" s="201"/>
      <c r="MHU2" s="201"/>
      <c r="MHV2" s="201"/>
      <c r="MHW2" s="201"/>
      <c r="MHX2" s="201"/>
      <c r="MHY2" s="201"/>
      <c r="MHZ2" s="201"/>
      <c r="MIA2" s="201"/>
      <c r="MIB2" s="201"/>
      <c r="MIC2" s="201"/>
      <c r="MID2" s="201"/>
      <c r="MIE2" s="201"/>
      <c r="MIF2" s="201"/>
      <c r="MIG2" s="201"/>
      <c r="MIH2" s="201"/>
      <c r="MII2" s="201"/>
      <c r="MIJ2" s="201"/>
      <c r="MIK2" s="201"/>
      <c r="MIL2" s="201"/>
      <c r="MIM2" s="201"/>
      <c r="MIN2" s="201"/>
      <c r="MIO2" s="201"/>
      <c r="MIP2" s="201"/>
      <c r="MIQ2" s="201"/>
      <c r="MIR2" s="201"/>
      <c r="MIS2" s="201"/>
      <c r="MIT2" s="201"/>
      <c r="MIU2" s="201"/>
      <c r="MIV2" s="201"/>
      <c r="MIW2" s="201"/>
      <c r="MIX2" s="201"/>
      <c r="MIY2" s="201"/>
      <c r="MIZ2" s="201"/>
      <c r="MJA2" s="201"/>
      <c r="MJB2" s="201"/>
      <c r="MJC2" s="201"/>
      <c r="MJD2" s="201"/>
      <c r="MJE2" s="201"/>
      <c r="MJF2" s="201"/>
      <c r="MJG2" s="201"/>
      <c r="MJH2" s="201"/>
      <c r="MJI2" s="201"/>
      <c r="MJJ2" s="201"/>
      <c r="MJK2" s="201"/>
      <c r="MJL2" s="201"/>
      <c r="MJM2" s="201"/>
      <c r="MJN2" s="201"/>
      <c r="MJO2" s="201"/>
      <c r="MJP2" s="201"/>
      <c r="MJQ2" s="201"/>
      <c r="MJR2" s="201"/>
      <c r="MJS2" s="201"/>
      <c r="MJT2" s="201"/>
      <c r="MJU2" s="201"/>
      <c r="MJV2" s="201"/>
      <c r="MJW2" s="201"/>
      <c r="MJX2" s="201"/>
      <c r="MJY2" s="201"/>
      <c r="MJZ2" s="201"/>
      <c r="MKA2" s="201"/>
      <c r="MKB2" s="201"/>
      <c r="MKC2" s="201"/>
      <c r="MKD2" s="201"/>
      <c r="MKE2" s="201"/>
      <c r="MKF2" s="201"/>
      <c r="MKG2" s="201"/>
      <c r="MKH2" s="201"/>
      <c r="MKI2" s="201"/>
      <c r="MKJ2" s="201"/>
      <c r="MKK2" s="201"/>
      <c r="MKL2" s="201"/>
      <c r="MKM2" s="201"/>
      <c r="MKN2" s="201"/>
      <c r="MKO2" s="201"/>
      <c r="MKP2" s="201"/>
      <c r="MKQ2" s="201"/>
      <c r="MKR2" s="201"/>
      <c r="MKS2" s="201"/>
      <c r="MKT2" s="201"/>
      <c r="MKU2" s="201"/>
      <c r="MKV2" s="201"/>
      <c r="MKW2" s="201"/>
      <c r="MKX2" s="201"/>
      <c r="MKY2" s="201"/>
      <c r="MKZ2" s="201"/>
      <c r="MLA2" s="201"/>
      <c r="MLB2" s="201"/>
      <c r="MLC2" s="201"/>
      <c r="MLD2" s="201"/>
      <c r="MLE2" s="201"/>
      <c r="MLF2" s="201"/>
      <c r="MLG2" s="201"/>
      <c r="MLH2" s="201"/>
      <c r="MLI2" s="201"/>
      <c r="MLJ2" s="201"/>
      <c r="MLK2" s="201"/>
      <c r="MLL2" s="201"/>
      <c r="MLM2" s="201"/>
      <c r="MLN2" s="201"/>
      <c r="MLO2" s="201"/>
      <c r="MLP2" s="201"/>
      <c r="MLQ2" s="201"/>
      <c r="MLR2" s="201"/>
      <c r="MLS2" s="201"/>
      <c r="MLT2" s="201"/>
      <c r="MLU2" s="201"/>
      <c r="MLV2" s="201"/>
      <c r="MLW2" s="201"/>
      <c r="MLX2" s="201"/>
      <c r="MLY2" s="201"/>
      <c r="MLZ2" s="201"/>
      <c r="MMA2" s="201"/>
      <c r="MMB2" s="201"/>
      <c r="MMC2" s="201"/>
      <c r="MMD2" s="201"/>
      <c r="MME2" s="201"/>
      <c r="MMF2" s="201"/>
      <c r="MMG2" s="201"/>
      <c r="MMH2" s="201"/>
      <c r="MMI2" s="201"/>
      <c r="MMJ2" s="201"/>
      <c r="MMK2" s="201"/>
      <c r="MML2" s="201"/>
      <c r="MMM2" s="201"/>
      <c r="MMN2" s="201"/>
      <c r="MMO2" s="201"/>
      <c r="MMP2" s="201"/>
      <c r="MMQ2" s="201"/>
      <c r="MMR2" s="201"/>
      <c r="MMS2" s="201"/>
      <c r="MMT2" s="201"/>
      <c r="MMU2" s="201"/>
      <c r="MMV2" s="201"/>
      <c r="MMW2" s="201"/>
      <c r="MMX2" s="201"/>
      <c r="MMY2" s="201"/>
      <c r="MMZ2" s="201"/>
      <c r="MNA2" s="201"/>
      <c r="MNB2" s="201"/>
      <c r="MNC2" s="201"/>
      <c r="MND2" s="201"/>
      <c r="MNE2" s="201"/>
      <c r="MNF2" s="201"/>
      <c r="MNG2" s="201"/>
      <c r="MNH2" s="201"/>
      <c r="MNI2" s="201"/>
      <c r="MNJ2" s="201"/>
      <c r="MNK2" s="201"/>
      <c r="MNL2" s="201"/>
      <c r="MNM2" s="201"/>
      <c r="MNN2" s="201"/>
      <c r="MNO2" s="201"/>
      <c r="MNP2" s="201"/>
      <c r="MNQ2" s="201"/>
      <c r="MNR2" s="201"/>
      <c r="MNS2" s="201"/>
      <c r="MNT2" s="201"/>
      <c r="MNU2" s="201"/>
      <c r="MNV2" s="201"/>
      <c r="MNW2" s="201"/>
      <c r="MNX2" s="201"/>
      <c r="MNY2" s="201"/>
      <c r="MNZ2" s="201"/>
      <c r="MOA2" s="201"/>
      <c r="MOB2" s="201"/>
      <c r="MOC2" s="201"/>
      <c r="MOD2" s="201"/>
      <c r="MOE2" s="201"/>
      <c r="MOF2" s="201"/>
      <c r="MOG2" s="201"/>
      <c r="MOH2" s="201"/>
      <c r="MOI2" s="201"/>
      <c r="MOJ2" s="201"/>
      <c r="MOK2" s="201"/>
      <c r="MOL2" s="201"/>
      <c r="MOM2" s="201"/>
      <c r="MON2" s="201"/>
      <c r="MOO2" s="201"/>
      <c r="MOP2" s="201"/>
      <c r="MOQ2" s="201"/>
      <c r="MOR2" s="201"/>
      <c r="MOS2" s="201"/>
      <c r="MOT2" s="201"/>
      <c r="MOU2" s="201"/>
      <c r="MOV2" s="201"/>
      <c r="MOW2" s="201"/>
      <c r="MOX2" s="201"/>
      <c r="MOY2" s="201"/>
      <c r="MOZ2" s="201"/>
      <c r="MPA2" s="201"/>
      <c r="MPB2" s="201"/>
      <c r="MPC2" s="201"/>
      <c r="MPD2" s="201"/>
      <c r="MPE2" s="201"/>
      <c r="MPF2" s="201"/>
      <c r="MPG2" s="201"/>
      <c r="MPH2" s="201"/>
      <c r="MPI2" s="201"/>
      <c r="MPJ2" s="201"/>
      <c r="MPK2" s="201"/>
      <c r="MPL2" s="201"/>
      <c r="MPM2" s="201"/>
      <c r="MPN2" s="201"/>
      <c r="MPO2" s="201"/>
      <c r="MPP2" s="201"/>
      <c r="MPQ2" s="201"/>
      <c r="MPR2" s="201"/>
      <c r="MPS2" s="201"/>
      <c r="MPT2" s="201"/>
      <c r="MPU2" s="201"/>
      <c r="MPV2" s="201"/>
      <c r="MPW2" s="201"/>
      <c r="MPX2" s="201"/>
      <c r="MPY2" s="201"/>
      <c r="MPZ2" s="201"/>
      <c r="MQA2" s="201"/>
      <c r="MQB2" s="201"/>
      <c r="MQC2" s="201"/>
      <c r="MQD2" s="201"/>
      <c r="MQE2" s="201"/>
      <c r="MQF2" s="201"/>
      <c r="MQG2" s="201"/>
      <c r="MQH2" s="201"/>
      <c r="MQI2" s="201"/>
      <c r="MQJ2" s="201"/>
      <c r="MQK2" s="201"/>
      <c r="MQL2" s="201"/>
      <c r="MQM2" s="201"/>
      <c r="MQN2" s="201"/>
      <c r="MQO2" s="201"/>
      <c r="MQP2" s="201"/>
      <c r="MQQ2" s="201"/>
      <c r="MQR2" s="201"/>
      <c r="MQS2" s="201"/>
      <c r="MQT2" s="201"/>
      <c r="MQU2" s="201"/>
      <c r="MQV2" s="201"/>
      <c r="MQW2" s="201"/>
      <c r="MQX2" s="201"/>
      <c r="MQY2" s="201"/>
      <c r="MQZ2" s="201"/>
      <c r="MRA2" s="201"/>
      <c r="MRB2" s="201"/>
      <c r="MRC2" s="201"/>
      <c r="MRD2" s="201"/>
      <c r="MRE2" s="201"/>
      <c r="MRF2" s="201"/>
      <c r="MRG2" s="201"/>
      <c r="MRH2" s="201"/>
      <c r="MRI2" s="201"/>
      <c r="MRJ2" s="201"/>
      <c r="MRK2" s="201"/>
      <c r="MRL2" s="201"/>
      <c r="MRM2" s="201"/>
      <c r="MRN2" s="201"/>
      <c r="MRO2" s="201"/>
      <c r="MRP2" s="201"/>
      <c r="MRQ2" s="201"/>
      <c r="MRR2" s="201"/>
      <c r="MRS2" s="201"/>
      <c r="MRT2" s="201"/>
      <c r="MRU2" s="201"/>
      <c r="MRV2" s="201"/>
      <c r="MRW2" s="201"/>
      <c r="MRX2" s="201"/>
      <c r="MRY2" s="201"/>
      <c r="MRZ2" s="201"/>
      <c r="MSA2" s="201"/>
      <c r="MSB2" s="201"/>
      <c r="MSC2" s="201"/>
      <c r="MSD2" s="201"/>
      <c r="MSE2" s="201"/>
      <c r="MSF2" s="201"/>
      <c r="MSG2" s="201"/>
      <c r="MSH2" s="201"/>
      <c r="MSI2" s="201"/>
      <c r="MSJ2" s="201"/>
      <c r="MSK2" s="201"/>
      <c r="MSL2" s="201"/>
      <c r="MSM2" s="201"/>
      <c r="MSN2" s="201"/>
      <c r="MSO2" s="201"/>
      <c r="MSP2" s="201"/>
      <c r="MSQ2" s="201"/>
      <c r="MSR2" s="201"/>
      <c r="MSS2" s="201"/>
      <c r="MST2" s="201"/>
      <c r="MSU2" s="201"/>
      <c r="MSV2" s="201"/>
      <c r="MSW2" s="201"/>
      <c r="MSX2" s="201"/>
      <c r="MSY2" s="201"/>
      <c r="MSZ2" s="201"/>
      <c r="MTA2" s="201"/>
      <c r="MTB2" s="201"/>
      <c r="MTC2" s="201"/>
      <c r="MTD2" s="201"/>
      <c r="MTE2" s="201"/>
      <c r="MTF2" s="201"/>
      <c r="MTG2" s="201"/>
      <c r="MTH2" s="201"/>
      <c r="MTI2" s="201"/>
      <c r="MTJ2" s="201"/>
      <c r="MTK2" s="201"/>
      <c r="MTL2" s="201"/>
      <c r="MTM2" s="201"/>
      <c r="MTN2" s="201"/>
      <c r="MTO2" s="201"/>
      <c r="MTP2" s="201"/>
      <c r="MTQ2" s="201"/>
      <c r="MTR2" s="201"/>
      <c r="MTS2" s="201"/>
      <c r="MTT2" s="201"/>
      <c r="MTU2" s="201"/>
      <c r="MTV2" s="201"/>
      <c r="MTW2" s="201"/>
      <c r="MTX2" s="201"/>
      <c r="MTY2" s="201"/>
      <c r="MTZ2" s="201"/>
      <c r="MUA2" s="201"/>
      <c r="MUB2" s="201"/>
      <c r="MUC2" s="201"/>
      <c r="MUD2" s="201"/>
      <c r="MUE2" s="201"/>
      <c r="MUF2" s="201"/>
      <c r="MUG2" s="201"/>
      <c r="MUH2" s="201"/>
      <c r="MUI2" s="201"/>
      <c r="MUJ2" s="201"/>
      <c r="MUK2" s="201"/>
      <c r="MUL2" s="201"/>
      <c r="MUM2" s="201"/>
      <c r="MUN2" s="201"/>
      <c r="MUO2" s="201"/>
      <c r="MUP2" s="201"/>
      <c r="MUQ2" s="201"/>
      <c r="MUR2" s="201"/>
      <c r="MUS2" s="201"/>
      <c r="MUT2" s="201"/>
      <c r="MUU2" s="201"/>
      <c r="MUV2" s="201"/>
      <c r="MUW2" s="201"/>
      <c r="MUX2" s="201"/>
      <c r="MUY2" s="201"/>
      <c r="MUZ2" s="201"/>
      <c r="MVA2" s="201"/>
      <c r="MVB2" s="201"/>
      <c r="MVC2" s="201"/>
      <c r="MVD2" s="201"/>
      <c r="MVE2" s="201"/>
      <c r="MVF2" s="201"/>
      <c r="MVG2" s="201"/>
      <c r="MVH2" s="201"/>
      <c r="MVI2" s="201"/>
      <c r="MVJ2" s="201"/>
      <c r="MVK2" s="201"/>
      <c r="MVL2" s="201"/>
      <c r="MVM2" s="201"/>
      <c r="MVN2" s="201"/>
      <c r="MVO2" s="201"/>
      <c r="MVP2" s="201"/>
      <c r="MVQ2" s="201"/>
      <c r="MVR2" s="201"/>
      <c r="MVS2" s="201"/>
      <c r="MVT2" s="201"/>
      <c r="MVU2" s="201"/>
      <c r="MVV2" s="201"/>
      <c r="MVW2" s="201"/>
      <c r="MVX2" s="201"/>
      <c r="MVY2" s="201"/>
      <c r="MVZ2" s="201"/>
      <c r="MWA2" s="201"/>
      <c r="MWB2" s="201"/>
      <c r="MWC2" s="201"/>
      <c r="MWD2" s="201"/>
      <c r="MWE2" s="201"/>
      <c r="MWF2" s="201"/>
      <c r="MWG2" s="201"/>
      <c r="MWH2" s="201"/>
      <c r="MWI2" s="201"/>
      <c r="MWJ2" s="201"/>
      <c r="MWK2" s="201"/>
      <c r="MWL2" s="201"/>
      <c r="MWM2" s="201"/>
      <c r="MWN2" s="201"/>
      <c r="MWO2" s="201"/>
      <c r="MWP2" s="201"/>
      <c r="MWQ2" s="201"/>
      <c r="MWR2" s="201"/>
      <c r="MWS2" s="201"/>
      <c r="MWT2" s="201"/>
      <c r="MWU2" s="201"/>
      <c r="MWV2" s="201"/>
      <c r="MWW2" s="201"/>
      <c r="MWX2" s="201"/>
      <c r="MWY2" s="201"/>
      <c r="MWZ2" s="201"/>
      <c r="MXA2" s="201"/>
      <c r="MXB2" s="201"/>
      <c r="MXC2" s="201"/>
      <c r="MXD2" s="201"/>
      <c r="MXE2" s="201"/>
      <c r="MXF2" s="201"/>
      <c r="MXG2" s="201"/>
      <c r="MXH2" s="201"/>
      <c r="MXI2" s="201"/>
      <c r="MXJ2" s="201"/>
      <c r="MXK2" s="201"/>
      <c r="MXL2" s="201"/>
      <c r="MXM2" s="201"/>
      <c r="MXN2" s="201"/>
      <c r="MXO2" s="201"/>
      <c r="MXP2" s="201"/>
      <c r="MXQ2" s="201"/>
      <c r="MXR2" s="201"/>
      <c r="MXS2" s="201"/>
      <c r="MXT2" s="201"/>
      <c r="MXU2" s="201"/>
      <c r="MXV2" s="201"/>
      <c r="MXW2" s="201"/>
      <c r="MXX2" s="201"/>
      <c r="MXY2" s="201"/>
      <c r="MXZ2" s="201"/>
      <c r="MYA2" s="201"/>
      <c r="MYB2" s="201"/>
      <c r="MYC2" s="201"/>
      <c r="MYD2" s="201"/>
      <c r="MYE2" s="201"/>
      <c r="MYF2" s="201"/>
      <c r="MYG2" s="201"/>
      <c r="MYH2" s="201"/>
      <c r="MYI2" s="201"/>
      <c r="MYJ2" s="201"/>
      <c r="MYK2" s="201"/>
      <c r="MYL2" s="201"/>
      <c r="MYM2" s="201"/>
      <c r="MYN2" s="201"/>
      <c r="MYO2" s="201"/>
      <c r="MYP2" s="201"/>
      <c r="MYQ2" s="201"/>
      <c r="MYR2" s="201"/>
      <c r="MYS2" s="201"/>
      <c r="MYT2" s="201"/>
      <c r="MYU2" s="201"/>
      <c r="MYV2" s="201"/>
      <c r="MYW2" s="201"/>
      <c r="MYX2" s="201"/>
      <c r="MYY2" s="201"/>
      <c r="MYZ2" s="201"/>
      <c r="MZA2" s="201"/>
      <c r="MZB2" s="201"/>
      <c r="MZC2" s="201"/>
      <c r="MZD2" s="201"/>
      <c r="MZE2" s="201"/>
      <c r="MZF2" s="201"/>
      <c r="MZG2" s="201"/>
      <c r="MZH2" s="201"/>
      <c r="MZI2" s="201"/>
      <c r="MZJ2" s="201"/>
      <c r="MZK2" s="201"/>
      <c r="MZL2" s="201"/>
      <c r="MZM2" s="201"/>
      <c r="MZN2" s="201"/>
      <c r="MZO2" s="201"/>
      <c r="MZP2" s="201"/>
      <c r="MZQ2" s="201"/>
      <c r="MZR2" s="201"/>
      <c r="MZS2" s="201"/>
      <c r="MZT2" s="201"/>
      <c r="MZU2" s="201"/>
      <c r="MZV2" s="201"/>
      <c r="MZW2" s="201"/>
      <c r="MZX2" s="201"/>
      <c r="MZY2" s="201"/>
      <c r="MZZ2" s="201"/>
      <c r="NAA2" s="201"/>
      <c r="NAB2" s="201"/>
      <c r="NAC2" s="201"/>
      <c r="NAD2" s="201"/>
      <c r="NAE2" s="201"/>
      <c r="NAF2" s="201"/>
      <c r="NAG2" s="201"/>
      <c r="NAH2" s="201"/>
      <c r="NAI2" s="201"/>
      <c r="NAJ2" s="201"/>
      <c r="NAK2" s="201"/>
      <c r="NAL2" s="201"/>
      <c r="NAM2" s="201"/>
      <c r="NAN2" s="201"/>
      <c r="NAO2" s="201"/>
      <c r="NAP2" s="201"/>
      <c r="NAQ2" s="201"/>
      <c r="NAR2" s="201"/>
      <c r="NAS2" s="201"/>
      <c r="NAT2" s="201"/>
      <c r="NAU2" s="201"/>
      <c r="NAV2" s="201"/>
      <c r="NAW2" s="201"/>
      <c r="NAX2" s="201"/>
      <c r="NAY2" s="201"/>
      <c r="NAZ2" s="201"/>
      <c r="NBA2" s="201"/>
      <c r="NBB2" s="201"/>
      <c r="NBC2" s="201"/>
      <c r="NBD2" s="201"/>
      <c r="NBE2" s="201"/>
      <c r="NBF2" s="201"/>
      <c r="NBG2" s="201"/>
      <c r="NBH2" s="201"/>
      <c r="NBI2" s="201"/>
      <c r="NBJ2" s="201"/>
      <c r="NBK2" s="201"/>
      <c r="NBL2" s="201"/>
      <c r="NBM2" s="201"/>
      <c r="NBN2" s="201"/>
      <c r="NBO2" s="201"/>
      <c r="NBP2" s="201"/>
      <c r="NBQ2" s="201"/>
      <c r="NBR2" s="201"/>
      <c r="NBS2" s="201"/>
      <c r="NBT2" s="201"/>
      <c r="NBU2" s="201"/>
      <c r="NBV2" s="201"/>
      <c r="NBW2" s="201"/>
      <c r="NBX2" s="201"/>
      <c r="NBY2" s="201"/>
      <c r="NBZ2" s="201"/>
      <c r="NCA2" s="201"/>
      <c r="NCB2" s="201"/>
      <c r="NCC2" s="201"/>
      <c r="NCD2" s="201"/>
      <c r="NCE2" s="201"/>
      <c r="NCF2" s="201"/>
      <c r="NCG2" s="201"/>
      <c r="NCH2" s="201"/>
      <c r="NCI2" s="201"/>
      <c r="NCJ2" s="201"/>
      <c r="NCK2" s="201"/>
      <c r="NCL2" s="201"/>
      <c r="NCM2" s="201"/>
      <c r="NCN2" s="201"/>
      <c r="NCO2" s="201"/>
      <c r="NCP2" s="201"/>
      <c r="NCQ2" s="201"/>
      <c r="NCR2" s="201"/>
      <c r="NCS2" s="201"/>
      <c r="NCT2" s="201"/>
      <c r="NCU2" s="201"/>
      <c r="NCV2" s="201"/>
      <c r="NCW2" s="201"/>
      <c r="NCX2" s="201"/>
      <c r="NCY2" s="201"/>
      <c r="NCZ2" s="201"/>
      <c r="NDA2" s="201"/>
      <c r="NDB2" s="201"/>
      <c r="NDC2" s="201"/>
      <c r="NDD2" s="201"/>
      <c r="NDE2" s="201"/>
      <c r="NDF2" s="201"/>
      <c r="NDG2" s="201"/>
      <c r="NDH2" s="201"/>
      <c r="NDI2" s="201"/>
      <c r="NDJ2" s="201"/>
      <c r="NDK2" s="201"/>
      <c r="NDL2" s="201"/>
      <c r="NDM2" s="201"/>
      <c r="NDN2" s="201"/>
      <c r="NDO2" s="201"/>
      <c r="NDP2" s="201"/>
      <c r="NDQ2" s="201"/>
      <c r="NDR2" s="201"/>
      <c r="NDS2" s="201"/>
      <c r="NDT2" s="201"/>
      <c r="NDU2" s="201"/>
      <c r="NDV2" s="201"/>
      <c r="NDW2" s="201"/>
      <c r="NDX2" s="201"/>
      <c r="NDY2" s="201"/>
      <c r="NDZ2" s="201"/>
      <c r="NEA2" s="201"/>
      <c r="NEB2" s="201"/>
      <c r="NEC2" s="201"/>
      <c r="NED2" s="201"/>
      <c r="NEE2" s="201"/>
      <c r="NEF2" s="201"/>
      <c r="NEG2" s="201"/>
      <c r="NEH2" s="201"/>
      <c r="NEI2" s="201"/>
      <c r="NEJ2" s="201"/>
      <c r="NEK2" s="201"/>
      <c r="NEL2" s="201"/>
      <c r="NEM2" s="201"/>
      <c r="NEN2" s="201"/>
      <c r="NEO2" s="201"/>
      <c r="NEP2" s="201"/>
      <c r="NEQ2" s="201"/>
      <c r="NER2" s="201"/>
      <c r="NES2" s="201"/>
      <c r="NET2" s="201"/>
      <c r="NEU2" s="201"/>
      <c r="NEV2" s="201"/>
      <c r="NEW2" s="201"/>
      <c r="NEX2" s="201"/>
      <c r="NEY2" s="201"/>
      <c r="NEZ2" s="201"/>
      <c r="NFA2" s="201"/>
      <c r="NFB2" s="201"/>
      <c r="NFC2" s="201"/>
      <c r="NFD2" s="201"/>
      <c r="NFE2" s="201"/>
      <c r="NFF2" s="201"/>
      <c r="NFG2" s="201"/>
      <c r="NFH2" s="201"/>
      <c r="NFI2" s="201"/>
      <c r="NFJ2" s="201"/>
      <c r="NFK2" s="201"/>
      <c r="NFL2" s="201"/>
      <c r="NFM2" s="201"/>
      <c r="NFN2" s="201"/>
      <c r="NFO2" s="201"/>
      <c r="NFP2" s="201"/>
      <c r="NFQ2" s="201"/>
      <c r="NFR2" s="201"/>
      <c r="NFS2" s="201"/>
      <c r="NFT2" s="201"/>
      <c r="NFU2" s="201"/>
      <c r="NFV2" s="201"/>
      <c r="NFW2" s="201"/>
      <c r="NFX2" s="201"/>
      <c r="NFY2" s="201"/>
      <c r="NFZ2" s="201"/>
      <c r="NGA2" s="201"/>
      <c r="NGB2" s="201"/>
      <c r="NGC2" s="201"/>
      <c r="NGD2" s="201"/>
      <c r="NGE2" s="201"/>
      <c r="NGF2" s="201"/>
      <c r="NGG2" s="201"/>
      <c r="NGH2" s="201"/>
      <c r="NGI2" s="201"/>
      <c r="NGJ2" s="201"/>
      <c r="NGK2" s="201"/>
      <c r="NGL2" s="201"/>
      <c r="NGM2" s="201"/>
      <c r="NGN2" s="201"/>
      <c r="NGO2" s="201"/>
      <c r="NGP2" s="201"/>
      <c r="NGQ2" s="201"/>
      <c r="NGR2" s="201"/>
      <c r="NGS2" s="201"/>
      <c r="NGT2" s="201"/>
      <c r="NGU2" s="201"/>
      <c r="NGV2" s="201"/>
      <c r="NGW2" s="201"/>
      <c r="NGX2" s="201"/>
      <c r="NGY2" s="201"/>
      <c r="NGZ2" s="201"/>
      <c r="NHA2" s="201"/>
      <c r="NHB2" s="201"/>
      <c r="NHC2" s="201"/>
      <c r="NHD2" s="201"/>
      <c r="NHE2" s="201"/>
      <c r="NHF2" s="201"/>
      <c r="NHG2" s="201"/>
      <c r="NHH2" s="201"/>
      <c r="NHI2" s="201"/>
      <c r="NHJ2" s="201"/>
      <c r="NHK2" s="201"/>
      <c r="NHL2" s="201"/>
      <c r="NHM2" s="201"/>
      <c r="NHN2" s="201"/>
      <c r="NHO2" s="201"/>
      <c r="NHP2" s="201"/>
      <c r="NHQ2" s="201"/>
      <c r="NHR2" s="201"/>
      <c r="NHS2" s="201"/>
      <c r="NHT2" s="201"/>
      <c r="NHU2" s="201"/>
      <c r="NHV2" s="201"/>
      <c r="NHW2" s="201"/>
      <c r="NHX2" s="201"/>
      <c r="NHY2" s="201"/>
      <c r="NHZ2" s="201"/>
      <c r="NIA2" s="201"/>
      <c r="NIB2" s="201"/>
      <c r="NIC2" s="201"/>
      <c r="NID2" s="201"/>
      <c r="NIE2" s="201"/>
      <c r="NIF2" s="201"/>
      <c r="NIG2" s="201"/>
      <c r="NIH2" s="201"/>
      <c r="NII2" s="201"/>
      <c r="NIJ2" s="201"/>
      <c r="NIK2" s="201"/>
      <c r="NIL2" s="201"/>
      <c r="NIM2" s="201"/>
      <c r="NIN2" s="201"/>
      <c r="NIO2" s="201"/>
      <c r="NIP2" s="201"/>
      <c r="NIQ2" s="201"/>
      <c r="NIR2" s="201"/>
      <c r="NIS2" s="201"/>
      <c r="NIT2" s="201"/>
      <c r="NIU2" s="201"/>
      <c r="NIV2" s="201"/>
      <c r="NIW2" s="201"/>
      <c r="NIX2" s="201"/>
      <c r="NIY2" s="201"/>
      <c r="NIZ2" s="201"/>
      <c r="NJA2" s="201"/>
      <c r="NJB2" s="201"/>
      <c r="NJC2" s="201"/>
      <c r="NJD2" s="201"/>
      <c r="NJE2" s="201"/>
      <c r="NJF2" s="201"/>
      <c r="NJG2" s="201"/>
      <c r="NJH2" s="201"/>
      <c r="NJI2" s="201"/>
      <c r="NJJ2" s="201"/>
      <c r="NJK2" s="201"/>
      <c r="NJL2" s="201"/>
      <c r="NJM2" s="201"/>
      <c r="NJN2" s="201"/>
      <c r="NJO2" s="201"/>
      <c r="NJP2" s="201"/>
      <c r="NJQ2" s="201"/>
      <c r="NJR2" s="201"/>
      <c r="NJS2" s="201"/>
      <c r="NJT2" s="201"/>
      <c r="NJU2" s="201"/>
      <c r="NJV2" s="201"/>
      <c r="NJW2" s="201"/>
      <c r="NJX2" s="201"/>
      <c r="NJY2" s="201"/>
      <c r="NJZ2" s="201"/>
      <c r="NKA2" s="201"/>
      <c r="NKB2" s="201"/>
      <c r="NKC2" s="201"/>
      <c r="NKD2" s="201"/>
      <c r="NKE2" s="201"/>
      <c r="NKF2" s="201"/>
      <c r="NKG2" s="201"/>
      <c r="NKH2" s="201"/>
      <c r="NKI2" s="201"/>
      <c r="NKJ2" s="201"/>
      <c r="NKK2" s="201"/>
      <c r="NKL2" s="201"/>
      <c r="NKM2" s="201"/>
      <c r="NKN2" s="201"/>
      <c r="NKO2" s="201"/>
      <c r="NKP2" s="201"/>
      <c r="NKQ2" s="201"/>
      <c r="NKR2" s="201"/>
      <c r="NKS2" s="201"/>
      <c r="NKT2" s="201"/>
      <c r="NKU2" s="201"/>
      <c r="NKV2" s="201"/>
      <c r="NKW2" s="201"/>
      <c r="NKX2" s="201"/>
      <c r="NKY2" s="201"/>
      <c r="NKZ2" s="201"/>
      <c r="NLA2" s="201"/>
      <c r="NLB2" s="201"/>
      <c r="NLC2" s="201"/>
      <c r="NLD2" s="201"/>
      <c r="NLE2" s="201"/>
      <c r="NLF2" s="201"/>
      <c r="NLG2" s="201"/>
      <c r="NLH2" s="201"/>
      <c r="NLI2" s="201"/>
      <c r="NLJ2" s="201"/>
      <c r="NLK2" s="201"/>
      <c r="NLL2" s="201"/>
      <c r="NLM2" s="201"/>
      <c r="NLN2" s="201"/>
      <c r="NLO2" s="201"/>
      <c r="NLP2" s="201"/>
      <c r="NLQ2" s="201"/>
      <c r="NLR2" s="201"/>
      <c r="NLS2" s="201"/>
      <c r="NLT2" s="201"/>
      <c r="NLU2" s="201"/>
      <c r="NLV2" s="201"/>
      <c r="NLW2" s="201"/>
      <c r="NLX2" s="201"/>
      <c r="NLY2" s="201"/>
      <c r="NLZ2" s="201"/>
      <c r="NMA2" s="201"/>
      <c r="NMB2" s="201"/>
      <c r="NMC2" s="201"/>
      <c r="NMD2" s="201"/>
      <c r="NME2" s="201"/>
      <c r="NMF2" s="201"/>
      <c r="NMG2" s="201"/>
      <c r="NMH2" s="201"/>
      <c r="NMI2" s="201"/>
      <c r="NMJ2" s="201"/>
      <c r="NMK2" s="201"/>
      <c r="NML2" s="201"/>
      <c r="NMM2" s="201"/>
      <c r="NMN2" s="201"/>
      <c r="NMO2" s="201"/>
      <c r="NMP2" s="201"/>
      <c r="NMQ2" s="201"/>
      <c r="NMR2" s="201"/>
      <c r="NMS2" s="201"/>
      <c r="NMT2" s="201"/>
      <c r="NMU2" s="201"/>
      <c r="NMV2" s="201"/>
      <c r="NMW2" s="201"/>
      <c r="NMX2" s="201"/>
      <c r="NMY2" s="201"/>
      <c r="NMZ2" s="201"/>
      <c r="NNA2" s="201"/>
      <c r="NNB2" s="201"/>
      <c r="NNC2" s="201"/>
      <c r="NND2" s="201"/>
      <c r="NNE2" s="201"/>
      <c r="NNF2" s="201"/>
      <c r="NNG2" s="201"/>
      <c r="NNH2" s="201"/>
      <c r="NNI2" s="201"/>
      <c r="NNJ2" s="201"/>
      <c r="NNK2" s="201"/>
      <c r="NNL2" s="201"/>
      <c r="NNM2" s="201"/>
      <c r="NNN2" s="201"/>
      <c r="NNO2" s="201"/>
      <c r="NNP2" s="201"/>
      <c r="NNQ2" s="201"/>
      <c r="NNR2" s="201"/>
      <c r="NNS2" s="201"/>
      <c r="NNT2" s="201"/>
      <c r="NNU2" s="201"/>
      <c r="NNV2" s="201"/>
      <c r="NNW2" s="201"/>
      <c r="NNX2" s="201"/>
      <c r="NNY2" s="201"/>
      <c r="NNZ2" s="201"/>
      <c r="NOA2" s="201"/>
      <c r="NOB2" s="201"/>
      <c r="NOC2" s="201"/>
      <c r="NOD2" s="201"/>
      <c r="NOE2" s="201"/>
      <c r="NOF2" s="201"/>
      <c r="NOG2" s="201"/>
      <c r="NOH2" s="201"/>
      <c r="NOI2" s="201"/>
      <c r="NOJ2" s="201"/>
      <c r="NOK2" s="201"/>
      <c r="NOL2" s="201"/>
      <c r="NOM2" s="201"/>
      <c r="NON2" s="201"/>
      <c r="NOO2" s="201"/>
      <c r="NOP2" s="201"/>
      <c r="NOQ2" s="201"/>
      <c r="NOR2" s="201"/>
      <c r="NOS2" s="201"/>
      <c r="NOT2" s="201"/>
      <c r="NOU2" s="201"/>
      <c r="NOV2" s="201"/>
      <c r="NOW2" s="201"/>
      <c r="NOX2" s="201"/>
      <c r="NOY2" s="201"/>
      <c r="NOZ2" s="201"/>
      <c r="NPA2" s="201"/>
      <c r="NPB2" s="201"/>
      <c r="NPC2" s="201"/>
      <c r="NPD2" s="201"/>
      <c r="NPE2" s="201"/>
      <c r="NPF2" s="201"/>
      <c r="NPG2" s="201"/>
      <c r="NPH2" s="201"/>
      <c r="NPI2" s="201"/>
      <c r="NPJ2" s="201"/>
      <c r="NPK2" s="201"/>
      <c r="NPL2" s="201"/>
      <c r="NPM2" s="201"/>
      <c r="NPN2" s="201"/>
      <c r="NPO2" s="201"/>
      <c r="NPP2" s="201"/>
      <c r="NPQ2" s="201"/>
      <c r="NPR2" s="201"/>
      <c r="NPS2" s="201"/>
      <c r="NPT2" s="201"/>
      <c r="NPU2" s="201"/>
      <c r="NPV2" s="201"/>
      <c r="NPW2" s="201"/>
      <c r="NPX2" s="201"/>
      <c r="NPY2" s="201"/>
      <c r="NPZ2" s="201"/>
      <c r="NQA2" s="201"/>
      <c r="NQB2" s="201"/>
      <c r="NQC2" s="201"/>
      <c r="NQD2" s="201"/>
      <c r="NQE2" s="201"/>
      <c r="NQF2" s="201"/>
      <c r="NQG2" s="201"/>
      <c r="NQH2" s="201"/>
      <c r="NQI2" s="201"/>
      <c r="NQJ2" s="201"/>
      <c r="NQK2" s="201"/>
      <c r="NQL2" s="201"/>
      <c r="NQM2" s="201"/>
      <c r="NQN2" s="201"/>
      <c r="NQO2" s="201"/>
      <c r="NQP2" s="201"/>
      <c r="NQQ2" s="201"/>
      <c r="NQR2" s="201"/>
      <c r="NQS2" s="201"/>
      <c r="NQT2" s="201"/>
      <c r="NQU2" s="201"/>
      <c r="NQV2" s="201"/>
      <c r="NQW2" s="201"/>
      <c r="NQX2" s="201"/>
      <c r="NQY2" s="201"/>
      <c r="NQZ2" s="201"/>
      <c r="NRA2" s="201"/>
      <c r="NRB2" s="201"/>
      <c r="NRC2" s="201"/>
      <c r="NRD2" s="201"/>
      <c r="NRE2" s="201"/>
      <c r="NRF2" s="201"/>
      <c r="NRG2" s="201"/>
      <c r="NRH2" s="201"/>
      <c r="NRI2" s="201"/>
      <c r="NRJ2" s="201"/>
      <c r="NRK2" s="201"/>
      <c r="NRL2" s="201"/>
      <c r="NRM2" s="201"/>
      <c r="NRN2" s="201"/>
      <c r="NRO2" s="201"/>
      <c r="NRP2" s="201"/>
      <c r="NRQ2" s="201"/>
      <c r="NRR2" s="201"/>
      <c r="NRS2" s="201"/>
      <c r="NRT2" s="201"/>
      <c r="NRU2" s="201"/>
      <c r="NRV2" s="201"/>
      <c r="NRW2" s="201"/>
      <c r="NRX2" s="201"/>
      <c r="NRY2" s="201"/>
      <c r="NRZ2" s="201"/>
      <c r="NSA2" s="201"/>
      <c r="NSB2" s="201"/>
      <c r="NSC2" s="201"/>
      <c r="NSD2" s="201"/>
      <c r="NSE2" s="201"/>
      <c r="NSF2" s="201"/>
      <c r="NSG2" s="201"/>
      <c r="NSH2" s="201"/>
      <c r="NSI2" s="201"/>
      <c r="NSJ2" s="201"/>
      <c r="NSK2" s="201"/>
      <c r="NSL2" s="201"/>
      <c r="NSM2" s="201"/>
      <c r="NSN2" s="201"/>
      <c r="NSO2" s="201"/>
      <c r="NSP2" s="201"/>
      <c r="NSQ2" s="201"/>
      <c r="NSR2" s="201"/>
      <c r="NSS2" s="201"/>
      <c r="NST2" s="201"/>
      <c r="NSU2" s="201"/>
      <c r="NSV2" s="201"/>
      <c r="NSW2" s="201"/>
      <c r="NSX2" s="201"/>
      <c r="NSY2" s="201"/>
      <c r="NSZ2" s="201"/>
      <c r="NTA2" s="201"/>
      <c r="NTB2" s="201"/>
      <c r="NTC2" s="201"/>
      <c r="NTD2" s="201"/>
      <c r="NTE2" s="201"/>
      <c r="NTF2" s="201"/>
      <c r="NTG2" s="201"/>
      <c r="NTH2" s="201"/>
      <c r="NTI2" s="201"/>
      <c r="NTJ2" s="201"/>
      <c r="NTK2" s="201"/>
      <c r="NTL2" s="201"/>
      <c r="NTM2" s="201"/>
      <c r="NTN2" s="201"/>
      <c r="NTO2" s="201"/>
      <c r="NTP2" s="201"/>
      <c r="NTQ2" s="201"/>
      <c r="NTR2" s="201"/>
      <c r="NTS2" s="201"/>
      <c r="NTT2" s="201"/>
      <c r="NTU2" s="201"/>
      <c r="NTV2" s="201"/>
      <c r="NTW2" s="201"/>
      <c r="NTX2" s="201"/>
      <c r="NTY2" s="201"/>
      <c r="NTZ2" s="201"/>
      <c r="NUA2" s="201"/>
      <c r="NUB2" s="201"/>
      <c r="NUC2" s="201"/>
      <c r="NUD2" s="201"/>
      <c r="NUE2" s="201"/>
      <c r="NUF2" s="201"/>
      <c r="NUG2" s="201"/>
      <c r="NUH2" s="201"/>
      <c r="NUI2" s="201"/>
      <c r="NUJ2" s="201"/>
      <c r="NUK2" s="201"/>
      <c r="NUL2" s="201"/>
      <c r="NUM2" s="201"/>
      <c r="NUN2" s="201"/>
      <c r="NUO2" s="201"/>
      <c r="NUP2" s="201"/>
      <c r="NUQ2" s="201"/>
      <c r="NUR2" s="201"/>
      <c r="NUS2" s="201"/>
      <c r="NUT2" s="201"/>
      <c r="NUU2" s="201"/>
      <c r="NUV2" s="201"/>
      <c r="NUW2" s="201"/>
      <c r="NUX2" s="201"/>
      <c r="NUY2" s="201"/>
      <c r="NUZ2" s="201"/>
      <c r="NVA2" s="201"/>
      <c r="NVB2" s="201"/>
      <c r="NVC2" s="201"/>
      <c r="NVD2" s="201"/>
      <c r="NVE2" s="201"/>
      <c r="NVF2" s="201"/>
      <c r="NVG2" s="201"/>
      <c r="NVH2" s="201"/>
      <c r="NVI2" s="201"/>
      <c r="NVJ2" s="201"/>
      <c r="NVK2" s="201"/>
      <c r="NVL2" s="201"/>
      <c r="NVM2" s="201"/>
      <c r="NVN2" s="201"/>
      <c r="NVO2" s="201"/>
      <c r="NVP2" s="201"/>
      <c r="NVQ2" s="201"/>
      <c r="NVR2" s="201"/>
      <c r="NVS2" s="201"/>
      <c r="NVT2" s="201"/>
      <c r="NVU2" s="201"/>
      <c r="NVV2" s="201"/>
      <c r="NVW2" s="201"/>
      <c r="NVX2" s="201"/>
      <c r="NVY2" s="201"/>
      <c r="NVZ2" s="201"/>
      <c r="NWA2" s="201"/>
      <c r="NWB2" s="201"/>
      <c r="NWC2" s="201"/>
      <c r="NWD2" s="201"/>
      <c r="NWE2" s="201"/>
      <c r="NWF2" s="201"/>
      <c r="NWG2" s="201"/>
      <c r="NWH2" s="201"/>
      <c r="NWI2" s="201"/>
      <c r="NWJ2" s="201"/>
      <c r="NWK2" s="201"/>
      <c r="NWL2" s="201"/>
      <c r="NWM2" s="201"/>
      <c r="NWN2" s="201"/>
      <c r="NWO2" s="201"/>
      <c r="NWP2" s="201"/>
      <c r="NWQ2" s="201"/>
      <c r="NWR2" s="201"/>
      <c r="NWS2" s="201"/>
      <c r="NWT2" s="201"/>
      <c r="NWU2" s="201"/>
      <c r="NWV2" s="201"/>
      <c r="NWW2" s="201"/>
      <c r="NWX2" s="201"/>
      <c r="NWY2" s="201"/>
      <c r="NWZ2" s="201"/>
      <c r="NXA2" s="201"/>
      <c r="NXB2" s="201"/>
      <c r="NXC2" s="201"/>
      <c r="NXD2" s="201"/>
      <c r="NXE2" s="201"/>
      <c r="NXF2" s="201"/>
      <c r="NXG2" s="201"/>
      <c r="NXH2" s="201"/>
      <c r="NXI2" s="201"/>
      <c r="NXJ2" s="201"/>
      <c r="NXK2" s="201"/>
      <c r="NXL2" s="201"/>
      <c r="NXM2" s="201"/>
      <c r="NXN2" s="201"/>
      <c r="NXO2" s="201"/>
      <c r="NXP2" s="201"/>
      <c r="NXQ2" s="201"/>
      <c r="NXR2" s="201"/>
      <c r="NXS2" s="201"/>
      <c r="NXT2" s="201"/>
      <c r="NXU2" s="201"/>
      <c r="NXV2" s="201"/>
      <c r="NXW2" s="201"/>
      <c r="NXX2" s="201"/>
      <c r="NXY2" s="201"/>
      <c r="NXZ2" s="201"/>
      <c r="NYA2" s="201"/>
      <c r="NYB2" s="201"/>
      <c r="NYC2" s="201"/>
      <c r="NYD2" s="201"/>
      <c r="NYE2" s="201"/>
      <c r="NYF2" s="201"/>
      <c r="NYG2" s="201"/>
      <c r="NYH2" s="201"/>
      <c r="NYI2" s="201"/>
      <c r="NYJ2" s="201"/>
      <c r="NYK2" s="201"/>
      <c r="NYL2" s="201"/>
      <c r="NYM2" s="201"/>
      <c r="NYN2" s="201"/>
      <c r="NYO2" s="201"/>
      <c r="NYP2" s="201"/>
      <c r="NYQ2" s="201"/>
      <c r="NYR2" s="201"/>
      <c r="NYS2" s="201"/>
      <c r="NYT2" s="201"/>
      <c r="NYU2" s="201"/>
      <c r="NYV2" s="201"/>
      <c r="NYW2" s="201"/>
      <c r="NYX2" s="201"/>
      <c r="NYY2" s="201"/>
      <c r="NYZ2" s="201"/>
      <c r="NZA2" s="201"/>
      <c r="NZB2" s="201"/>
      <c r="NZC2" s="201"/>
      <c r="NZD2" s="201"/>
      <c r="NZE2" s="201"/>
      <c r="NZF2" s="201"/>
      <c r="NZG2" s="201"/>
      <c r="NZH2" s="201"/>
      <c r="NZI2" s="201"/>
      <c r="NZJ2" s="201"/>
      <c r="NZK2" s="201"/>
      <c r="NZL2" s="201"/>
      <c r="NZM2" s="201"/>
      <c r="NZN2" s="201"/>
      <c r="NZO2" s="201"/>
      <c r="NZP2" s="201"/>
      <c r="NZQ2" s="201"/>
      <c r="NZR2" s="201"/>
      <c r="NZS2" s="201"/>
      <c r="NZT2" s="201"/>
      <c r="NZU2" s="201"/>
      <c r="NZV2" s="201"/>
      <c r="NZW2" s="201"/>
      <c r="NZX2" s="201"/>
      <c r="NZY2" s="201"/>
      <c r="NZZ2" s="201"/>
      <c r="OAA2" s="201"/>
      <c r="OAB2" s="201"/>
      <c r="OAC2" s="201"/>
      <c r="OAD2" s="201"/>
      <c r="OAE2" s="201"/>
      <c r="OAF2" s="201"/>
      <c r="OAG2" s="201"/>
      <c r="OAH2" s="201"/>
      <c r="OAI2" s="201"/>
      <c r="OAJ2" s="201"/>
      <c r="OAK2" s="201"/>
      <c r="OAL2" s="201"/>
      <c r="OAM2" s="201"/>
      <c r="OAN2" s="201"/>
      <c r="OAO2" s="201"/>
      <c r="OAP2" s="201"/>
      <c r="OAQ2" s="201"/>
      <c r="OAR2" s="201"/>
      <c r="OAS2" s="201"/>
      <c r="OAT2" s="201"/>
      <c r="OAU2" s="201"/>
      <c r="OAV2" s="201"/>
      <c r="OAW2" s="201"/>
      <c r="OAX2" s="201"/>
      <c r="OAY2" s="201"/>
      <c r="OAZ2" s="201"/>
      <c r="OBA2" s="201"/>
      <c r="OBB2" s="201"/>
      <c r="OBC2" s="201"/>
      <c r="OBD2" s="201"/>
      <c r="OBE2" s="201"/>
      <c r="OBF2" s="201"/>
      <c r="OBG2" s="201"/>
      <c r="OBH2" s="201"/>
      <c r="OBI2" s="201"/>
      <c r="OBJ2" s="201"/>
      <c r="OBK2" s="201"/>
      <c r="OBL2" s="201"/>
      <c r="OBM2" s="201"/>
      <c r="OBN2" s="201"/>
      <c r="OBO2" s="201"/>
      <c r="OBP2" s="201"/>
      <c r="OBQ2" s="201"/>
      <c r="OBR2" s="201"/>
      <c r="OBS2" s="201"/>
      <c r="OBT2" s="201"/>
      <c r="OBU2" s="201"/>
      <c r="OBV2" s="201"/>
      <c r="OBW2" s="201"/>
      <c r="OBX2" s="201"/>
      <c r="OBY2" s="201"/>
      <c r="OBZ2" s="201"/>
      <c r="OCA2" s="201"/>
      <c r="OCB2" s="201"/>
      <c r="OCC2" s="201"/>
      <c r="OCD2" s="201"/>
      <c r="OCE2" s="201"/>
      <c r="OCF2" s="201"/>
      <c r="OCG2" s="201"/>
      <c r="OCH2" s="201"/>
      <c r="OCI2" s="201"/>
      <c r="OCJ2" s="201"/>
      <c r="OCK2" s="201"/>
      <c r="OCL2" s="201"/>
      <c r="OCM2" s="201"/>
      <c r="OCN2" s="201"/>
      <c r="OCO2" s="201"/>
      <c r="OCP2" s="201"/>
      <c r="OCQ2" s="201"/>
      <c r="OCR2" s="201"/>
      <c r="OCS2" s="201"/>
      <c r="OCT2" s="201"/>
      <c r="OCU2" s="201"/>
      <c r="OCV2" s="201"/>
      <c r="OCW2" s="201"/>
      <c r="OCX2" s="201"/>
      <c r="OCY2" s="201"/>
      <c r="OCZ2" s="201"/>
      <c r="ODA2" s="201"/>
      <c r="ODB2" s="201"/>
      <c r="ODC2" s="201"/>
      <c r="ODD2" s="201"/>
      <c r="ODE2" s="201"/>
      <c r="ODF2" s="201"/>
      <c r="ODG2" s="201"/>
      <c r="ODH2" s="201"/>
      <c r="ODI2" s="201"/>
      <c r="ODJ2" s="201"/>
      <c r="ODK2" s="201"/>
      <c r="ODL2" s="201"/>
      <c r="ODM2" s="201"/>
      <c r="ODN2" s="201"/>
      <c r="ODO2" s="201"/>
      <c r="ODP2" s="201"/>
      <c r="ODQ2" s="201"/>
      <c r="ODR2" s="201"/>
      <c r="ODS2" s="201"/>
      <c r="ODT2" s="201"/>
      <c r="ODU2" s="201"/>
      <c r="ODV2" s="201"/>
      <c r="ODW2" s="201"/>
      <c r="ODX2" s="201"/>
      <c r="ODY2" s="201"/>
      <c r="ODZ2" s="201"/>
      <c r="OEA2" s="201"/>
      <c r="OEB2" s="201"/>
      <c r="OEC2" s="201"/>
      <c r="OED2" s="201"/>
      <c r="OEE2" s="201"/>
      <c r="OEF2" s="201"/>
      <c r="OEG2" s="201"/>
      <c r="OEH2" s="201"/>
      <c r="OEI2" s="201"/>
      <c r="OEJ2" s="201"/>
      <c r="OEK2" s="201"/>
      <c r="OEL2" s="201"/>
      <c r="OEM2" s="201"/>
      <c r="OEN2" s="201"/>
      <c r="OEO2" s="201"/>
      <c r="OEP2" s="201"/>
      <c r="OEQ2" s="201"/>
      <c r="OER2" s="201"/>
      <c r="OES2" s="201"/>
      <c r="OET2" s="201"/>
      <c r="OEU2" s="201"/>
      <c r="OEV2" s="201"/>
      <c r="OEW2" s="201"/>
      <c r="OEX2" s="201"/>
      <c r="OEY2" s="201"/>
      <c r="OEZ2" s="201"/>
      <c r="OFA2" s="201"/>
      <c r="OFB2" s="201"/>
      <c r="OFC2" s="201"/>
      <c r="OFD2" s="201"/>
      <c r="OFE2" s="201"/>
      <c r="OFF2" s="201"/>
      <c r="OFG2" s="201"/>
      <c r="OFH2" s="201"/>
      <c r="OFI2" s="201"/>
      <c r="OFJ2" s="201"/>
      <c r="OFK2" s="201"/>
      <c r="OFL2" s="201"/>
      <c r="OFM2" s="201"/>
      <c r="OFN2" s="201"/>
      <c r="OFO2" s="201"/>
      <c r="OFP2" s="201"/>
      <c r="OFQ2" s="201"/>
      <c r="OFR2" s="201"/>
      <c r="OFS2" s="201"/>
      <c r="OFT2" s="201"/>
      <c r="OFU2" s="201"/>
      <c r="OFV2" s="201"/>
      <c r="OFW2" s="201"/>
      <c r="OFX2" s="201"/>
      <c r="OFY2" s="201"/>
      <c r="OFZ2" s="201"/>
      <c r="OGA2" s="201"/>
      <c r="OGB2" s="201"/>
      <c r="OGC2" s="201"/>
      <c r="OGD2" s="201"/>
      <c r="OGE2" s="201"/>
      <c r="OGF2" s="201"/>
      <c r="OGG2" s="201"/>
      <c r="OGH2" s="201"/>
      <c r="OGI2" s="201"/>
      <c r="OGJ2" s="201"/>
      <c r="OGK2" s="201"/>
      <c r="OGL2" s="201"/>
      <c r="OGM2" s="201"/>
      <c r="OGN2" s="201"/>
      <c r="OGO2" s="201"/>
      <c r="OGP2" s="201"/>
      <c r="OGQ2" s="201"/>
      <c r="OGR2" s="201"/>
      <c r="OGS2" s="201"/>
      <c r="OGT2" s="201"/>
      <c r="OGU2" s="201"/>
      <c r="OGV2" s="201"/>
      <c r="OGW2" s="201"/>
      <c r="OGX2" s="201"/>
      <c r="OGY2" s="201"/>
      <c r="OGZ2" s="201"/>
      <c r="OHA2" s="201"/>
      <c r="OHB2" s="201"/>
      <c r="OHC2" s="201"/>
      <c r="OHD2" s="201"/>
      <c r="OHE2" s="201"/>
      <c r="OHF2" s="201"/>
      <c r="OHG2" s="201"/>
      <c r="OHH2" s="201"/>
      <c r="OHI2" s="201"/>
      <c r="OHJ2" s="201"/>
      <c r="OHK2" s="201"/>
      <c r="OHL2" s="201"/>
      <c r="OHM2" s="201"/>
      <c r="OHN2" s="201"/>
      <c r="OHO2" s="201"/>
      <c r="OHP2" s="201"/>
      <c r="OHQ2" s="201"/>
      <c r="OHR2" s="201"/>
      <c r="OHS2" s="201"/>
      <c r="OHT2" s="201"/>
      <c r="OHU2" s="201"/>
      <c r="OHV2" s="201"/>
      <c r="OHW2" s="201"/>
      <c r="OHX2" s="201"/>
      <c r="OHY2" s="201"/>
      <c r="OHZ2" s="201"/>
      <c r="OIA2" s="201"/>
      <c r="OIB2" s="201"/>
      <c r="OIC2" s="201"/>
      <c r="OID2" s="201"/>
      <c r="OIE2" s="201"/>
      <c r="OIF2" s="201"/>
      <c r="OIG2" s="201"/>
      <c r="OIH2" s="201"/>
      <c r="OII2" s="201"/>
      <c r="OIJ2" s="201"/>
      <c r="OIK2" s="201"/>
      <c r="OIL2" s="201"/>
      <c r="OIM2" s="201"/>
      <c r="OIN2" s="201"/>
      <c r="OIO2" s="201"/>
      <c r="OIP2" s="201"/>
      <c r="OIQ2" s="201"/>
      <c r="OIR2" s="201"/>
      <c r="OIS2" s="201"/>
      <c r="OIT2" s="201"/>
      <c r="OIU2" s="201"/>
      <c r="OIV2" s="201"/>
      <c r="OIW2" s="201"/>
      <c r="OIX2" s="201"/>
      <c r="OIY2" s="201"/>
      <c r="OIZ2" s="201"/>
      <c r="OJA2" s="201"/>
      <c r="OJB2" s="201"/>
      <c r="OJC2" s="201"/>
      <c r="OJD2" s="201"/>
      <c r="OJE2" s="201"/>
      <c r="OJF2" s="201"/>
      <c r="OJG2" s="201"/>
      <c r="OJH2" s="201"/>
      <c r="OJI2" s="201"/>
      <c r="OJJ2" s="201"/>
      <c r="OJK2" s="201"/>
      <c r="OJL2" s="201"/>
      <c r="OJM2" s="201"/>
      <c r="OJN2" s="201"/>
      <c r="OJO2" s="201"/>
      <c r="OJP2" s="201"/>
      <c r="OJQ2" s="201"/>
      <c r="OJR2" s="201"/>
      <c r="OJS2" s="201"/>
      <c r="OJT2" s="201"/>
      <c r="OJU2" s="201"/>
      <c r="OJV2" s="201"/>
      <c r="OJW2" s="201"/>
      <c r="OJX2" s="201"/>
      <c r="OJY2" s="201"/>
      <c r="OJZ2" s="201"/>
      <c r="OKA2" s="201"/>
      <c r="OKB2" s="201"/>
      <c r="OKC2" s="201"/>
      <c r="OKD2" s="201"/>
      <c r="OKE2" s="201"/>
      <c r="OKF2" s="201"/>
      <c r="OKG2" s="201"/>
      <c r="OKH2" s="201"/>
      <c r="OKI2" s="201"/>
      <c r="OKJ2" s="201"/>
      <c r="OKK2" s="201"/>
      <c r="OKL2" s="201"/>
      <c r="OKM2" s="201"/>
      <c r="OKN2" s="201"/>
      <c r="OKO2" s="201"/>
      <c r="OKP2" s="201"/>
      <c r="OKQ2" s="201"/>
      <c r="OKR2" s="201"/>
      <c r="OKS2" s="201"/>
      <c r="OKT2" s="201"/>
      <c r="OKU2" s="201"/>
      <c r="OKV2" s="201"/>
      <c r="OKW2" s="201"/>
      <c r="OKX2" s="201"/>
      <c r="OKY2" s="201"/>
      <c r="OKZ2" s="201"/>
      <c r="OLA2" s="201"/>
      <c r="OLB2" s="201"/>
      <c r="OLC2" s="201"/>
      <c r="OLD2" s="201"/>
      <c r="OLE2" s="201"/>
      <c r="OLF2" s="201"/>
      <c r="OLG2" s="201"/>
      <c r="OLH2" s="201"/>
      <c r="OLI2" s="201"/>
      <c r="OLJ2" s="201"/>
      <c r="OLK2" s="201"/>
      <c r="OLL2" s="201"/>
      <c r="OLM2" s="201"/>
      <c r="OLN2" s="201"/>
      <c r="OLO2" s="201"/>
      <c r="OLP2" s="201"/>
      <c r="OLQ2" s="201"/>
      <c r="OLR2" s="201"/>
      <c r="OLS2" s="201"/>
      <c r="OLT2" s="201"/>
      <c r="OLU2" s="201"/>
      <c r="OLV2" s="201"/>
      <c r="OLW2" s="201"/>
      <c r="OLX2" s="201"/>
      <c r="OLY2" s="201"/>
      <c r="OLZ2" s="201"/>
      <c r="OMA2" s="201"/>
      <c r="OMB2" s="201"/>
      <c r="OMC2" s="201"/>
      <c r="OMD2" s="201"/>
      <c r="OME2" s="201"/>
      <c r="OMF2" s="201"/>
      <c r="OMG2" s="201"/>
      <c r="OMH2" s="201"/>
      <c r="OMI2" s="201"/>
      <c r="OMJ2" s="201"/>
      <c r="OMK2" s="201"/>
      <c r="OML2" s="201"/>
      <c r="OMM2" s="201"/>
      <c r="OMN2" s="201"/>
      <c r="OMO2" s="201"/>
      <c r="OMP2" s="201"/>
      <c r="OMQ2" s="201"/>
      <c r="OMR2" s="201"/>
      <c r="OMS2" s="201"/>
      <c r="OMT2" s="201"/>
      <c r="OMU2" s="201"/>
      <c r="OMV2" s="201"/>
      <c r="OMW2" s="201"/>
      <c r="OMX2" s="201"/>
      <c r="OMY2" s="201"/>
      <c r="OMZ2" s="201"/>
      <c r="ONA2" s="201"/>
      <c r="ONB2" s="201"/>
      <c r="ONC2" s="201"/>
      <c r="OND2" s="201"/>
      <c r="ONE2" s="201"/>
      <c r="ONF2" s="201"/>
      <c r="ONG2" s="201"/>
      <c r="ONH2" s="201"/>
      <c r="ONI2" s="201"/>
      <c r="ONJ2" s="201"/>
      <c r="ONK2" s="201"/>
      <c r="ONL2" s="201"/>
      <c r="ONM2" s="201"/>
      <c r="ONN2" s="201"/>
      <c r="ONO2" s="201"/>
      <c r="ONP2" s="201"/>
      <c r="ONQ2" s="201"/>
      <c r="ONR2" s="201"/>
      <c r="ONS2" s="201"/>
      <c r="ONT2" s="201"/>
      <c r="ONU2" s="201"/>
      <c r="ONV2" s="201"/>
      <c r="ONW2" s="201"/>
      <c r="ONX2" s="201"/>
      <c r="ONY2" s="201"/>
      <c r="ONZ2" s="201"/>
      <c r="OOA2" s="201"/>
      <c r="OOB2" s="201"/>
      <c r="OOC2" s="201"/>
      <c r="OOD2" s="201"/>
      <c r="OOE2" s="201"/>
      <c r="OOF2" s="201"/>
      <c r="OOG2" s="201"/>
      <c r="OOH2" s="201"/>
      <c r="OOI2" s="201"/>
      <c r="OOJ2" s="201"/>
      <c r="OOK2" s="201"/>
      <c r="OOL2" s="201"/>
      <c r="OOM2" s="201"/>
      <c r="OON2" s="201"/>
      <c r="OOO2" s="201"/>
      <c r="OOP2" s="201"/>
      <c r="OOQ2" s="201"/>
      <c r="OOR2" s="201"/>
      <c r="OOS2" s="201"/>
      <c r="OOT2" s="201"/>
      <c r="OOU2" s="201"/>
      <c r="OOV2" s="201"/>
      <c r="OOW2" s="201"/>
      <c r="OOX2" s="201"/>
      <c r="OOY2" s="201"/>
      <c r="OOZ2" s="201"/>
      <c r="OPA2" s="201"/>
      <c r="OPB2" s="201"/>
      <c r="OPC2" s="201"/>
      <c r="OPD2" s="201"/>
      <c r="OPE2" s="201"/>
      <c r="OPF2" s="201"/>
      <c r="OPG2" s="201"/>
      <c r="OPH2" s="201"/>
      <c r="OPI2" s="201"/>
      <c r="OPJ2" s="201"/>
      <c r="OPK2" s="201"/>
      <c r="OPL2" s="201"/>
      <c r="OPM2" s="201"/>
      <c r="OPN2" s="201"/>
      <c r="OPO2" s="201"/>
      <c r="OPP2" s="201"/>
      <c r="OPQ2" s="201"/>
      <c r="OPR2" s="201"/>
      <c r="OPS2" s="201"/>
      <c r="OPT2" s="201"/>
      <c r="OPU2" s="201"/>
      <c r="OPV2" s="201"/>
      <c r="OPW2" s="201"/>
      <c r="OPX2" s="201"/>
      <c r="OPY2" s="201"/>
      <c r="OPZ2" s="201"/>
      <c r="OQA2" s="201"/>
      <c r="OQB2" s="201"/>
      <c r="OQC2" s="201"/>
      <c r="OQD2" s="201"/>
      <c r="OQE2" s="201"/>
      <c r="OQF2" s="201"/>
      <c r="OQG2" s="201"/>
      <c r="OQH2" s="201"/>
      <c r="OQI2" s="201"/>
      <c r="OQJ2" s="201"/>
      <c r="OQK2" s="201"/>
      <c r="OQL2" s="201"/>
      <c r="OQM2" s="201"/>
      <c r="OQN2" s="201"/>
      <c r="OQO2" s="201"/>
      <c r="OQP2" s="201"/>
      <c r="OQQ2" s="201"/>
      <c r="OQR2" s="201"/>
      <c r="OQS2" s="201"/>
      <c r="OQT2" s="201"/>
      <c r="OQU2" s="201"/>
      <c r="OQV2" s="201"/>
      <c r="OQW2" s="201"/>
      <c r="OQX2" s="201"/>
      <c r="OQY2" s="201"/>
      <c r="OQZ2" s="201"/>
      <c r="ORA2" s="201"/>
      <c r="ORB2" s="201"/>
      <c r="ORC2" s="201"/>
      <c r="ORD2" s="201"/>
      <c r="ORE2" s="201"/>
      <c r="ORF2" s="201"/>
      <c r="ORG2" s="201"/>
      <c r="ORH2" s="201"/>
      <c r="ORI2" s="201"/>
      <c r="ORJ2" s="201"/>
      <c r="ORK2" s="201"/>
      <c r="ORL2" s="201"/>
      <c r="ORM2" s="201"/>
      <c r="ORN2" s="201"/>
      <c r="ORO2" s="201"/>
      <c r="ORP2" s="201"/>
      <c r="ORQ2" s="201"/>
      <c r="ORR2" s="201"/>
      <c r="ORS2" s="201"/>
      <c r="ORT2" s="201"/>
      <c r="ORU2" s="201"/>
      <c r="ORV2" s="201"/>
      <c r="ORW2" s="201"/>
      <c r="ORX2" s="201"/>
      <c r="ORY2" s="201"/>
      <c r="ORZ2" s="201"/>
      <c r="OSA2" s="201"/>
      <c r="OSB2" s="201"/>
      <c r="OSC2" s="201"/>
      <c r="OSD2" s="201"/>
      <c r="OSE2" s="201"/>
      <c r="OSF2" s="201"/>
      <c r="OSG2" s="201"/>
      <c r="OSH2" s="201"/>
      <c r="OSI2" s="201"/>
      <c r="OSJ2" s="201"/>
      <c r="OSK2" s="201"/>
      <c r="OSL2" s="201"/>
      <c r="OSM2" s="201"/>
      <c r="OSN2" s="201"/>
      <c r="OSO2" s="201"/>
      <c r="OSP2" s="201"/>
      <c r="OSQ2" s="201"/>
      <c r="OSR2" s="201"/>
      <c r="OSS2" s="201"/>
      <c r="OST2" s="201"/>
      <c r="OSU2" s="201"/>
      <c r="OSV2" s="201"/>
      <c r="OSW2" s="201"/>
      <c r="OSX2" s="201"/>
      <c r="OSY2" s="201"/>
      <c r="OSZ2" s="201"/>
      <c r="OTA2" s="201"/>
      <c r="OTB2" s="201"/>
      <c r="OTC2" s="201"/>
      <c r="OTD2" s="201"/>
      <c r="OTE2" s="201"/>
      <c r="OTF2" s="201"/>
      <c r="OTG2" s="201"/>
      <c r="OTH2" s="201"/>
      <c r="OTI2" s="201"/>
      <c r="OTJ2" s="201"/>
      <c r="OTK2" s="201"/>
      <c r="OTL2" s="201"/>
      <c r="OTM2" s="201"/>
      <c r="OTN2" s="201"/>
      <c r="OTO2" s="201"/>
      <c r="OTP2" s="201"/>
      <c r="OTQ2" s="201"/>
      <c r="OTR2" s="201"/>
      <c r="OTS2" s="201"/>
      <c r="OTT2" s="201"/>
      <c r="OTU2" s="201"/>
      <c r="OTV2" s="201"/>
      <c r="OTW2" s="201"/>
      <c r="OTX2" s="201"/>
      <c r="OTY2" s="201"/>
      <c r="OTZ2" s="201"/>
      <c r="OUA2" s="201"/>
      <c r="OUB2" s="201"/>
      <c r="OUC2" s="201"/>
      <c r="OUD2" s="201"/>
      <c r="OUE2" s="201"/>
      <c r="OUF2" s="201"/>
      <c r="OUG2" s="201"/>
      <c r="OUH2" s="201"/>
      <c r="OUI2" s="201"/>
      <c r="OUJ2" s="201"/>
      <c r="OUK2" s="201"/>
      <c r="OUL2" s="201"/>
      <c r="OUM2" s="201"/>
      <c r="OUN2" s="201"/>
      <c r="OUO2" s="201"/>
      <c r="OUP2" s="201"/>
      <c r="OUQ2" s="201"/>
      <c r="OUR2" s="201"/>
      <c r="OUS2" s="201"/>
      <c r="OUT2" s="201"/>
      <c r="OUU2" s="201"/>
      <c r="OUV2" s="201"/>
      <c r="OUW2" s="201"/>
      <c r="OUX2" s="201"/>
      <c r="OUY2" s="201"/>
      <c r="OUZ2" s="201"/>
      <c r="OVA2" s="201"/>
      <c r="OVB2" s="201"/>
      <c r="OVC2" s="201"/>
      <c r="OVD2" s="201"/>
      <c r="OVE2" s="201"/>
      <c r="OVF2" s="201"/>
      <c r="OVG2" s="201"/>
      <c r="OVH2" s="201"/>
      <c r="OVI2" s="201"/>
      <c r="OVJ2" s="201"/>
      <c r="OVK2" s="201"/>
      <c r="OVL2" s="201"/>
      <c r="OVM2" s="201"/>
      <c r="OVN2" s="201"/>
      <c r="OVO2" s="201"/>
      <c r="OVP2" s="201"/>
      <c r="OVQ2" s="201"/>
      <c r="OVR2" s="201"/>
      <c r="OVS2" s="201"/>
      <c r="OVT2" s="201"/>
      <c r="OVU2" s="201"/>
      <c r="OVV2" s="201"/>
      <c r="OVW2" s="201"/>
      <c r="OVX2" s="201"/>
      <c r="OVY2" s="201"/>
      <c r="OVZ2" s="201"/>
      <c r="OWA2" s="201"/>
      <c r="OWB2" s="201"/>
      <c r="OWC2" s="201"/>
      <c r="OWD2" s="201"/>
      <c r="OWE2" s="201"/>
      <c r="OWF2" s="201"/>
      <c r="OWG2" s="201"/>
      <c r="OWH2" s="201"/>
      <c r="OWI2" s="201"/>
      <c r="OWJ2" s="201"/>
      <c r="OWK2" s="201"/>
      <c r="OWL2" s="201"/>
      <c r="OWM2" s="201"/>
      <c r="OWN2" s="201"/>
      <c r="OWO2" s="201"/>
      <c r="OWP2" s="201"/>
      <c r="OWQ2" s="201"/>
      <c r="OWR2" s="201"/>
      <c r="OWS2" s="201"/>
      <c r="OWT2" s="201"/>
      <c r="OWU2" s="201"/>
      <c r="OWV2" s="201"/>
      <c r="OWW2" s="201"/>
      <c r="OWX2" s="201"/>
      <c r="OWY2" s="201"/>
      <c r="OWZ2" s="201"/>
      <c r="OXA2" s="201"/>
      <c r="OXB2" s="201"/>
      <c r="OXC2" s="201"/>
      <c r="OXD2" s="201"/>
      <c r="OXE2" s="201"/>
      <c r="OXF2" s="201"/>
      <c r="OXG2" s="201"/>
      <c r="OXH2" s="201"/>
      <c r="OXI2" s="201"/>
      <c r="OXJ2" s="201"/>
      <c r="OXK2" s="201"/>
      <c r="OXL2" s="201"/>
      <c r="OXM2" s="201"/>
      <c r="OXN2" s="201"/>
      <c r="OXO2" s="201"/>
      <c r="OXP2" s="201"/>
      <c r="OXQ2" s="201"/>
      <c r="OXR2" s="201"/>
      <c r="OXS2" s="201"/>
      <c r="OXT2" s="201"/>
      <c r="OXU2" s="201"/>
      <c r="OXV2" s="201"/>
      <c r="OXW2" s="201"/>
      <c r="OXX2" s="201"/>
      <c r="OXY2" s="201"/>
      <c r="OXZ2" s="201"/>
      <c r="OYA2" s="201"/>
      <c r="OYB2" s="201"/>
      <c r="OYC2" s="201"/>
      <c r="OYD2" s="201"/>
      <c r="OYE2" s="201"/>
      <c r="OYF2" s="201"/>
      <c r="OYG2" s="201"/>
      <c r="OYH2" s="201"/>
      <c r="OYI2" s="201"/>
      <c r="OYJ2" s="201"/>
      <c r="OYK2" s="201"/>
      <c r="OYL2" s="201"/>
      <c r="OYM2" s="201"/>
      <c r="OYN2" s="201"/>
      <c r="OYO2" s="201"/>
      <c r="OYP2" s="201"/>
      <c r="OYQ2" s="201"/>
      <c r="OYR2" s="201"/>
      <c r="OYS2" s="201"/>
      <c r="OYT2" s="201"/>
      <c r="OYU2" s="201"/>
      <c r="OYV2" s="201"/>
      <c r="OYW2" s="201"/>
      <c r="OYX2" s="201"/>
      <c r="OYY2" s="201"/>
      <c r="OYZ2" s="201"/>
      <c r="OZA2" s="201"/>
      <c r="OZB2" s="201"/>
      <c r="OZC2" s="201"/>
      <c r="OZD2" s="201"/>
      <c r="OZE2" s="201"/>
      <c r="OZF2" s="201"/>
      <c r="OZG2" s="201"/>
      <c r="OZH2" s="201"/>
      <c r="OZI2" s="201"/>
      <c r="OZJ2" s="201"/>
      <c r="OZK2" s="201"/>
      <c r="OZL2" s="201"/>
      <c r="OZM2" s="201"/>
      <c r="OZN2" s="201"/>
      <c r="OZO2" s="201"/>
      <c r="OZP2" s="201"/>
      <c r="OZQ2" s="201"/>
      <c r="OZR2" s="201"/>
      <c r="OZS2" s="201"/>
      <c r="OZT2" s="201"/>
      <c r="OZU2" s="201"/>
      <c r="OZV2" s="201"/>
      <c r="OZW2" s="201"/>
      <c r="OZX2" s="201"/>
      <c r="OZY2" s="201"/>
      <c r="OZZ2" s="201"/>
      <c r="PAA2" s="201"/>
      <c r="PAB2" s="201"/>
      <c r="PAC2" s="201"/>
      <c r="PAD2" s="201"/>
      <c r="PAE2" s="201"/>
      <c r="PAF2" s="201"/>
      <c r="PAG2" s="201"/>
      <c r="PAH2" s="201"/>
      <c r="PAI2" s="201"/>
      <c r="PAJ2" s="201"/>
      <c r="PAK2" s="201"/>
      <c r="PAL2" s="201"/>
      <c r="PAM2" s="201"/>
      <c r="PAN2" s="201"/>
      <c r="PAO2" s="201"/>
      <c r="PAP2" s="201"/>
      <c r="PAQ2" s="201"/>
      <c r="PAR2" s="201"/>
      <c r="PAS2" s="201"/>
      <c r="PAT2" s="201"/>
      <c r="PAU2" s="201"/>
      <c r="PAV2" s="201"/>
      <c r="PAW2" s="201"/>
      <c r="PAX2" s="201"/>
      <c r="PAY2" s="201"/>
      <c r="PAZ2" s="201"/>
      <c r="PBA2" s="201"/>
      <c r="PBB2" s="201"/>
      <c r="PBC2" s="201"/>
      <c r="PBD2" s="201"/>
      <c r="PBE2" s="201"/>
      <c r="PBF2" s="201"/>
      <c r="PBG2" s="201"/>
      <c r="PBH2" s="201"/>
      <c r="PBI2" s="201"/>
      <c r="PBJ2" s="201"/>
      <c r="PBK2" s="201"/>
      <c r="PBL2" s="201"/>
      <c r="PBM2" s="201"/>
      <c r="PBN2" s="201"/>
      <c r="PBO2" s="201"/>
      <c r="PBP2" s="201"/>
      <c r="PBQ2" s="201"/>
      <c r="PBR2" s="201"/>
      <c r="PBS2" s="201"/>
      <c r="PBT2" s="201"/>
      <c r="PBU2" s="201"/>
      <c r="PBV2" s="201"/>
      <c r="PBW2" s="201"/>
      <c r="PBX2" s="201"/>
      <c r="PBY2" s="201"/>
      <c r="PBZ2" s="201"/>
      <c r="PCA2" s="201"/>
      <c r="PCB2" s="201"/>
      <c r="PCC2" s="201"/>
      <c r="PCD2" s="201"/>
      <c r="PCE2" s="201"/>
      <c r="PCF2" s="201"/>
      <c r="PCG2" s="201"/>
      <c r="PCH2" s="201"/>
      <c r="PCI2" s="201"/>
      <c r="PCJ2" s="201"/>
      <c r="PCK2" s="201"/>
      <c r="PCL2" s="201"/>
      <c r="PCM2" s="201"/>
      <c r="PCN2" s="201"/>
      <c r="PCO2" s="201"/>
      <c r="PCP2" s="201"/>
      <c r="PCQ2" s="201"/>
      <c r="PCR2" s="201"/>
      <c r="PCS2" s="201"/>
      <c r="PCT2" s="201"/>
      <c r="PCU2" s="201"/>
      <c r="PCV2" s="201"/>
      <c r="PCW2" s="201"/>
      <c r="PCX2" s="201"/>
      <c r="PCY2" s="201"/>
      <c r="PCZ2" s="201"/>
      <c r="PDA2" s="201"/>
      <c r="PDB2" s="201"/>
      <c r="PDC2" s="201"/>
      <c r="PDD2" s="201"/>
      <c r="PDE2" s="201"/>
      <c r="PDF2" s="201"/>
      <c r="PDG2" s="201"/>
      <c r="PDH2" s="201"/>
      <c r="PDI2" s="201"/>
      <c r="PDJ2" s="201"/>
      <c r="PDK2" s="201"/>
      <c r="PDL2" s="201"/>
      <c r="PDM2" s="201"/>
      <c r="PDN2" s="201"/>
      <c r="PDO2" s="201"/>
      <c r="PDP2" s="201"/>
      <c r="PDQ2" s="201"/>
      <c r="PDR2" s="201"/>
      <c r="PDS2" s="201"/>
      <c r="PDT2" s="201"/>
      <c r="PDU2" s="201"/>
      <c r="PDV2" s="201"/>
      <c r="PDW2" s="201"/>
      <c r="PDX2" s="201"/>
      <c r="PDY2" s="201"/>
      <c r="PDZ2" s="201"/>
      <c r="PEA2" s="201"/>
      <c r="PEB2" s="201"/>
      <c r="PEC2" s="201"/>
      <c r="PED2" s="201"/>
      <c r="PEE2" s="201"/>
      <c r="PEF2" s="201"/>
      <c r="PEG2" s="201"/>
      <c r="PEH2" s="201"/>
      <c r="PEI2" s="201"/>
      <c r="PEJ2" s="201"/>
      <c r="PEK2" s="201"/>
      <c r="PEL2" s="201"/>
      <c r="PEM2" s="201"/>
      <c r="PEN2" s="201"/>
      <c r="PEO2" s="201"/>
      <c r="PEP2" s="201"/>
      <c r="PEQ2" s="201"/>
      <c r="PER2" s="201"/>
      <c r="PES2" s="201"/>
      <c r="PET2" s="201"/>
      <c r="PEU2" s="201"/>
      <c r="PEV2" s="201"/>
      <c r="PEW2" s="201"/>
      <c r="PEX2" s="201"/>
      <c r="PEY2" s="201"/>
      <c r="PEZ2" s="201"/>
      <c r="PFA2" s="201"/>
      <c r="PFB2" s="201"/>
      <c r="PFC2" s="201"/>
      <c r="PFD2" s="201"/>
      <c r="PFE2" s="201"/>
      <c r="PFF2" s="201"/>
      <c r="PFG2" s="201"/>
      <c r="PFH2" s="201"/>
      <c r="PFI2" s="201"/>
      <c r="PFJ2" s="201"/>
      <c r="PFK2" s="201"/>
      <c r="PFL2" s="201"/>
      <c r="PFM2" s="201"/>
      <c r="PFN2" s="201"/>
      <c r="PFO2" s="201"/>
      <c r="PFP2" s="201"/>
      <c r="PFQ2" s="201"/>
      <c r="PFR2" s="201"/>
      <c r="PFS2" s="201"/>
      <c r="PFT2" s="201"/>
      <c r="PFU2" s="201"/>
      <c r="PFV2" s="201"/>
      <c r="PFW2" s="201"/>
      <c r="PFX2" s="201"/>
      <c r="PFY2" s="201"/>
      <c r="PFZ2" s="201"/>
      <c r="PGA2" s="201"/>
      <c r="PGB2" s="201"/>
      <c r="PGC2" s="201"/>
      <c r="PGD2" s="201"/>
      <c r="PGE2" s="201"/>
      <c r="PGF2" s="201"/>
      <c r="PGG2" s="201"/>
      <c r="PGH2" s="201"/>
      <c r="PGI2" s="201"/>
      <c r="PGJ2" s="201"/>
      <c r="PGK2" s="201"/>
      <c r="PGL2" s="201"/>
      <c r="PGM2" s="201"/>
      <c r="PGN2" s="201"/>
      <c r="PGO2" s="201"/>
      <c r="PGP2" s="201"/>
      <c r="PGQ2" s="201"/>
      <c r="PGR2" s="201"/>
      <c r="PGS2" s="201"/>
      <c r="PGT2" s="201"/>
      <c r="PGU2" s="201"/>
      <c r="PGV2" s="201"/>
      <c r="PGW2" s="201"/>
      <c r="PGX2" s="201"/>
      <c r="PGY2" s="201"/>
      <c r="PGZ2" s="201"/>
      <c r="PHA2" s="201"/>
      <c r="PHB2" s="201"/>
      <c r="PHC2" s="201"/>
      <c r="PHD2" s="201"/>
      <c r="PHE2" s="201"/>
      <c r="PHF2" s="201"/>
      <c r="PHG2" s="201"/>
      <c r="PHH2" s="201"/>
      <c r="PHI2" s="201"/>
      <c r="PHJ2" s="201"/>
      <c r="PHK2" s="201"/>
      <c r="PHL2" s="201"/>
      <c r="PHM2" s="201"/>
      <c r="PHN2" s="201"/>
      <c r="PHO2" s="201"/>
      <c r="PHP2" s="201"/>
      <c r="PHQ2" s="201"/>
      <c r="PHR2" s="201"/>
      <c r="PHS2" s="201"/>
      <c r="PHT2" s="201"/>
      <c r="PHU2" s="201"/>
      <c r="PHV2" s="201"/>
      <c r="PHW2" s="201"/>
      <c r="PHX2" s="201"/>
      <c r="PHY2" s="201"/>
      <c r="PHZ2" s="201"/>
      <c r="PIA2" s="201"/>
      <c r="PIB2" s="201"/>
      <c r="PIC2" s="201"/>
      <c r="PID2" s="201"/>
      <c r="PIE2" s="201"/>
      <c r="PIF2" s="201"/>
      <c r="PIG2" s="201"/>
      <c r="PIH2" s="201"/>
      <c r="PII2" s="201"/>
      <c r="PIJ2" s="201"/>
      <c r="PIK2" s="201"/>
      <c r="PIL2" s="201"/>
      <c r="PIM2" s="201"/>
      <c r="PIN2" s="201"/>
      <c r="PIO2" s="201"/>
      <c r="PIP2" s="201"/>
      <c r="PIQ2" s="201"/>
      <c r="PIR2" s="201"/>
      <c r="PIS2" s="201"/>
      <c r="PIT2" s="201"/>
      <c r="PIU2" s="201"/>
      <c r="PIV2" s="201"/>
      <c r="PIW2" s="201"/>
      <c r="PIX2" s="201"/>
      <c r="PIY2" s="201"/>
      <c r="PIZ2" s="201"/>
      <c r="PJA2" s="201"/>
      <c r="PJB2" s="201"/>
      <c r="PJC2" s="201"/>
      <c r="PJD2" s="201"/>
      <c r="PJE2" s="201"/>
      <c r="PJF2" s="201"/>
      <c r="PJG2" s="201"/>
      <c r="PJH2" s="201"/>
      <c r="PJI2" s="201"/>
      <c r="PJJ2" s="201"/>
      <c r="PJK2" s="201"/>
      <c r="PJL2" s="201"/>
      <c r="PJM2" s="201"/>
      <c r="PJN2" s="201"/>
      <c r="PJO2" s="201"/>
      <c r="PJP2" s="201"/>
      <c r="PJQ2" s="201"/>
      <c r="PJR2" s="201"/>
      <c r="PJS2" s="201"/>
      <c r="PJT2" s="201"/>
      <c r="PJU2" s="201"/>
      <c r="PJV2" s="201"/>
      <c r="PJW2" s="201"/>
      <c r="PJX2" s="201"/>
      <c r="PJY2" s="201"/>
      <c r="PJZ2" s="201"/>
      <c r="PKA2" s="201"/>
      <c r="PKB2" s="201"/>
      <c r="PKC2" s="201"/>
      <c r="PKD2" s="201"/>
      <c r="PKE2" s="201"/>
      <c r="PKF2" s="201"/>
      <c r="PKG2" s="201"/>
      <c r="PKH2" s="201"/>
      <c r="PKI2" s="201"/>
      <c r="PKJ2" s="201"/>
      <c r="PKK2" s="201"/>
      <c r="PKL2" s="201"/>
      <c r="PKM2" s="201"/>
      <c r="PKN2" s="201"/>
      <c r="PKO2" s="201"/>
      <c r="PKP2" s="201"/>
      <c r="PKQ2" s="201"/>
      <c r="PKR2" s="201"/>
      <c r="PKS2" s="201"/>
      <c r="PKT2" s="201"/>
      <c r="PKU2" s="201"/>
      <c r="PKV2" s="201"/>
      <c r="PKW2" s="201"/>
      <c r="PKX2" s="201"/>
      <c r="PKY2" s="201"/>
      <c r="PKZ2" s="201"/>
      <c r="PLA2" s="201"/>
      <c r="PLB2" s="201"/>
      <c r="PLC2" s="201"/>
      <c r="PLD2" s="201"/>
      <c r="PLE2" s="201"/>
      <c r="PLF2" s="201"/>
      <c r="PLG2" s="201"/>
      <c r="PLH2" s="201"/>
      <c r="PLI2" s="201"/>
      <c r="PLJ2" s="201"/>
      <c r="PLK2" s="201"/>
      <c r="PLL2" s="201"/>
      <c r="PLM2" s="201"/>
      <c r="PLN2" s="201"/>
      <c r="PLO2" s="201"/>
      <c r="PLP2" s="201"/>
      <c r="PLQ2" s="201"/>
      <c r="PLR2" s="201"/>
      <c r="PLS2" s="201"/>
      <c r="PLT2" s="201"/>
      <c r="PLU2" s="201"/>
      <c r="PLV2" s="201"/>
      <c r="PLW2" s="201"/>
      <c r="PLX2" s="201"/>
      <c r="PLY2" s="201"/>
      <c r="PLZ2" s="201"/>
      <c r="PMA2" s="201"/>
      <c r="PMB2" s="201"/>
      <c r="PMC2" s="201"/>
      <c r="PMD2" s="201"/>
      <c r="PME2" s="201"/>
      <c r="PMF2" s="201"/>
      <c r="PMG2" s="201"/>
      <c r="PMH2" s="201"/>
      <c r="PMI2" s="201"/>
      <c r="PMJ2" s="201"/>
      <c r="PMK2" s="201"/>
      <c r="PML2" s="201"/>
      <c r="PMM2" s="201"/>
      <c r="PMN2" s="201"/>
      <c r="PMO2" s="201"/>
      <c r="PMP2" s="201"/>
      <c r="PMQ2" s="201"/>
      <c r="PMR2" s="201"/>
      <c r="PMS2" s="201"/>
      <c r="PMT2" s="201"/>
      <c r="PMU2" s="201"/>
      <c r="PMV2" s="201"/>
      <c r="PMW2" s="201"/>
      <c r="PMX2" s="201"/>
      <c r="PMY2" s="201"/>
      <c r="PMZ2" s="201"/>
      <c r="PNA2" s="201"/>
      <c r="PNB2" s="201"/>
      <c r="PNC2" s="201"/>
      <c r="PND2" s="201"/>
      <c r="PNE2" s="201"/>
      <c r="PNF2" s="201"/>
      <c r="PNG2" s="201"/>
      <c r="PNH2" s="201"/>
      <c r="PNI2" s="201"/>
      <c r="PNJ2" s="201"/>
      <c r="PNK2" s="201"/>
      <c r="PNL2" s="201"/>
      <c r="PNM2" s="201"/>
      <c r="PNN2" s="201"/>
      <c r="PNO2" s="201"/>
      <c r="PNP2" s="201"/>
      <c r="PNQ2" s="201"/>
      <c r="PNR2" s="201"/>
      <c r="PNS2" s="201"/>
      <c r="PNT2" s="201"/>
      <c r="PNU2" s="201"/>
      <c r="PNV2" s="201"/>
      <c r="PNW2" s="201"/>
      <c r="PNX2" s="201"/>
      <c r="PNY2" s="201"/>
      <c r="PNZ2" s="201"/>
      <c r="POA2" s="201"/>
      <c r="POB2" s="201"/>
      <c r="POC2" s="201"/>
      <c r="POD2" s="201"/>
      <c r="POE2" s="201"/>
      <c r="POF2" s="201"/>
      <c r="POG2" s="201"/>
      <c r="POH2" s="201"/>
      <c r="POI2" s="201"/>
      <c r="POJ2" s="201"/>
      <c r="POK2" s="201"/>
      <c r="POL2" s="201"/>
      <c r="POM2" s="201"/>
      <c r="PON2" s="201"/>
      <c r="POO2" s="201"/>
      <c r="POP2" s="201"/>
      <c r="POQ2" s="201"/>
      <c r="POR2" s="201"/>
      <c r="POS2" s="201"/>
      <c r="POT2" s="201"/>
      <c r="POU2" s="201"/>
      <c r="POV2" s="201"/>
      <c r="POW2" s="201"/>
      <c r="POX2" s="201"/>
      <c r="POY2" s="201"/>
      <c r="POZ2" s="201"/>
      <c r="PPA2" s="201"/>
      <c r="PPB2" s="201"/>
      <c r="PPC2" s="201"/>
      <c r="PPD2" s="201"/>
      <c r="PPE2" s="201"/>
      <c r="PPF2" s="201"/>
      <c r="PPG2" s="201"/>
      <c r="PPH2" s="201"/>
      <c r="PPI2" s="201"/>
      <c r="PPJ2" s="201"/>
      <c r="PPK2" s="201"/>
      <c r="PPL2" s="201"/>
      <c r="PPM2" s="201"/>
      <c r="PPN2" s="201"/>
      <c r="PPO2" s="201"/>
      <c r="PPP2" s="201"/>
      <c r="PPQ2" s="201"/>
      <c r="PPR2" s="201"/>
      <c r="PPS2" s="201"/>
      <c r="PPT2" s="201"/>
      <c r="PPU2" s="201"/>
      <c r="PPV2" s="201"/>
      <c r="PPW2" s="201"/>
      <c r="PPX2" s="201"/>
      <c r="PPY2" s="201"/>
      <c r="PPZ2" s="201"/>
      <c r="PQA2" s="201"/>
      <c r="PQB2" s="201"/>
      <c r="PQC2" s="201"/>
      <c r="PQD2" s="201"/>
      <c r="PQE2" s="201"/>
      <c r="PQF2" s="201"/>
      <c r="PQG2" s="201"/>
      <c r="PQH2" s="201"/>
      <c r="PQI2" s="201"/>
      <c r="PQJ2" s="201"/>
      <c r="PQK2" s="201"/>
      <c r="PQL2" s="201"/>
      <c r="PQM2" s="201"/>
      <c r="PQN2" s="201"/>
      <c r="PQO2" s="201"/>
      <c r="PQP2" s="201"/>
      <c r="PQQ2" s="201"/>
      <c r="PQR2" s="201"/>
      <c r="PQS2" s="201"/>
      <c r="PQT2" s="201"/>
      <c r="PQU2" s="201"/>
      <c r="PQV2" s="201"/>
      <c r="PQW2" s="201"/>
      <c r="PQX2" s="201"/>
      <c r="PQY2" s="201"/>
      <c r="PQZ2" s="201"/>
      <c r="PRA2" s="201"/>
      <c r="PRB2" s="201"/>
      <c r="PRC2" s="201"/>
      <c r="PRD2" s="201"/>
      <c r="PRE2" s="201"/>
      <c r="PRF2" s="201"/>
      <c r="PRG2" s="201"/>
      <c r="PRH2" s="201"/>
      <c r="PRI2" s="201"/>
      <c r="PRJ2" s="201"/>
      <c r="PRK2" s="201"/>
      <c r="PRL2" s="201"/>
      <c r="PRM2" s="201"/>
      <c r="PRN2" s="201"/>
      <c r="PRO2" s="201"/>
      <c r="PRP2" s="201"/>
      <c r="PRQ2" s="201"/>
      <c r="PRR2" s="201"/>
      <c r="PRS2" s="201"/>
      <c r="PRT2" s="201"/>
      <c r="PRU2" s="201"/>
      <c r="PRV2" s="201"/>
      <c r="PRW2" s="201"/>
      <c r="PRX2" s="201"/>
      <c r="PRY2" s="201"/>
      <c r="PRZ2" s="201"/>
      <c r="PSA2" s="201"/>
      <c r="PSB2" s="201"/>
      <c r="PSC2" s="201"/>
      <c r="PSD2" s="201"/>
      <c r="PSE2" s="201"/>
      <c r="PSF2" s="201"/>
      <c r="PSG2" s="201"/>
      <c r="PSH2" s="201"/>
      <c r="PSI2" s="201"/>
      <c r="PSJ2" s="201"/>
      <c r="PSK2" s="201"/>
      <c r="PSL2" s="201"/>
      <c r="PSM2" s="201"/>
      <c r="PSN2" s="201"/>
      <c r="PSO2" s="201"/>
      <c r="PSP2" s="201"/>
      <c r="PSQ2" s="201"/>
      <c r="PSR2" s="201"/>
      <c r="PSS2" s="201"/>
      <c r="PST2" s="201"/>
      <c r="PSU2" s="201"/>
      <c r="PSV2" s="201"/>
      <c r="PSW2" s="201"/>
      <c r="PSX2" s="201"/>
      <c r="PSY2" s="201"/>
      <c r="PSZ2" s="201"/>
      <c r="PTA2" s="201"/>
      <c r="PTB2" s="201"/>
      <c r="PTC2" s="201"/>
      <c r="PTD2" s="201"/>
      <c r="PTE2" s="201"/>
      <c r="PTF2" s="201"/>
      <c r="PTG2" s="201"/>
      <c r="PTH2" s="201"/>
      <c r="PTI2" s="201"/>
      <c r="PTJ2" s="201"/>
      <c r="PTK2" s="201"/>
      <c r="PTL2" s="201"/>
      <c r="PTM2" s="201"/>
      <c r="PTN2" s="201"/>
      <c r="PTO2" s="201"/>
      <c r="PTP2" s="201"/>
      <c r="PTQ2" s="201"/>
      <c r="PTR2" s="201"/>
      <c r="PTS2" s="201"/>
      <c r="PTT2" s="201"/>
      <c r="PTU2" s="201"/>
      <c r="PTV2" s="201"/>
      <c r="PTW2" s="201"/>
      <c r="PTX2" s="201"/>
      <c r="PTY2" s="201"/>
      <c r="PTZ2" s="201"/>
      <c r="PUA2" s="201"/>
      <c r="PUB2" s="201"/>
      <c r="PUC2" s="201"/>
      <c r="PUD2" s="201"/>
      <c r="PUE2" s="201"/>
      <c r="PUF2" s="201"/>
      <c r="PUG2" s="201"/>
      <c r="PUH2" s="201"/>
      <c r="PUI2" s="201"/>
      <c r="PUJ2" s="201"/>
      <c r="PUK2" s="201"/>
      <c r="PUL2" s="201"/>
      <c r="PUM2" s="201"/>
      <c r="PUN2" s="201"/>
      <c r="PUO2" s="201"/>
      <c r="PUP2" s="201"/>
      <c r="PUQ2" s="201"/>
      <c r="PUR2" s="201"/>
      <c r="PUS2" s="201"/>
      <c r="PUT2" s="201"/>
      <c r="PUU2" s="201"/>
      <c r="PUV2" s="201"/>
      <c r="PUW2" s="201"/>
      <c r="PUX2" s="201"/>
      <c r="PUY2" s="201"/>
      <c r="PUZ2" s="201"/>
      <c r="PVA2" s="201"/>
      <c r="PVB2" s="201"/>
      <c r="PVC2" s="201"/>
      <c r="PVD2" s="201"/>
      <c r="PVE2" s="201"/>
      <c r="PVF2" s="201"/>
      <c r="PVG2" s="201"/>
      <c r="PVH2" s="201"/>
      <c r="PVI2" s="201"/>
      <c r="PVJ2" s="201"/>
      <c r="PVK2" s="201"/>
      <c r="PVL2" s="201"/>
      <c r="PVM2" s="201"/>
      <c r="PVN2" s="201"/>
      <c r="PVO2" s="201"/>
      <c r="PVP2" s="201"/>
      <c r="PVQ2" s="201"/>
      <c r="PVR2" s="201"/>
      <c r="PVS2" s="201"/>
      <c r="PVT2" s="201"/>
      <c r="PVU2" s="201"/>
      <c r="PVV2" s="201"/>
      <c r="PVW2" s="201"/>
      <c r="PVX2" s="201"/>
      <c r="PVY2" s="201"/>
      <c r="PVZ2" s="201"/>
      <c r="PWA2" s="201"/>
      <c r="PWB2" s="201"/>
      <c r="PWC2" s="201"/>
      <c r="PWD2" s="201"/>
      <c r="PWE2" s="201"/>
      <c r="PWF2" s="201"/>
      <c r="PWG2" s="201"/>
      <c r="PWH2" s="201"/>
      <c r="PWI2" s="201"/>
      <c r="PWJ2" s="201"/>
      <c r="PWK2" s="201"/>
      <c r="PWL2" s="201"/>
      <c r="PWM2" s="201"/>
      <c r="PWN2" s="201"/>
      <c r="PWO2" s="201"/>
      <c r="PWP2" s="201"/>
      <c r="PWQ2" s="201"/>
      <c r="PWR2" s="201"/>
      <c r="PWS2" s="201"/>
      <c r="PWT2" s="201"/>
      <c r="PWU2" s="201"/>
      <c r="PWV2" s="201"/>
      <c r="PWW2" s="201"/>
      <c r="PWX2" s="201"/>
      <c r="PWY2" s="201"/>
      <c r="PWZ2" s="201"/>
      <c r="PXA2" s="201"/>
      <c r="PXB2" s="201"/>
      <c r="PXC2" s="201"/>
      <c r="PXD2" s="201"/>
      <c r="PXE2" s="201"/>
      <c r="PXF2" s="201"/>
      <c r="PXG2" s="201"/>
      <c r="PXH2" s="201"/>
      <c r="PXI2" s="201"/>
      <c r="PXJ2" s="201"/>
      <c r="PXK2" s="201"/>
      <c r="PXL2" s="201"/>
      <c r="PXM2" s="201"/>
      <c r="PXN2" s="201"/>
      <c r="PXO2" s="201"/>
      <c r="PXP2" s="201"/>
      <c r="PXQ2" s="201"/>
      <c r="PXR2" s="201"/>
      <c r="PXS2" s="201"/>
      <c r="PXT2" s="201"/>
      <c r="PXU2" s="201"/>
      <c r="PXV2" s="201"/>
      <c r="PXW2" s="201"/>
      <c r="PXX2" s="201"/>
      <c r="PXY2" s="201"/>
      <c r="PXZ2" s="201"/>
      <c r="PYA2" s="201"/>
      <c r="PYB2" s="201"/>
      <c r="PYC2" s="201"/>
      <c r="PYD2" s="201"/>
      <c r="PYE2" s="201"/>
      <c r="PYF2" s="201"/>
      <c r="PYG2" s="201"/>
      <c r="PYH2" s="201"/>
      <c r="PYI2" s="201"/>
      <c r="PYJ2" s="201"/>
      <c r="PYK2" s="201"/>
      <c r="PYL2" s="201"/>
      <c r="PYM2" s="201"/>
      <c r="PYN2" s="201"/>
      <c r="PYO2" s="201"/>
      <c r="PYP2" s="201"/>
      <c r="PYQ2" s="201"/>
      <c r="PYR2" s="201"/>
      <c r="PYS2" s="201"/>
      <c r="PYT2" s="201"/>
      <c r="PYU2" s="201"/>
      <c r="PYV2" s="201"/>
      <c r="PYW2" s="201"/>
      <c r="PYX2" s="201"/>
      <c r="PYY2" s="201"/>
      <c r="PYZ2" s="201"/>
      <c r="PZA2" s="201"/>
      <c r="PZB2" s="201"/>
      <c r="PZC2" s="201"/>
      <c r="PZD2" s="201"/>
      <c r="PZE2" s="201"/>
      <c r="PZF2" s="201"/>
      <c r="PZG2" s="201"/>
      <c r="PZH2" s="201"/>
      <c r="PZI2" s="201"/>
      <c r="PZJ2" s="201"/>
      <c r="PZK2" s="201"/>
      <c r="PZL2" s="201"/>
      <c r="PZM2" s="201"/>
      <c r="PZN2" s="201"/>
      <c r="PZO2" s="201"/>
      <c r="PZP2" s="201"/>
      <c r="PZQ2" s="201"/>
      <c r="PZR2" s="201"/>
      <c r="PZS2" s="201"/>
      <c r="PZT2" s="201"/>
      <c r="PZU2" s="201"/>
      <c r="PZV2" s="201"/>
      <c r="PZW2" s="201"/>
      <c r="PZX2" s="201"/>
      <c r="PZY2" s="201"/>
      <c r="PZZ2" s="201"/>
      <c r="QAA2" s="201"/>
      <c r="QAB2" s="201"/>
      <c r="QAC2" s="201"/>
      <c r="QAD2" s="201"/>
      <c r="QAE2" s="201"/>
      <c r="QAF2" s="201"/>
      <c r="QAG2" s="201"/>
      <c r="QAH2" s="201"/>
      <c r="QAI2" s="201"/>
      <c r="QAJ2" s="201"/>
      <c r="QAK2" s="201"/>
      <c r="QAL2" s="201"/>
      <c r="QAM2" s="201"/>
      <c r="QAN2" s="201"/>
      <c r="QAO2" s="201"/>
      <c r="QAP2" s="201"/>
      <c r="QAQ2" s="201"/>
      <c r="QAR2" s="201"/>
      <c r="QAS2" s="201"/>
      <c r="QAT2" s="201"/>
      <c r="QAU2" s="201"/>
      <c r="QAV2" s="201"/>
      <c r="QAW2" s="201"/>
      <c r="QAX2" s="201"/>
      <c r="QAY2" s="201"/>
      <c r="QAZ2" s="201"/>
      <c r="QBA2" s="201"/>
      <c r="QBB2" s="201"/>
      <c r="QBC2" s="201"/>
      <c r="QBD2" s="201"/>
      <c r="QBE2" s="201"/>
      <c r="QBF2" s="201"/>
      <c r="QBG2" s="201"/>
      <c r="QBH2" s="201"/>
      <c r="QBI2" s="201"/>
      <c r="QBJ2" s="201"/>
      <c r="QBK2" s="201"/>
      <c r="QBL2" s="201"/>
      <c r="QBM2" s="201"/>
      <c r="QBN2" s="201"/>
      <c r="QBO2" s="201"/>
      <c r="QBP2" s="201"/>
      <c r="QBQ2" s="201"/>
      <c r="QBR2" s="201"/>
      <c r="QBS2" s="201"/>
      <c r="QBT2" s="201"/>
      <c r="QBU2" s="201"/>
      <c r="QBV2" s="201"/>
      <c r="QBW2" s="201"/>
      <c r="QBX2" s="201"/>
      <c r="QBY2" s="201"/>
      <c r="QBZ2" s="201"/>
      <c r="QCA2" s="201"/>
      <c r="QCB2" s="201"/>
      <c r="QCC2" s="201"/>
      <c r="QCD2" s="201"/>
      <c r="QCE2" s="201"/>
      <c r="QCF2" s="201"/>
      <c r="QCG2" s="201"/>
      <c r="QCH2" s="201"/>
      <c r="QCI2" s="201"/>
      <c r="QCJ2" s="201"/>
      <c r="QCK2" s="201"/>
      <c r="QCL2" s="201"/>
      <c r="QCM2" s="201"/>
      <c r="QCN2" s="201"/>
      <c r="QCO2" s="201"/>
      <c r="QCP2" s="201"/>
      <c r="QCQ2" s="201"/>
      <c r="QCR2" s="201"/>
      <c r="QCS2" s="201"/>
      <c r="QCT2" s="201"/>
      <c r="QCU2" s="201"/>
      <c r="QCV2" s="201"/>
      <c r="QCW2" s="201"/>
      <c r="QCX2" s="201"/>
      <c r="QCY2" s="201"/>
      <c r="QCZ2" s="201"/>
      <c r="QDA2" s="201"/>
      <c r="QDB2" s="201"/>
      <c r="QDC2" s="201"/>
      <c r="QDD2" s="201"/>
      <c r="QDE2" s="201"/>
      <c r="QDF2" s="201"/>
      <c r="QDG2" s="201"/>
      <c r="QDH2" s="201"/>
      <c r="QDI2" s="201"/>
      <c r="QDJ2" s="201"/>
      <c r="QDK2" s="201"/>
      <c r="QDL2" s="201"/>
      <c r="QDM2" s="201"/>
      <c r="QDN2" s="201"/>
      <c r="QDO2" s="201"/>
      <c r="QDP2" s="201"/>
      <c r="QDQ2" s="201"/>
      <c r="QDR2" s="201"/>
      <c r="QDS2" s="201"/>
      <c r="QDT2" s="201"/>
      <c r="QDU2" s="201"/>
      <c r="QDV2" s="201"/>
      <c r="QDW2" s="201"/>
      <c r="QDX2" s="201"/>
      <c r="QDY2" s="201"/>
      <c r="QDZ2" s="201"/>
      <c r="QEA2" s="201"/>
      <c r="QEB2" s="201"/>
      <c r="QEC2" s="201"/>
      <c r="QED2" s="201"/>
      <c r="QEE2" s="201"/>
      <c r="QEF2" s="201"/>
      <c r="QEG2" s="201"/>
      <c r="QEH2" s="201"/>
      <c r="QEI2" s="201"/>
      <c r="QEJ2" s="201"/>
      <c r="QEK2" s="201"/>
      <c r="QEL2" s="201"/>
      <c r="QEM2" s="201"/>
      <c r="QEN2" s="201"/>
      <c r="QEO2" s="201"/>
      <c r="QEP2" s="201"/>
      <c r="QEQ2" s="201"/>
      <c r="QER2" s="201"/>
      <c r="QES2" s="201"/>
      <c r="QET2" s="201"/>
      <c r="QEU2" s="201"/>
      <c r="QEV2" s="201"/>
      <c r="QEW2" s="201"/>
      <c r="QEX2" s="201"/>
      <c r="QEY2" s="201"/>
      <c r="QEZ2" s="201"/>
      <c r="QFA2" s="201"/>
      <c r="QFB2" s="201"/>
      <c r="QFC2" s="201"/>
      <c r="QFD2" s="201"/>
      <c r="QFE2" s="201"/>
      <c r="QFF2" s="201"/>
      <c r="QFG2" s="201"/>
      <c r="QFH2" s="201"/>
      <c r="QFI2" s="201"/>
      <c r="QFJ2" s="201"/>
      <c r="QFK2" s="201"/>
      <c r="QFL2" s="201"/>
      <c r="QFM2" s="201"/>
      <c r="QFN2" s="201"/>
      <c r="QFO2" s="201"/>
      <c r="QFP2" s="201"/>
      <c r="QFQ2" s="201"/>
      <c r="QFR2" s="201"/>
      <c r="QFS2" s="201"/>
      <c r="QFT2" s="201"/>
      <c r="QFU2" s="201"/>
      <c r="QFV2" s="201"/>
      <c r="QFW2" s="201"/>
      <c r="QFX2" s="201"/>
      <c r="QFY2" s="201"/>
      <c r="QFZ2" s="201"/>
      <c r="QGA2" s="201"/>
      <c r="QGB2" s="201"/>
      <c r="QGC2" s="201"/>
      <c r="QGD2" s="201"/>
      <c r="QGE2" s="201"/>
      <c r="QGF2" s="201"/>
      <c r="QGG2" s="201"/>
      <c r="QGH2" s="201"/>
      <c r="QGI2" s="201"/>
      <c r="QGJ2" s="201"/>
      <c r="QGK2" s="201"/>
      <c r="QGL2" s="201"/>
      <c r="QGM2" s="201"/>
      <c r="QGN2" s="201"/>
      <c r="QGO2" s="201"/>
      <c r="QGP2" s="201"/>
      <c r="QGQ2" s="201"/>
      <c r="QGR2" s="201"/>
      <c r="QGS2" s="201"/>
      <c r="QGT2" s="201"/>
      <c r="QGU2" s="201"/>
      <c r="QGV2" s="201"/>
      <c r="QGW2" s="201"/>
      <c r="QGX2" s="201"/>
      <c r="QGY2" s="201"/>
      <c r="QGZ2" s="201"/>
      <c r="QHA2" s="201"/>
      <c r="QHB2" s="201"/>
      <c r="QHC2" s="201"/>
      <c r="QHD2" s="201"/>
      <c r="QHE2" s="201"/>
      <c r="QHF2" s="201"/>
      <c r="QHG2" s="201"/>
      <c r="QHH2" s="201"/>
      <c r="QHI2" s="201"/>
      <c r="QHJ2" s="201"/>
      <c r="QHK2" s="201"/>
      <c r="QHL2" s="201"/>
      <c r="QHM2" s="201"/>
      <c r="QHN2" s="201"/>
      <c r="QHO2" s="201"/>
      <c r="QHP2" s="201"/>
      <c r="QHQ2" s="201"/>
      <c r="QHR2" s="201"/>
      <c r="QHS2" s="201"/>
      <c r="QHT2" s="201"/>
      <c r="QHU2" s="201"/>
      <c r="QHV2" s="201"/>
      <c r="QHW2" s="201"/>
      <c r="QHX2" s="201"/>
      <c r="QHY2" s="201"/>
      <c r="QHZ2" s="201"/>
      <c r="QIA2" s="201"/>
      <c r="QIB2" s="201"/>
      <c r="QIC2" s="201"/>
      <c r="QID2" s="201"/>
      <c r="QIE2" s="201"/>
      <c r="QIF2" s="201"/>
      <c r="QIG2" s="201"/>
      <c r="QIH2" s="201"/>
      <c r="QII2" s="201"/>
      <c r="QIJ2" s="201"/>
      <c r="QIK2" s="201"/>
      <c r="QIL2" s="201"/>
      <c r="QIM2" s="201"/>
      <c r="QIN2" s="201"/>
      <c r="QIO2" s="201"/>
      <c r="QIP2" s="201"/>
      <c r="QIQ2" s="201"/>
      <c r="QIR2" s="201"/>
      <c r="QIS2" s="201"/>
      <c r="QIT2" s="201"/>
      <c r="QIU2" s="201"/>
      <c r="QIV2" s="201"/>
      <c r="QIW2" s="201"/>
      <c r="QIX2" s="201"/>
      <c r="QIY2" s="201"/>
      <c r="QIZ2" s="201"/>
      <c r="QJA2" s="201"/>
      <c r="QJB2" s="201"/>
      <c r="QJC2" s="201"/>
      <c r="QJD2" s="201"/>
      <c r="QJE2" s="201"/>
      <c r="QJF2" s="201"/>
      <c r="QJG2" s="201"/>
      <c r="QJH2" s="201"/>
      <c r="QJI2" s="201"/>
      <c r="QJJ2" s="201"/>
      <c r="QJK2" s="201"/>
      <c r="QJL2" s="201"/>
      <c r="QJM2" s="201"/>
      <c r="QJN2" s="201"/>
      <c r="QJO2" s="201"/>
      <c r="QJP2" s="201"/>
      <c r="QJQ2" s="201"/>
      <c r="QJR2" s="201"/>
      <c r="QJS2" s="201"/>
      <c r="QJT2" s="201"/>
      <c r="QJU2" s="201"/>
      <c r="QJV2" s="201"/>
      <c r="QJW2" s="201"/>
      <c r="QJX2" s="201"/>
      <c r="QJY2" s="201"/>
      <c r="QJZ2" s="201"/>
      <c r="QKA2" s="201"/>
      <c r="QKB2" s="201"/>
      <c r="QKC2" s="201"/>
      <c r="QKD2" s="201"/>
      <c r="QKE2" s="201"/>
      <c r="QKF2" s="201"/>
      <c r="QKG2" s="201"/>
      <c r="QKH2" s="201"/>
      <c r="QKI2" s="201"/>
      <c r="QKJ2" s="201"/>
      <c r="QKK2" s="201"/>
      <c r="QKL2" s="201"/>
      <c r="QKM2" s="201"/>
      <c r="QKN2" s="201"/>
      <c r="QKO2" s="201"/>
      <c r="QKP2" s="201"/>
      <c r="QKQ2" s="201"/>
      <c r="QKR2" s="201"/>
      <c r="QKS2" s="201"/>
      <c r="QKT2" s="201"/>
      <c r="QKU2" s="201"/>
      <c r="QKV2" s="201"/>
      <c r="QKW2" s="201"/>
      <c r="QKX2" s="201"/>
      <c r="QKY2" s="201"/>
      <c r="QKZ2" s="201"/>
      <c r="QLA2" s="201"/>
      <c r="QLB2" s="201"/>
      <c r="QLC2" s="201"/>
      <c r="QLD2" s="201"/>
      <c r="QLE2" s="201"/>
      <c r="QLF2" s="201"/>
      <c r="QLG2" s="201"/>
      <c r="QLH2" s="201"/>
      <c r="QLI2" s="201"/>
      <c r="QLJ2" s="201"/>
      <c r="QLK2" s="201"/>
      <c r="QLL2" s="201"/>
      <c r="QLM2" s="201"/>
      <c r="QLN2" s="201"/>
      <c r="QLO2" s="201"/>
      <c r="QLP2" s="201"/>
      <c r="QLQ2" s="201"/>
      <c r="QLR2" s="201"/>
      <c r="QLS2" s="201"/>
      <c r="QLT2" s="201"/>
      <c r="QLU2" s="201"/>
      <c r="QLV2" s="201"/>
      <c r="QLW2" s="201"/>
      <c r="QLX2" s="201"/>
      <c r="QLY2" s="201"/>
      <c r="QLZ2" s="201"/>
      <c r="QMA2" s="201"/>
      <c r="QMB2" s="201"/>
      <c r="QMC2" s="201"/>
      <c r="QMD2" s="201"/>
      <c r="QME2" s="201"/>
      <c r="QMF2" s="201"/>
      <c r="QMG2" s="201"/>
      <c r="QMH2" s="201"/>
      <c r="QMI2" s="201"/>
      <c r="QMJ2" s="201"/>
      <c r="QMK2" s="201"/>
      <c r="QML2" s="201"/>
      <c r="QMM2" s="201"/>
      <c r="QMN2" s="201"/>
      <c r="QMO2" s="201"/>
      <c r="QMP2" s="201"/>
      <c r="QMQ2" s="201"/>
      <c r="QMR2" s="201"/>
      <c r="QMS2" s="201"/>
      <c r="QMT2" s="201"/>
      <c r="QMU2" s="201"/>
      <c r="QMV2" s="201"/>
      <c r="QMW2" s="201"/>
      <c r="QMX2" s="201"/>
      <c r="QMY2" s="201"/>
      <c r="QMZ2" s="201"/>
      <c r="QNA2" s="201"/>
      <c r="QNB2" s="201"/>
      <c r="QNC2" s="201"/>
      <c r="QND2" s="201"/>
      <c r="QNE2" s="201"/>
      <c r="QNF2" s="201"/>
      <c r="QNG2" s="201"/>
      <c r="QNH2" s="201"/>
      <c r="QNI2" s="201"/>
      <c r="QNJ2" s="201"/>
      <c r="QNK2" s="201"/>
      <c r="QNL2" s="201"/>
      <c r="QNM2" s="201"/>
      <c r="QNN2" s="201"/>
      <c r="QNO2" s="201"/>
      <c r="QNP2" s="201"/>
      <c r="QNQ2" s="201"/>
      <c r="QNR2" s="201"/>
      <c r="QNS2" s="201"/>
      <c r="QNT2" s="201"/>
      <c r="QNU2" s="201"/>
      <c r="QNV2" s="201"/>
      <c r="QNW2" s="201"/>
      <c r="QNX2" s="201"/>
      <c r="QNY2" s="201"/>
      <c r="QNZ2" s="201"/>
      <c r="QOA2" s="201"/>
      <c r="QOB2" s="201"/>
      <c r="QOC2" s="201"/>
      <c r="QOD2" s="201"/>
      <c r="QOE2" s="201"/>
      <c r="QOF2" s="201"/>
      <c r="QOG2" s="201"/>
      <c r="QOH2" s="201"/>
      <c r="QOI2" s="201"/>
      <c r="QOJ2" s="201"/>
      <c r="QOK2" s="201"/>
      <c r="QOL2" s="201"/>
      <c r="QOM2" s="201"/>
      <c r="QON2" s="201"/>
      <c r="QOO2" s="201"/>
      <c r="QOP2" s="201"/>
      <c r="QOQ2" s="201"/>
      <c r="QOR2" s="201"/>
      <c r="QOS2" s="201"/>
      <c r="QOT2" s="201"/>
      <c r="QOU2" s="201"/>
      <c r="QOV2" s="201"/>
      <c r="QOW2" s="201"/>
      <c r="QOX2" s="201"/>
      <c r="QOY2" s="201"/>
      <c r="QOZ2" s="201"/>
      <c r="QPA2" s="201"/>
      <c r="QPB2" s="201"/>
      <c r="QPC2" s="201"/>
      <c r="QPD2" s="201"/>
      <c r="QPE2" s="201"/>
      <c r="QPF2" s="201"/>
      <c r="QPG2" s="201"/>
      <c r="QPH2" s="201"/>
      <c r="QPI2" s="201"/>
      <c r="QPJ2" s="201"/>
      <c r="QPK2" s="201"/>
      <c r="QPL2" s="201"/>
      <c r="QPM2" s="201"/>
      <c r="QPN2" s="201"/>
      <c r="QPO2" s="201"/>
      <c r="QPP2" s="201"/>
      <c r="QPQ2" s="201"/>
      <c r="QPR2" s="201"/>
      <c r="QPS2" s="201"/>
      <c r="QPT2" s="201"/>
      <c r="QPU2" s="201"/>
      <c r="QPV2" s="201"/>
      <c r="QPW2" s="201"/>
      <c r="QPX2" s="201"/>
      <c r="QPY2" s="201"/>
      <c r="QPZ2" s="201"/>
      <c r="QQA2" s="201"/>
      <c r="QQB2" s="201"/>
      <c r="QQC2" s="201"/>
      <c r="QQD2" s="201"/>
      <c r="QQE2" s="201"/>
      <c r="QQF2" s="201"/>
      <c r="QQG2" s="201"/>
      <c r="QQH2" s="201"/>
      <c r="QQI2" s="201"/>
      <c r="QQJ2" s="201"/>
      <c r="QQK2" s="201"/>
      <c r="QQL2" s="201"/>
      <c r="QQM2" s="201"/>
      <c r="QQN2" s="201"/>
      <c r="QQO2" s="201"/>
      <c r="QQP2" s="201"/>
      <c r="QQQ2" s="201"/>
      <c r="QQR2" s="201"/>
      <c r="QQS2" s="201"/>
      <c r="QQT2" s="201"/>
      <c r="QQU2" s="201"/>
      <c r="QQV2" s="201"/>
      <c r="QQW2" s="201"/>
      <c r="QQX2" s="201"/>
      <c r="QQY2" s="201"/>
      <c r="QQZ2" s="201"/>
      <c r="QRA2" s="201"/>
      <c r="QRB2" s="201"/>
      <c r="QRC2" s="201"/>
      <c r="QRD2" s="201"/>
      <c r="QRE2" s="201"/>
      <c r="QRF2" s="201"/>
      <c r="QRG2" s="201"/>
      <c r="QRH2" s="201"/>
      <c r="QRI2" s="201"/>
      <c r="QRJ2" s="201"/>
      <c r="QRK2" s="201"/>
      <c r="QRL2" s="201"/>
      <c r="QRM2" s="201"/>
      <c r="QRN2" s="201"/>
      <c r="QRO2" s="201"/>
      <c r="QRP2" s="201"/>
      <c r="QRQ2" s="201"/>
      <c r="QRR2" s="201"/>
      <c r="QRS2" s="201"/>
      <c r="QRT2" s="201"/>
      <c r="QRU2" s="201"/>
      <c r="QRV2" s="201"/>
      <c r="QRW2" s="201"/>
      <c r="QRX2" s="201"/>
      <c r="QRY2" s="201"/>
      <c r="QRZ2" s="201"/>
      <c r="QSA2" s="201"/>
      <c r="QSB2" s="201"/>
      <c r="QSC2" s="201"/>
      <c r="QSD2" s="201"/>
      <c r="QSE2" s="201"/>
      <c r="QSF2" s="201"/>
      <c r="QSG2" s="201"/>
      <c r="QSH2" s="201"/>
      <c r="QSI2" s="201"/>
      <c r="QSJ2" s="201"/>
      <c r="QSK2" s="201"/>
      <c r="QSL2" s="201"/>
      <c r="QSM2" s="201"/>
      <c r="QSN2" s="201"/>
      <c r="QSO2" s="201"/>
      <c r="QSP2" s="201"/>
      <c r="QSQ2" s="201"/>
      <c r="QSR2" s="201"/>
      <c r="QSS2" s="201"/>
      <c r="QST2" s="201"/>
      <c r="QSU2" s="201"/>
      <c r="QSV2" s="201"/>
      <c r="QSW2" s="201"/>
      <c r="QSX2" s="201"/>
      <c r="QSY2" s="201"/>
      <c r="QSZ2" s="201"/>
      <c r="QTA2" s="201"/>
      <c r="QTB2" s="201"/>
      <c r="QTC2" s="201"/>
      <c r="QTD2" s="201"/>
      <c r="QTE2" s="201"/>
      <c r="QTF2" s="201"/>
      <c r="QTG2" s="201"/>
      <c r="QTH2" s="201"/>
      <c r="QTI2" s="201"/>
      <c r="QTJ2" s="201"/>
      <c r="QTK2" s="201"/>
      <c r="QTL2" s="201"/>
      <c r="QTM2" s="201"/>
      <c r="QTN2" s="201"/>
      <c r="QTO2" s="201"/>
      <c r="QTP2" s="201"/>
      <c r="QTQ2" s="201"/>
      <c r="QTR2" s="201"/>
      <c r="QTS2" s="201"/>
      <c r="QTT2" s="201"/>
      <c r="QTU2" s="201"/>
      <c r="QTV2" s="201"/>
      <c r="QTW2" s="201"/>
      <c r="QTX2" s="201"/>
      <c r="QTY2" s="201"/>
      <c r="QTZ2" s="201"/>
      <c r="QUA2" s="201"/>
      <c r="QUB2" s="201"/>
      <c r="QUC2" s="201"/>
      <c r="QUD2" s="201"/>
      <c r="QUE2" s="201"/>
      <c r="QUF2" s="201"/>
      <c r="QUG2" s="201"/>
      <c r="QUH2" s="201"/>
      <c r="QUI2" s="201"/>
      <c r="QUJ2" s="201"/>
      <c r="QUK2" s="201"/>
      <c r="QUL2" s="201"/>
      <c r="QUM2" s="201"/>
      <c r="QUN2" s="201"/>
      <c r="QUO2" s="201"/>
      <c r="QUP2" s="201"/>
      <c r="QUQ2" s="201"/>
      <c r="QUR2" s="201"/>
      <c r="QUS2" s="201"/>
      <c r="QUT2" s="201"/>
      <c r="QUU2" s="201"/>
      <c r="QUV2" s="201"/>
      <c r="QUW2" s="201"/>
      <c r="QUX2" s="201"/>
      <c r="QUY2" s="201"/>
      <c r="QUZ2" s="201"/>
      <c r="QVA2" s="201"/>
      <c r="QVB2" s="201"/>
      <c r="QVC2" s="201"/>
      <c r="QVD2" s="201"/>
      <c r="QVE2" s="201"/>
      <c r="QVF2" s="201"/>
      <c r="QVG2" s="201"/>
      <c r="QVH2" s="201"/>
      <c r="QVI2" s="201"/>
      <c r="QVJ2" s="201"/>
      <c r="QVK2" s="201"/>
      <c r="QVL2" s="201"/>
      <c r="QVM2" s="201"/>
      <c r="QVN2" s="201"/>
      <c r="QVO2" s="201"/>
      <c r="QVP2" s="201"/>
      <c r="QVQ2" s="201"/>
      <c r="QVR2" s="201"/>
      <c r="QVS2" s="201"/>
      <c r="QVT2" s="201"/>
      <c r="QVU2" s="201"/>
      <c r="QVV2" s="201"/>
      <c r="QVW2" s="201"/>
      <c r="QVX2" s="201"/>
      <c r="QVY2" s="201"/>
      <c r="QVZ2" s="201"/>
      <c r="QWA2" s="201"/>
      <c r="QWB2" s="201"/>
      <c r="QWC2" s="201"/>
      <c r="QWD2" s="201"/>
      <c r="QWE2" s="201"/>
      <c r="QWF2" s="201"/>
      <c r="QWG2" s="201"/>
      <c r="QWH2" s="201"/>
      <c r="QWI2" s="201"/>
      <c r="QWJ2" s="201"/>
      <c r="QWK2" s="201"/>
      <c r="QWL2" s="201"/>
      <c r="QWM2" s="201"/>
      <c r="QWN2" s="201"/>
      <c r="QWO2" s="201"/>
      <c r="QWP2" s="201"/>
      <c r="QWQ2" s="201"/>
      <c r="QWR2" s="201"/>
      <c r="QWS2" s="201"/>
      <c r="QWT2" s="201"/>
      <c r="QWU2" s="201"/>
      <c r="QWV2" s="201"/>
      <c r="QWW2" s="201"/>
      <c r="QWX2" s="201"/>
      <c r="QWY2" s="201"/>
      <c r="QWZ2" s="201"/>
      <c r="QXA2" s="201"/>
      <c r="QXB2" s="201"/>
      <c r="QXC2" s="201"/>
      <c r="QXD2" s="201"/>
      <c r="QXE2" s="201"/>
      <c r="QXF2" s="201"/>
      <c r="QXG2" s="201"/>
      <c r="QXH2" s="201"/>
      <c r="QXI2" s="201"/>
      <c r="QXJ2" s="201"/>
      <c r="QXK2" s="201"/>
      <c r="QXL2" s="201"/>
      <c r="QXM2" s="201"/>
      <c r="QXN2" s="201"/>
      <c r="QXO2" s="201"/>
      <c r="QXP2" s="201"/>
      <c r="QXQ2" s="201"/>
      <c r="QXR2" s="201"/>
      <c r="QXS2" s="201"/>
      <c r="QXT2" s="201"/>
      <c r="QXU2" s="201"/>
      <c r="QXV2" s="201"/>
      <c r="QXW2" s="201"/>
      <c r="QXX2" s="201"/>
      <c r="QXY2" s="201"/>
      <c r="QXZ2" s="201"/>
      <c r="QYA2" s="201"/>
      <c r="QYB2" s="201"/>
      <c r="QYC2" s="201"/>
      <c r="QYD2" s="201"/>
      <c r="QYE2" s="201"/>
      <c r="QYF2" s="201"/>
      <c r="QYG2" s="201"/>
      <c r="QYH2" s="201"/>
      <c r="QYI2" s="201"/>
      <c r="QYJ2" s="201"/>
      <c r="QYK2" s="201"/>
      <c r="QYL2" s="201"/>
      <c r="QYM2" s="201"/>
      <c r="QYN2" s="201"/>
      <c r="QYO2" s="201"/>
      <c r="QYP2" s="201"/>
      <c r="QYQ2" s="201"/>
      <c r="QYR2" s="201"/>
      <c r="QYS2" s="201"/>
      <c r="QYT2" s="201"/>
      <c r="QYU2" s="201"/>
      <c r="QYV2" s="201"/>
      <c r="QYW2" s="201"/>
      <c r="QYX2" s="201"/>
      <c r="QYY2" s="201"/>
      <c r="QYZ2" s="201"/>
      <c r="QZA2" s="201"/>
      <c r="QZB2" s="201"/>
      <c r="QZC2" s="201"/>
      <c r="QZD2" s="201"/>
      <c r="QZE2" s="201"/>
      <c r="QZF2" s="201"/>
      <c r="QZG2" s="201"/>
      <c r="QZH2" s="201"/>
      <c r="QZI2" s="201"/>
      <c r="QZJ2" s="201"/>
      <c r="QZK2" s="201"/>
      <c r="QZL2" s="201"/>
      <c r="QZM2" s="201"/>
      <c r="QZN2" s="201"/>
      <c r="QZO2" s="201"/>
      <c r="QZP2" s="201"/>
      <c r="QZQ2" s="201"/>
      <c r="QZR2" s="201"/>
      <c r="QZS2" s="201"/>
      <c r="QZT2" s="201"/>
      <c r="QZU2" s="201"/>
      <c r="QZV2" s="201"/>
      <c r="QZW2" s="201"/>
      <c r="QZX2" s="201"/>
      <c r="QZY2" s="201"/>
      <c r="QZZ2" s="201"/>
      <c r="RAA2" s="201"/>
      <c r="RAB2" s="201"/>
      <c r="RAC2" s="201"/>
      <c r="RAD2" s="201"/>
      <c r="RAE2" s="201"/>
      <c r="RAF2" s="201"/>
      <c r="RAG2" s="201"/>
      <c r="RAH2" s="201"/>
      <c r="RAI2" s="201"/>
      <c r="RAJ2" s="201"/>
      <c r="RAK2" s="201"/>
      <c r="RAL2" s="201"/>
      <c r="RAM2" s="201"/>
      <c r="RAN2" s="201"/>
      <c r="RAO2" s="201"/>
      <c r="RAP2" s="201"/>
      <c r="RAQ2" s="201"/>
      <c r="RAR2" s="201"/>
      <c r="RAS2" s="201"/>
      <c r="RAT2" s="201"/>
      <c r="RAU2" s="201"/>
      <c r="RAV2" s="201"/>
      <c r="RAW2" s="201"/>
      <c r="RAX2" s="201"/>
      <c r="RAY2" s="201"/>
      <c r="RAZ2" s="201"/>
      <c r="RBA2" s="201"/>
      <c r="RBB2" s="201"/>
      <c r="RBC2" s="201"/>
      <c r="RBD2" s="201"/>
      <c r="RBE2" s="201"/>
      <c r="RBF2" s="201"/>
      <c r="RBG2" s="201"/>
      <c r="RBH2" s="201"/>
      <c r="RBI2" s="201"/>
      <c r="RBJ2" s="201"/>
      <c r="RBK2" s="201"/>
      <c r="RBL2" s="201"/>
      <c r="RBM2" s="201"/>
      <c r="RBN2" s="201"/>
      <c r="RBO2" s="201"/>
      <c r="RBP2" s="201"/>
      <c r="RBQ2" s="201"/>
      <c r="RBR2" s="201"/>
      <c r="RBS2" s="201"/>
      <c r="RBT2" s="201"/>
      <c r="RBU2" s="201"/>
      <c r="RBV2" s="201"/>
      <c r="RBW2" s="201"/>
      <c r="RBX2" s="201"/>
      <c r="RBY2" s="201"/>
      <c r="RBZ2" s="201"/>
      <c r="RCA2" s="201"/>
      <c r="RCB2" s="201"/>
      <c r="RCC2" s="201"/>
      <c r="RCD2" s="201"/>
      <c r="RCE2" s="201"/>
      <c r="RCF2" s="201"/>
      <c r="RCG2" s="201"/>
      <c r="RCH2" s="201"/>
      <c r="RCI2" s="201"/>
      <c r="RCJ2" s="201"/>
      <c r="RCK2" s="201"/>
      <c r="RCL2" s="201"/>
      <c r="RCM2" s="201"/>
      <c r="RCN2" s="201"/>
      <c r="RCO2" s="201"/>
      <c r="RCP2" s="201"/>
      <c r="RCQ2" s="201"/>
      <c r="RCR2" s="201"/>
      <c r="RCS2" s="201"/>
      <c r="RCT2" s="201"/>
      <c r="RCU2" s="201"/>
      <c r="RCV2" s="201"/>
      <c r="RCW2" s="201"/>
      <c r="RCX2" s="201"/>
      <c r="RCY2" s="201"/>
      <c r="RCZ2" s="201"/>
      <c r="RDA2" s="201"/>
      <c r="RDB2" s="201"/>
      <c r="RDC2" s="201"/>
      <c r="RDD2" s="201"/>
      <c r="RDE2" s="201"/>
      <c r="RDF2" s="201"/>
      <c r="RDG2" s="201"/>
      <c r="RDH2" s="201"/>
      <c r="RDI2" s="201"/>
      <c r="RDJ2" s="201"/>
      <c r="RDK2" s="201"/>
      <c r="RDL2" s="201"/>
      <c r="RDM2" s="201"/>
      <c r="RDN2" s="201"/>
      <c r="RDO2" s="201"/>
      <c r="RDP2" s="201"/>
      <c r="RDQ2" s="201"/>
      <c r="RDR2" s="201"/>
      <c r="RDS2" s="201"/>
      <c r="RDT2" s="201"/>
      <c r="RDU2" s="201"/>
      <c r="RDV2" s="201"/>
      <c r="RDW2" s="201"/>
      <c r="RDX2" s="201"/>
      <c r="RDY2" s="201"/>
      <c r="RDZ2" s="201"/>
      <c r="REA2" s="201"/>
      <c r="REB2" s="201"/>
      <c r="REC2" s="201"/>
      <c r="RED2" s="201"/>
      <c r="REE2" s="201"/>
      <c r="REF2" s="201"/>
      <c r="REG2" s="201"/>
      <c r="REH2" s="201"/>
      <c r="REI2" s="201"/>
      <c r="REJ2" s="201"/>
      <c r="REK2" s="201"/>
      <c r="REL2" s="201"/>
      <c r="REM2" s="201"/>
      <c r="REN2" s="201"/>
      <c r="REO2" s="201"/>
      <c r="REP2" s="201"/>
      <c r="REQ2" s="201"/>
      <c r="RER2" s="201"/>
      <c r="RES2" s="201"/>
      <c r="RET2" s="201"/>
      <c r="REU2" s="201"/>
      <c r="REV2" s="201"/>
      <c r="REW2" s="201"/>
      <c r="REX2" s="201"/>
      <c r="REY2" s="201"/>
      <c r="REZ2" s="201"/>
      <c r="RFA2" s="201"/>
      <c r="RFB2" s="201"/>
      <c r="RFC2" s="201"/>
      <c r="RFD2" s="201"/>
      <c r="RFE2" s="201"/>
      <c r="RFF2" s="201"/>
      <c r="RFG2" s="201"/>
      <c r="RFH2" s="201"/>
      <c r="RFI2" s="201"/>
      <c r="RFJ2" s="201"/>
      <c r="RFK2" s="201"/>
      <c r="RFL2" s="201"/>
      <c r="RFM2" s="201"/>
      <c r="RFN2" s="201"/>
      <c r="RFO2" s="201"/>
      <c r="RFP2" s="201"/>
      <c r="RFQ2" s="201"/>
      <c r="RFR2" s="201"/>
      <c r="RFS2" s="201"/>
      <c r="RFT2" s="201"/>
      <c r="RFU2" s="201"/>
      <c r="RFV2" s="201"/>
      <c r="RFW2" s="201"/>
      <c r="RFX2" s="201"/>
      <c r="RFY2" s="201"/>
      <c r="RFZ2" s="201"/>
      <c r="RGA2" s="201"/>
      <c r="RGB2" s="201"/>
      <c r="RGC2" s="201"/>
      <c r="RGD2" s="201"/>
      <c r="RGE2" s="201"/>
      <c r="RGF2" s="201"/>
      <c r="RGG2" s="201"/>
      <c r="RGH2" s="201"/>
      <c r="RGI2" s="201"/>
      <c r="RGJ2" s="201"/>
      <c r="RGK2" s="201"/>
      <c r="RGL2" s="201"/>
      <c r="RGM2" s="201"/>
      <c r="RGN2" s="201"/>
      <c r="RGO2" s="201"/>
      <c r="RGP2" s="201"/>
      <c r="RGQ2" s="201"/>
      <c r="RGR2" s="201"/>
      <c r="RGS2" s="201"/>
      <c r="RGT2" s="201"/>
      <c r="RGU2" s="201"/>
      <c r="RGV2" s="201"/>
      <c r="RGW2" s="201"/>
      <c r="RGX2" s="201"/>
      <c r="RGY2" s="201"/>
      <c r="RGZ2" s="201"/>
      <c r="RHA2" s="201"/>
      <c r="RHB2" s="201"/>
      <c r="RHC2" s="201"/>
      <c r="RHD2" s="201"/>
      <c r="RHE2" s="201"/>
      <c r="RHF2" s="201"/>
      <c r="RHG2" s="201"/>
      <c r="RHH2" s="201"/>
      <c r="RHI2" s="201"/>
      <c r="RHJ2" s="201"/>
      <c r="RHK2" s="201"/>
      <c r="RHL2" s="201"/>
      <c r="RHM2" s="201"/>
      <c r="RHN2" s="201"/>
      <c r="RHO2" s="201"/>
      <c r="RHP2" s="201"/>
      <c r="RHQ2" s="201"/>
      <c r="RHR2" s="201"/>
      <c r="RHS2" s="201"/>
      <c r="RHT2" s="201"/>
      <c r="RHU2" s="201"/>
      <c r="RHV2" s="201"/>
      <c r="RHW2" s="201"/>
      <c r="RHX2" s="201"/>
      <c r="RHY2" s="201"/>
      <c r="RHZ2" s="201"/>
      <c r="RIA2" s="201"/>
      <c r="RIB2" s="201"/>
      <c r="RIC2" s="201"/>
      <c r="RID2" s="201"/>
      <c r="RIE2" s="201"/>
      <c r="RIF2" s="201"/>
      <c r="RIG2" s="201"/>
      <c r="RIH2" s="201"/>
      <c r="RII2" s="201"/>
      <c r="RIJ2" s="201"/>
      <c r="RIK2" s="201"/>
      <c r="RIL2" s="201"/>
      <c r="RIM2" s="201"/>
      <c r="RIN2" s="201"/>
      <c r="RIO2" s="201"/>
      <c r="RIP2" s="201"/>
      <c r="RIQ2" s="201"/>
      <c r="RIR2" s="201"/>
      <c r="RIS2" s="201"/>
      <c r="RIT2" s="201"/>
      <c r="RIU2" s="201"/>
      <c r="RIV2" s="201"/>
      <c r="RIW2" s="201"/>
      <c r="RIX2" s="201"/>
      <c r="RIY2" s="201"/>
      <c r="RIZ2" s="201"/>
      <c r="RJA2" s="201"/>
      <c r="RJB2" s="201"/>
      <c r="RJC2" s="201"/>
      <c r="RJD2" s="201"/>
      <c r="RJE2" s="201"/>
      <c r="RJF2" s="201"/>
      <c r="RJG2" s="201"/>
      <c r="RJH2" s="201"/>
      <c r="RJI2" s="201"/>
      <c r="RJJ2" s="201"/>
      <c r="RJK2" s="201"/>
      <c r="RJL2" s="201"/>
      <c r="RJM2" s="201"/>
      <c r="RJN2" s="201"/>
      <c r="RJO2" s="201"/>
      <c r="RJP2" s="201"/>
      <c r="RJQ2" s="201"/>
      <c r="RJR2" s="201"/>
      <c r="RJS2" s="201"/>
      <c r="RJT2" s="201"/>
      <c r="RJU2" s="201"/>
      <c r="RJV2" s="201"/>
      <c r="RJW2" s="201"/>
      <c r="RJX2" s="201"/>
      <c r="RJY2" s="201"/>
      <c r="RJZ2" s="201"/>
      <c r="RKA2" s="201"/>
      <c r="RKB2" s="201"/>
      <c r="RKC2" s="201"/>
      <c r="RKD2" s="201"/>
      <c r="RKE2" s="201"/>
      <c r="RKF2" s="201"/>
      <c r="RKG2" s="201"/>
      <c r="RKH2" s="201"/>
      <c r="RKI2" s="201"/>
      <c r="RKJ2" s="201"/>
      <c r="RKK2" s="201"/>
      <c r="RKL2" s="201"/>
      <c r="RKM2" s="201"/>
      <c r="RKN2" s="201"/>
      <c r="RKO2" s="201"/>
      <c r="RKP2" s="201"/>
      <c r="RKQ2" s="201"/>
      <c r="RKR2" s="201"/>
      <c r="RKS2" s="201"/>
      <c r="RKT2" s="201"/>
      <c r="RKU2" s="201"/>
      <c r="RKV2" s="201"/>
      <c r="RKW2" s="201"/>
      <c r="RKX2" s="201"/>
      <c r="RKY2" s="201"/>
      <c r="RKZ2" s="201"/>
      <c r="RLA2" s="201"/>
      <c r="RLB2" s="201"/>
      <c r="RLC2" s="201"/>
      <c r="RLD2" s="201"/>
      <c r="RLE2" s="201"/>
      <c r="RLF2" s="201"/>
      <c r="RLG2" s="201"/>
      <c r="RLH2" s="201"/>
      <c r="RLI2" s="201"/>
      <c r="RLJ2" s="201"/>
      <c r="RLK2" s="201"/>
      <c r="RLL2" s="201"/>
      <c r="RLM2" s="201"/>
      <c r="RLN2" s="201"/>
      <c r="RLO2" s="201"/>
      <c r="RLP2" s="201"/>
      <c r="RLQ2" s="201"/>
      <c r="RLR2" s="201"/>
      <c r="RLS2" s="201"/>
      <c r="RLT2" s="201"/>
      <c r="RLU2" s="201"/>
      <c r="RLV2" s="201"/>
      <c r="RLW2" s="201"/>
      <c r="RLX2" s="201"/>
      <c r="RLY2" s="201"/>
      <c r="RLZ2" s="201"/>
      <c r="RMA2" s="201"/>
      <c r="RMB2" s="201"/>
      <c r="RMC2" s="201"/>
      <c r="RMD2" s="201"/>
      <c r="RME2" s="201"/>
      <c r="RMF2" s="201"/>
      <c r="RMG2" s="201"/>
      <c r="RMH2" s="201"/>
      <c r="RMI2" s="201"/>
      <c r="RMJ2" s="201"/>
      <c r="RMK2" s="201"/>
      <c r="RML2" s="201"/>
      <c r="RMM2" s="201"/>
      <c r="RMN2" s="201"/>
      <c r="RMO2" s="201"/>
      <c r="RMP2" s="201"/>
      <c r="RMQ2" s="201"/>
      <c r="RMR2" s="201"/>
      <c r="RMS2" s="201"/>
      <c r="RMT2" s="201"/>
      <c r="RMU2" s="201"/>
      <c r="RMV2" s="201"/>
      <c r="RMW2" s="201"/>
      <c r="RMX2" s="201"/>
      <c r="RMY2" s="201"/>
      <c r="RMZ2" s="201"/>
      <c r="RNA2" s="201"/>
      <c r="RNB2" s="201"/>
      <c r="RNC2" s="201"/>
      <c r="RND2" s="201"/>
      <c r="RNE2" s="201"/>
      <c r="RNF2" s="201"/>
      <c r="RNG2" s="201"/>
      <c r="RNH2" s="201"/>
      <c r="RNI2" s="201"/>
      <c r="RNJ2" s="201"/>
      <c r="RNK2" s="201"/>
      <c r="RNL2" s="201"/>
      <c r="RNM2" s="201"/>
      <c r="RNN2" s="201"/>
      <c r="RNO2" s="201"/>
      <c r="RNP2" s="201"/>
      <c r="RNQ2" s="201"/>
      <c r="RNR2" s="201"/>
      <c r="RNS2" s="201"/>
      <c r="RNT2" s="201"/>
      <c r="RNU2" s="201"/>
      <c r="RNV2" s="201"/>
      <c r="RNW2" s="201"/>
      <c r="RNX2" s="201"/>
      <c r="RNY2" s="201"/>
      <c r="RNZ2" s="201"/>
      <c r="ROA2" s="201"/>
      <c r="ROB2" s="201"/>
      <c r="ROC2" s="201"/>
      <c r="ROD2" s="201"/>
      <c r="ROE2" s="201"/>
      <c r="ROF2" s="201"/>
      <c r="ROG2" s="201"/>
      <c r="ROH2" s="201"/>
      <c r="ROI2" s="201"/>
      <c r="ROJ2" s="201"/>
      <c r="ROK2" s="201"/>
      <c r="ROL2" s="201"/>
      <c r="ROM2" s="201"/>
      <c r="RON2" s="201"/>
      <c r="ROO2" s="201"/>
      <c r="ROP2" s="201"/>
      <c r="ROQ2" s="201"/>
      <c r="ROR2" s="201"/>
      <c r="ROS2" s="201"/>
      <c r="ROT2" s="201"/>
      <c r="ROU2" s="201"/>
      <c r="ROV2" s="201"/>
      <c r="ROW2" s="201"/>
      <c r="ROX2" s="201"/>
      <c r="ROY2" s="201"/>
      <c r="ROZ2" s="201"/>
      <c r="RPA2" s="201"/>
      <c r="RPB2" s="201"/>
      <c r="RPC2" s="201"/>
      <c r="RPD2" s="201"/>
      <c r="RPE2" s="201"/>
      <c r="RPF2" s="201"/>
      <c r="RPG2" s="201"/>
      <c r="RPH2" s="201"/>
      <c r="RPI2" s="201"/>
      <c r="RPJ2" s="201"/>
      <c r="RPK2" s="201"/>
      <c r="RPL2" s="201"/>
      <c r="RPM2" s="201"/>
      <c r="RPN2" s="201"/>
      <c r="RPO2" s="201"/>
      <c r="RPP2" s="201"/>
      <c r="RPQ2" s="201"/>
      <c r="RPR2" s="201"/>
      <c r="RPS2" s="201"/>
      <c r="RPT2" s="201"/>
      <c r="RPU2" s="201"/>
      <c r="RPV2" s="201"/>
      <c r="RPW2" s="201"/>
      <c r="RPX2" s="201"/>
      <c r="RPY2" s="201"/>
      <c r="RPZ2" s="201"/>
      <c r="RQA2" s="201"/>
      <c r="RQB2" s="201"/>
      <c r="RQC2" s="201"/>
      <c r="RQD2" s="201"/>
      <c r="RQE2" s="201"/>
      <c r="RQF2" s="201"/>
      <c r="RQG2" s="201"/>
      <c r="RQH2" s="201"/>
      <c r="RQI2" s="201"/>
      <c r="RQJ2" s="201"/>
      <c r="RQK2" s="201"/>
      <c r="RQL2" s="201"/>
      <c r="RQM2" s="201"/>
      <c r="RQN2" s="201"/>
      <c r="RQO2" s="201"/>
      <c r="RQP2" s="201"/>
      <c r="RQQ2" s="201"/>
      <c r="RQR2" s="201"/>
      <c r="RQS2" s="201"/>
      <c r="RQT2" s="201"/>
      <c r="RQU2" s="201"/>
      <c r="RQV2" s="201"/>
      <c r="RQW2" s="201"/>
      <c r="RQX2" s="201"/>
      <c r="RQY2" s="201"/>
      <c r="RQZ2" s="201"/>
      <c r="RRA2" s="201"/>
      <c r="RRB2" s="201"/>
      <c r="RRC2" s="201"/>
      <c r="RRD2" s="201"/>
      <c r="RRE2" s="201"/>
      <c r="RRF2" s="201"/>
      <c r="RRG2" s="201"/>
      <c r="RRH2" s="201"/>
      <c r="RRI2" s="201"/>
      <c r="RRJ2" s="201"/>
      <c r="RRK2" s="201"/>
      <c r="RRL2" s="201"/>
      <c r="RRM2" s="201"/>
      <c r="RRN2" s="201"/>
      <c r="RRO2" s="201"/>
      <c r="RRP2" s="201"/>
      <c r="RRQ2" s="201"/>
      <c r="RRR2" s="201"/>
      <c r="RRS2" s="201"/>
      <c r="RRT2" s="201"/>
      <c r="RRU2" s="201"/>
      <c r="RRV2" s="201"/>
      <c r="RRW2" s="201"/>
      <c r="RRX2" s="201"/>
      <c r="RRY2" s="201"/>
      <c r="RRZ2" s="201"/>
      <c r="RSA2" s="201"/>
      <c r="RSB2" s="201"/>
      <c r="RSC2" s="201"/>
      <c r="RSD2" s="201"/>
      <c r="RSE2" s="201"/>
      <c r="RSF2" s="201"/>
      <c r="RSG2" s="201"/>
      <c r="RSH2" s="201"/>
      <c r="RSI2" s="201"/>
      <c r="RSJ2" s="201"/>
      <c r="RSK2" s="201"/>
      <c r="RSL2" s="201"/>
      <c r="RSM2" s="201"/>
      <c r="RSN2" s="201"/>
      <c r="RSO2" s="201"/>
      <c r="RSP2" s="201"/>
      <c r="RSQ2" s="201"/>
      <c r="RSR2" s="201"/>
      <c r="RSS2" s="201"/>
      <c r="RST2" s="201"/>
      <c r="RSU2" s="201"/>
      <c r="RSV2" s="201"/>
      <c r="RSW2" s="201"/>
      <c r="RSX2" s="201"/>
      <c r="RSY2" s="201"/>
      <c r="RSZ2" s="201"/>
      <c r="RTA2" s="201"/>
      <c r="RTB2" s="201"/>
      <c r="RTC2" s="201"/>
      <c r="RTD2" s="201"/>
      <c r="RTE2" s="201"/>
      <c r="RTF2" s="201"/>
      <c r="RTG2" s="201"/>
      <c r="RTH2" s="201"/>
      <c r="RTI2" s="201"/>
      <c r="RTJ2" s="201"/>
      <c r="RTK2" s="201"/>
      <c r="RTL2" s="201"/>
      <c r="RTM2" s="201"/>
      <c r="RTN2" s="201"/>
      <c r="RTO2" s="201"/>
      <c r="RTP2" s="201"/>
      <c r="RTQ2" s="201"/>
      <c r="RTR2" s="201"/>
      <c r="RTS2" s="201"/>
      <c r="RTT2" s="201"/>
      <c r="RTU2" s="201"/>
      <c r="RTV2" s="201"/>
      <c r="RTW2" s="201"/>
      <c r="RTX2" s="201"/>
      <c r="RTY2" s="201"/>
      <c r="RTZ2" s="201"/>
      <c r="RUA2" s="201"/>
      <c r="RUB2" s="201"/>
      <c r="RUC2" s="201"/>
      <c r="RUD2" s="201"/>
      <c r="RUE2" s="201"/>
      <c r="RUF2" s="201"/>
      <c r="RUG2" s="201"/>
      <c r="RUH2" s="201"/>
      <c r="RUI2" s="201"/>
      <c r="RUJ2" s="201"/>
      <c r="RUK2" s="201"/>
      <c r="RUL2" s="201"/>
      <c r="RUM2" s="201"/>
      <c r="RUN2" s="201"/>
      <c r="RUO2" s="201"/>
      <c r="RUP2" s="201"/>
      <c r="RUQ2" s="201"/>
      <c r="RUR2" s="201"/>
      <c r="RUS2" s="201"/>
      <c r="RUT2" s="201"/>
      <c r="RUU2" s="201"/>
      <c r="RUV2" s="201"/>
      <c r="RUW2" s="201"/>
      <c r="RUX2" s="201"/>
      <c r="RUY2" s="201"/>
      <c r="RUZ2" s="201"/>
      <c r="RVA2" s="201"/>
      <c r="RVB2" s="201"/>
      <c r="RVC2" s="201"/>
      <c r="RVD2" s="201"/>
      <c r="RVE2" s="201"/>
      <c r="RVF2" s="201"/>
      <c r="RVG2" s="201"/>
      <c r="RVH2" s="201"/>
      <c r="RVI2" s="201"/>
      <c r="RVJ2" s="201"/>
      <c r="RVK2" s="201"/>
      <c r="RVL2" s="201"/>
      <c r="RVM2" s="201"/>
      <c r="RVN2" s="201"/>
      <c r="RVO2" s="201"/>
      <c r="RVP2" s="201"/>
      <c r="RVQ2" s="201"/>
      <c r="RVR2" s="201"/>
      <c r="RVS2" s="201"/>
      <c r="RVT2" s="201"/>
      <c r="RVU2" s="201"/>
      <c r="RVV2" s="201"/>
      <c r="RVW2" s="201"/>
      <c r="RVX2" s="201"/>
      <c r="RVY2" s="201"/>
      <c r="RVZ2" s="201"/>
      <c r="RWA2" s="201"/>
      <c r="RWB2" s="201"/>
      <c r="RWC2" s="201"/>
      <c r="RWD2" s="201"/>
      <c r="RWE2" s="201"/>
      <c r="RWF2" s="201"/>
      <c r="RWG2" s="201"/>
      <c r="RWH2" s="201"/>
      <c r="RWI2" s="201"/>
      <c r="RWJ2" s="201"/>
      <c r="RWK2" s="201"/>
      <c r="RWL2" s="201"/>
      <c r="RWM2" s="201"/>
      <c r="RWN2" s="201"/>
      <c r="RWO2" s="201"/>
      <c r="RWP2" s="201"/>
      <c r="RWQ2" s="201"/>
      <c r="RWR2" s="201"/>
      <c r="RWS2" s="201"/>
      <c r="RWT2" s="201"/>
      <c r="RWU2" s="201"/>
      <c r="RWV2" s="201"/>
      <c r="RWW2" s="201"/>
      <c r="RWX2" s="201"/>
      <c r="RWY2" s="201"/>
      <c r="RWZ2" s="201"/>
      <c r="RXA2" s="201"/>
      <c r="RXB2" s="201"/>
      <c r="RXC2" s="201"/>
      <c r="RXD2" s="201"/>
      <c r="RXE2" s="201"/>
      <c r="RXF2" s="201"/>
      <c r="RXG2" s="201"/>
      <c r="RXH2" s="201"/>
      <c r="RXI2" s="201"/>
      <c r="RXJ2" s="201"/>
      <c r="RXK2" s="201"/>
      <c r="RXL2" s="201"/>
      <c r="RXM2" s="201"/>
      <c r="RXN2" s="201"/>
      <c r="RXO2" s="201"/>
      <c r="RXP2" s="201"/>
      <c r="RXQ2" s="201"/>
      <c r="RXR2" s="201"/>
      <c r="RXS2" s="201"/>
      <c r="RXT2" s="201"/>
      <c r="RXU2" s="201"/>
      <c r="RXV2" s="201"/>
      <c r="RXW2" s="201"/>
      <c r="RXX2" s="201"/>
      <c r="RXY2" s="201"/>
      <c r="RXZ2" s="201"/>
      <c r="RYA2" s="201"/>
      <c r="RYB2" s="201"/>
      <c r="RYC2" s="201"/>
      <c r="RYD2" s="201"/>
      <c r="RYE2" s="201"/>
      <c r="RYF2" s="201"/>
      <c r="RYG2" s="201"/>
      <c r="RYH2" s="201"/>
      <c r="RYI2" s="201"/>
      <c r="RYJ2" s="201"/>
      <c r="RYK2" s="201"/>
      <c r="RYL2" s="201"/>
      <c r="RYM2" s="201"/>
      <c r="RYN2" s="201"/>
      <c r="RYO2" s="201"/>
      <c r="RYP2" s="201"/>
      <c r="RYQ2" s="201"/>
      <c r="RYR2" s="201"/>
      <c r="RYS2" s="201"/>
      <c r="RYT2" s="201"/>
      <c r="RYU2" s="201"/>
      <c r="RYV2" s="201"/>
      <c r="RYW2" s="201"/>
      <c r="RYX2" s="201"/>
      <c r="RYY2" s="201"/>
      <c r="RYZ2" s="201"/>
      <c r="RZA2" s="201"/>
      <c r="RZB2" s="201"/>
      <c r="RZC2" s="201"/>
      <c r="RZD2" s="201"/>
      <c r="RZE2" s="201"/>
      <c r="RZF2" s="201"/>
      <c r="RZG2" s="201"/>
      <c r="RZH2" s="201"/>
      <c r="RZI2" s="201"/>
      <c r="RZJ2" s="201"/>
      <c r="RZK2" s="201"/>
      <c r="RZL2" s="201"/>
      <c r="RZM2" s="201"/>
      <c r="RZN2" s="201"/>
      <c r="RZO2" s="201"/>
      <c r="RZP2" s="201"/>
      <c r="RZQ2" s="201"/>
      <c r="RZR2" s="201"/>
      <c r="RZS2" s="201"/>
      <c r="RZT2" s="201"/>
      <c r="RZU2" s="201"/>
      <c r="RZV2" s="201"/>
      <c r="RZW2" s="201"/>
      <c r="RZX2" s="201"/>
      <c r="RZY2" s="201"/>
      <c r="RZZ2" s="201"/>
      <c r="SAA2" s="201"/>
      <c r="SAB2" s="201"/>
      <c r="SAC2" s="201"/>
      <c r="SAD2" s="201"/>
      <c r="SAE2" s="201"/>
      <c r="SAF2" s="201"/>
      <c r="SAG2" s="201"/>
      <c r="SAH2" s="201"/>
      <c r="SAI2" s="201"/>
      <c r="SAJ2" s="201"/>
      <c r="SAK2" s="201"/>
      <c r="SAL2" s="201"/>
      <c r="SAM2" s="201"/>
      <c r="SAN2" s="201"/>
      <c r="SAO2" s="201"/>
      <c r="SAP2" s="201"/>
      <c r="SAQ2" s="201"/>
      <c r="SAR2" s="201"/>
      <c r="SAS2" s="201"/>
      <c r="SAT2" s="201"/>
      <c r="SAU2" s="201"/>
      <c r="SAV2" s="201"/>
      <c r="SAW2" s="201"/>
      <c r="SAX2" s="201"/>
      <c r="SAY2" s="201"/>
      <c r="SAZ2" s="201"/>
      <c r="SBA2" s="201"/>
      <c r="SBB2" s="201"/>
      <c r="SBC2" s="201"/>
      <c r="SBD2" s="201"/>
      <c r="SBE2" s="201"/>
      <c r="SBF2" s="201"/>
      <c r="SBG2" s="201"/>
      <c r="SBH2" s="201"/>
      <c r="SBI2" s="201"/>
      <c r="SBJ2" s="201"/>
      <c r="SBK2" s="201"/>
      <c r="SBL2" s="201"/>
      <c r="SBM2" s="201"/>
      <c r="SBN2" s="201"/>
      <c r="SBO2" s="201"/>
      <c r="SBP2" s="201"/>
      <c r="SBQ2" s="201"/>
      <c r="SBR2" s="201"/>
      <c r="SBS2" s="201"/>
      <c r="SBT2" s="201"/>
      <c r="SBU2" s="201"/>
      <c r="SBV2" s="201"/>
      <c r="SBW2" s="201"/>
      <c r="SBX2" s="201"/>
      <c r="SBY2" s="201"/>
      <c r="SBZ2" s="201"/>
      <c r="SCA2" s="201"/>
      <c r="SCB2" s="201"/>
      <c r="SCC2" s="201"/>
      <c r="SCD2" s="201"/>
      <c r="SCE2" s="201"/>
      <c r="SCF2" s="201"/>
      <c r="SCG2" s="201"/>
      <c r="SCH2" s="201"/>
      <c r="SCI2" s="201"/>
      <c r="SCJ2" s="201"/>
      <c r="SCK2" s="201"/>
      <c r="SCL2" s="201"/>
      <c r="SCM2" s="201"/>
      <c r="SCN2" s="201"/>
      <c r="SCO2" s="201"/>
      <c r="SCP2" s="201"/>
      <c r="SCQ2" s="201"/>
      <c r="SCR2" s="201"/>
      <c r="SCS2" s="201"/>
      <c r="SCT2" s="201"/>
      <c r="SCU2" s="201"/>
      <c r="SCV2" s="201"/>
      <c r="SCW2" s="201"/>
      <c r="SCX2" s="201"/>
      <c r="SCY2" s="201"/>
      <c r="SCZ2" s="201"/>
      <c r="SDA2" s="201"/>
      <c r="SDB2" s="201"/>
      <c r="SDC2" s="201"/>
      <c r="SDD2" s="201"/>
      <c r="SDE2" s="201"/>
      <c r="SDF2" s="201"/>
      <c r="SDG2" s="201"/>
      <c r="SDH2" s="201"/>
      <c r="SDI2" s="201"/>
      <c r="SDJ2" s="201"/>
      <c r="SDK2" s="201"/>
      <c r="SDL2" s="201"/>
      <c r="SDM2" s="201"/>
      <c r="SDN2" s="201"/>
      <c r="SDO2" s="201"/>
      <c r="SDP2" s="201"/>
      <c r="SDQ2" s="201"/>
      <c r="SDR2" s="201"/>
      <c r="SDS2" s="201"/>
      <c r="SDT2" s="201"/>
      <c r="SDU2" s="201"/>
      <c r="SDV2" s="201"/>
      <c r="SDW2" s="201"/>
      <c r="SDX2" s="201"/>
      <c r="SDY2" s="201"/>
      <c r="SDZ2" s="201"/>
      <c r="SEA2" s="201"/>
      <c r="SEB2" s="201"/>
      <c r="SEC2" s="201"/>
      <c r="SED2" s="201"/>
      <c r="SEE2" s="201"/>
      <c r="SEF2" s="201"/>
      <c r="SEG2" s="201"/>
      <c r="SEH2" s="201"/>
      <c r="SEI2" s="201"/>
      <c r="SEJ2" s="201"/>
      <c r="SEK2" s="201"/>
      <c r="SEL2" s="201"/>
      <c r="SEM2" s="201"/>
      <c r="SEN2" s="201"/>
      <c r="SEO2" s="201"/>
      <c r="SEP2" s="201"/>
      <c r="SEQ2" s="201"/>
      <c r="SER2" s="201"/>
      <c r="SES2" s="201"/>
      <c r="SET2" s="201"/>
      <c r="SEU2" s="201"/>
      <c r="SEV2" s="201"/>
      <c r="SEW2" s="201"/>
      <c r="SEX2" s="201"/>
      <c r="SEY2" s="201"/>
      <c r="SEZ2" s="201"/>
      <c r="SFA2" s="201"/>
      <c r="SFB2" s="201"/>
      <c r="SFC2" s="201"/>
      <c r="SFD2" s="201"/>
      <c r="SFE2" s="201"/>
      <c r="SFF2" s="201"/>
      <c r="SFG2" s="201"/>
      <c r="SFH2" s="201"/>
      <c r="SFI2" s="201"/>
      <c r="SFJ2" s="201"/>
      <c r="SFK2" s="201"/>
      <c r="SFL2" s="201"/>
      <c r="SFM2" s="201"/>
      <c r="SFN2" s="201"/>
      <c r="SFO2" s="201"/>
      <c r="SFP2" s="201"/>
      <c r="SFQ2" s="201"/>
      <c r="SFR2" s="201"/>
      <c r="SFS2" s="201"/>
      <c r="SFT2" s="201"/>
      <c r="SFU2" s="201"/>
      <c r="SFV2" s="201"/>
      <c r="SFW2" s="201"/>
      <c r="SFX2" s="201"/>
      <c r="SFY2" s="201"/>
      <c r="SFZ2" s="201"/>
      <c r="SGA2" s="201"/>
      <c r="SGB2" s="201"/>
      <c r="SGC2" s="201"/>
      <c r="SGD2" s="201"/>
      <c r="SGE2" s="201"/>
      <c r="SGF2" s="201"/>
      <c r="SGG2" s="201"/>
      <c r="SGH2" s="201"/>
      <c r="SGI2" s="201"/>
      <c r="SGJ2" s="201"/>
      <c r="SGK2" s="201"/>
      <c r="SGL2" s="201"/>
      <c r="SGM2" s="201"/>
      <c r="SGN2" s="201"/>
      <c r="SGO2" s="201"/>
      <c r="SGP2" s="201"/>
      <c r="SGQ2" s="201"/>
      <c r="SGR2" s="201"/>
      <c r="SGS2" s="201"/>
      <c r="SGT2" s="201"/>
      <c r="SGU2" s="201"/>
      <c r="SGV2" s="201"/>
      <c r="SGW2" s="201"/>
      <c r="SGX2" s="201"/>
      <c r="SGY2" s="201"/>
      <c r="SGZ2" s="201"/>
      <c r="SHA2" s="201"/>
      <c r="SHB2" s="201"/>
      <c r="SHC2" s="201"/>
      <c r="SHD2" s="201"/>
      <c r="SHE2" s="201"/>
      <c r="SHF2" s="201"/>
      <c r="SHG2" s="201"/>
      <c r="SHH2" s="201"/>
      <c r="SHI2" s="201"/>
      <c r="SHJ2" s="201"/>
      <c r="SHK2" s="201"/>
      <c r="SHL2" s="201"/>
      <c r="SHM2" s="201"/>
      <c r="SHN2" s="201"/>
      <c r="SHO2" s="201"/>
      <c r="SHP2" s="201"/>
      <c r="SHQ2" s="201"/>
      <c r="SHR2" s="201"/>
      <c r="SHS2" s="201"/>
      <c r="SHT2" s="201"/>
      <c r="SHU2" s="201"/>
      <c r="SHV2" s="201"/>
      <c r="SHW2" s="201"/>
      <c r="SHX2" s="201"/>
      <c r="SHY2" s="201"/>
      <c r="SHZ2" s="201"/>
      <c r="SIA2" s="201"/>
      <c r="SIB2" s="201"/>
      <c r="SIC2" s="201"/>
      <c r="SID2" s="201"/>
      <c r="SIE2" s="201"/>
      <c r="SIF2" s="201"/>
      <c r="SIG2" s="201"/>
      <c r="SIH2" s="201"/>
      <c r="SII2" s="201"/>
      <c r="SIJ2" s="201"/>
      <c r="SIK2" s="201"/>
      <c r="SIL2" s="201"/>
      <c r="SIM2" s="201"/>
      <c r="SIN2" s="201"/>
      <c r="SIO2" s="201"/>
      <c r="SIP2" s="201"/>
      <c r="SIQ2" s="201"/>
      <c r="SIR2" s="201"/>
      <c r="SIS2" s="201"/>
      <c r="SIT2" s="201"/>
      <c r="SIU2" s="201"/>
      <c r="SIV2" s="201"/>
      <c r="SIW2" s="201"/>
      <c r="SIX2" s="201"/>
      <c r="SIY2" s="201"/>
      <c r="SIZ2" s="201"/>
      <c r="SJA2" s="201"/>
      <c r="SJB2" s="201"/>
      <c r="SJC2" s="201"/>
      <c r="SJD2" s="201"/>
      <c r="SJE2" s="201"/>
      <c r="SJF2" s="201"/>
      <c r="SJG2" s="201"/>
      <c r="SJH2" s="201"/>
      <c r="SJI2" s="201"/>
      <c r="SJJ2" s="201"/>
      <c r="SJK2" s="201"/>
      <c r="SJL2" s="201"/>
      <c r="SJM2" s="201"/>
      <c r="SJN2" s="201"/>
      <c r="SJO2" s="201"/>
      <c r="SJP2" s="201"/>
      <c r="SJQ2" s="201"/>
      <c r="SJR2" s="201"/>
      <c r="SJS2" s="201"/>
      <c r="SJT2" s="201"/>
      <c r="SJU2" s="201"/>
      <c r="SJV2" s="201"/>
      <c r="SJW2" s="201"/>
      <c r="SJX2" s="201"/>
      <c r="SJY2" s="201"/>
      <c r="SJZ2" s="201"/>
      <c r="SKA2" s="201"/>
      <c r="SKB2" s="201"/>
      <c r="SKC2" s="201"/>
      <c r="SKD2" s="201"/>
      <c r="SKE2" s="201"/>
      <c r="SKF2" s="201"/>
      <c r="SKG2" s="201"/>
      <c r="SKH2" s="201"/>
      <c r="SKI2" s="201"/>
      <c r="SKJ2" s="201"/>
      <c r="SKK2" s="201"/>
      <c r="SKL2" s="201"/>
      <c r="SKM2" s="201"/>
      <c r="SKN2" s="201"/>
      <c r="SKO2" s="201"/>
      <c r="SKP2" s="201"/>
      <c r="SKQ2" s="201"/>
      <c r="SKR2" s="201"/>
      <c r="SKS2" s="201"/>
      <c r="SKT2" s="201"/>
      <c r="SKU2" s="201"/>
      <c r="SKV2" s="201"/>
      <c r="SKW2" s="201"/>
      <c r="SKX2" s="201"/>
      <c r="SKY2" s="201"/>
      <c r="SKZ2" s="201"/>
      <c r="SLA2" s="201"/>
      <c r="SLB2" s="201"/>
      <c r="SLC2" s="201"/>
      <c r="SLD2" s="201"/>
      <c r="SLE2" s="201"/>
      <c r="SLF2" s="201"/>
      <c r="SLG2" s="201"/>
      <c r="SLH2" s="201"/>
      <c r="SLI2" s="201"/>
      <c r="SLJ2" s="201"/>
      <c r="SLK2" s="201"/>
      <c r="SLL2" s="201"/>
      <c r="SLM2" s="201"/>
      <c r="SLN2" s="201"/>
      <c r="SLO2" s="201"/>
      <c r="SLP2" s="201"/>
      <c r="SLQ2" s="201"/>
      <c r="SLR2" s="201"/>
      <c r="SLS2" s="201"/>
      <c r="SLT2" s="201"/>
      <c r="SLU2" s="201"/>
      <c r="SLV2" s="201"/>
      <c r="SLW2" s="201"/>
      <c r="SLX2" s="201"/>
      <c r="SLY2" s="201"/>
      <c r="SLZ2" s="201"/>
      <c r="SMA2" s="201"/>
      <c r="SMB2" s="201"/>
      <c r="SMC2" s="201"/>
      <c r="SMD2" s="201"/>
      <c r="SME2" s="201"/>
      <c r="SMF2" s="201"/>
      <c r="SMG2" s="201"/>
      <c r="SMH2" s="201"/>
      <c r="SMI2" s="201"/>
      <c r="SMJ2" s="201"/>
      <c r="SMK2" s="201"/>
      <c r="SML2" s="201"/>
      <c r="SMM2" s="201"/>
      <c r="SMN2" s="201"/>
      <c r="SMO2" s="201"/>
      <c r="SMP2" s="201"/>
      <c r="SMQ2" s="201"/>
      <c r="SMR2" s="201"/>
      <c r="SMS2" s="201"/>
      <c r="SMT2" s="201"/>
      <c r="SMU2" s="201"/>
      <c r="SMV2" s="201"/>
      <c r="SMW2" s="201"/>
      <c r="SMX2" s="201"/>
      <c r="SMY2" s="201"/>
      <c r="SMZ2" s="201"/>
      <c r="SNA2" s="201"/>
      <c r="SNB2" s="201"/>
      <c r="SNC2" s="201"/>
      <c r="SND2" s="201"/>
      <c r="SNE2" s="201"/>
      <c r="SNF2" s="201"/>
      <c r="SNG2" s="201"/>
      <c r="SNH2" s="201"/>
      <c r="SNI2" s="201"/>
      <c r="SNJ2" s="201"/>
      <c r="SNK2" s="201"/>
      <c r="SNL2" s="201"/>
      <c r="SNM2" s="201"/>
      <c r="SNN2" s="201"/>
      <c r="SNO2" s="201"/>
      <c r="SNP2" s="201"/>
      <c r="SNQ2" s="201"/>
      <c r="SNR2" s="201"/>
      <c r="SNS2" s="201"/>
      <c r="SNT2" s="201"/>
      <c r="SNU2" s="201"/>
      <c r="SNV2" s="201"/>
      <c r="SNW2" s="201"/>
      <c r="SNX2" s="201"/>
      <c r="SNY2" s="201"/>
      <c r="SNZ2" s="201"/>
      <c r="SOA2" s="201"/>
      <c r="SOB2" s="201"/>
      <c r="SOC2" s="201"/>
      <c r="SOD2" s="201"/>
      <c r="SOE2" s="201"/>
      <c r="SOF2" s="201"/>
      <c r="SOG2" s="201"/>
      <c r="SOH2" s="201"/>
      <c r="SOI2" s="201"/>
      <c r="SOJ2" s="201"/>
      <c r="SOK2" s="201"/>
      <c r="SOL2" s="201"/>
      <c r="SOM2" s="201"/>
      <c r="SON2" s="201"/>
      <c r="SOO2" s="201"/>
      <c r="SOP2" s="201"/>
      <c r="SOQ2" s="201"/>
      <c r="SOR2" s="201"/>
      <c r="SOS2" s="201"/>
      <c r="SOT2" s="201"/>
      <c r="SOU2" s="201"/>
      <c r="SOV2" s="201"/>
      <c r="SOW2" s="201"/>
      <c r="SOX2" s="201"/>
      <c r="SOY2" s="201"/>
      <c r="SOZ2" s="201"/>
      <c r="SPA2" s="201"/>
      <c r="SPB2" s="201"/>
      <c r="SPC2" s="201"/>
      <c r="SPD2" s="201"/>
      <c r="SPE2" s="201"/>
      <c r="SPF2" s="201"/>
      <c r="SPG2" s="201"/>
      <c r="SPH2" s="201"/>
      <c r="SPI2" s="201"/>
      <c r="SPJ2" s="201"/>
      <c r="SPK2" s="201"/>
      <c r="SPL2" s="201"/>
      <c r="SPM2" s="201"/>
      <c r="SPN2" s="201"/>
      <c r="SPO2" s="201"/>
      <c r="SPP2" s="201"/>
      <c r="SPQ2" s="201"/>
      <c r="SPR2" s="201"/>
      <c r="SPS2" s="201"/>
      <c r="SPT2" s="201"/>
      <c r="SPU2" s="201"/>
      <c r="SPV2" s="201"/>
      <c r="SPW2" s="201"/>
      <c r="SPX2" s="201"/>
      <c r="SPY2" s="201"/>
      <c r="SPZ2" s="201"/>
      <c r="SQA2" s="201"/>
      <c r="SQB2" s="201"/>
      <c r="SQC2" s="201"/>
      <c r="SQD2" s="201"/>
      <c r="SQE2" s="201"/>
      <c r="SQF2" s="201"/>
      <c r="SQG2" s="201"/>
      <c r="SQH2" s="201"/>
      <c r="SQI2" s="201"/>
      <c r="SQJ2" s="201"/>
      <c r="SQK2" s="201"/>
      <c r="SQL2" s="201"/>
      <c r="SQM2" s="201"/>
      <c r="SQN2" s="201"/>
      <c r="SQO2" s="201"/>
      <c r="SQP2" s="201"/>
      <c r="SQQ2" s="201"/>
      <c r="SQR2" s="201"/>
      <c r="SQS2" s="201"/>
      <c r="SQT2" s="201"/>
      <c r="SQU2" s="201"/>
      <c r="SQV2" s="201"/>
      <c r="SQW2" s="201"/>
      <c r="SQX2" s="201"/>
      <c r="SQY2" s="201"/>
      <c r="SQZ2" s="201"/>
      <c r="SRA2" s="201"/>
      <c r="SRB2" s="201"/>
      <c r="SRC2" s="201"/>
      <c r="SRD2" s="201"/>
      <c r="SRE2" s="201"/>
      <c r="SRF2" s="201"/>
      <c r="SRG2" s="201"/>
      <c r="SRH2" s="201"/>
      <c r="SRI2" s="201"/>
      <c r="SRJ2" s="201"/>
      <c r="SRK2" s="201"/>
      <c r="SRL2" s="201"/>
      <c r="SRM2" s="201"/>
      <c r="SRN2" s="201"/>
      <c r="SRO2" s="201"/>
      <c r="SRP2" s="201"/>
      <c r="SRQ2" s="201"/>
      <c r="SRR2" s="201"/>
      <c r="SRS2" s="201"/>
      <c r="SRT2" s="201"/>
      <c r="SRU2" s="201"/>
      <c r="SRV2" s="201"/>
      <c r="SRW2" s="201"/>
      <c r="SRX2" s="201"/>
      <c r="SRY2" s="201"/>
      <c r="SRZ2" s="201"/>
      <c r="SSA2" s="201"/>
      <c r="SSB2" s="201"/>
      <c r="SSC2" s="201"/>
      <c r="SSD2" s="201"/>
      <c r="SSE2" s="201"/>
      <c r="SSF2" s="201"/>
      <c r="SSG2" s="201"/>
      <c r="SSH2" s="201"/>
      <c r="SSI2" s="201"/>
      <c r="SSJ2" s="201"/>
      <c r="SSK2" s="201"/>
      <c r="SSL2" s="201"/>
      <c r="SSM2" s="201"/>
      <c r="SSN2" s="201"/>
      <c r="SSO2" s="201"/>
      <c r="SSP2" s="201"/>
      <c r="SSQ2" s="201"/>
      <c r="SSR2" s="201"/>
      <c r="SSS2" s="201"/>
      <c r="SST2" s="201"/>
      <c r="SSU2" s="201"/>
      <c r="SSV2" s="201"/>
      <c r="SSW2" s="201"/>
      <c r="SSX2" s="201"/>
      <c r="SSY2" s="201"/>
      <c r="SSZ2" s="201"/>
      <c r="STA2" s="201"/>
      <c r="STB2" s="201"/>
      <c r="STC2" s="201"/>
      <c r="STD2" s="201"/>
      <c r="STE2" s="201"/>
      <c r="STF2" s="201"/>
      <c r="STG2" s="201"/>
      <c r="STH2" s="201"/>
      <c r="STI2" s="201"/>
      <c r="STJ2" s="201"/>
      <c r="STK2" s="201"/>
      <c r="STL2" s="201"/>
      <c r="STM2" s="201"/>
      <c r="STN2" s="201"/>
      <c r="STO2" s="201"/>
      <c r="STP2" s="201"/>
      <c r="STQ2" s="201"/>
      <c r="STR2" s="201"/>
      <c r="STS2" s="201"/>
      <c r="STT2" s="201"/>
      <c r="STU2" s="201"/>
      <c r="STV2" s="201"/>
      <c r="STW2" s="201"/>
      <c r="STX2" s="201"/>
      <c r="STY2" s="201"/>
      <c r="STZ2" s="201"/>
      <c r="SUA2" s="201"/>
      <c r="SUB2" s="201"/>
      <c r="SUC2" s="201"/>
      <c r="SUD2" s="201"/>
      <c r="SUE2" s="201"/>
      <c r="SUF2" s="201"/>
      <c r="SUG2" s="201"/>
      <c r="SUH2" s="201"/>
      <c r="SUI2" s="201"/>
      <c r="SUJ2" s="201"/>
      <c r="SUK2" s="201"/>
      <c r="SUL2" s="201"/>
      <c r="SUM2" s="201"/>
      <c r="SUN2" s="201"/>
      <c r="SUO2" s="201"/>
      <c r="SUP2" s="201"/>
      <c r="SUQ2" s="201"/>
      <c r="SUR2" s="201"/>
      <c r="SUS2" s="201"/>
      <c r="SUT2" s="201"/>
      <c r="SUU2" s="201"/>
      <c r="SUV2" s="201"/>
      <c r="SUW2" s="201"/>
      <c r="SUX2" s="201"/>
      <c r="SUY2" s="201"/>
      <c r="SUZ2" s="201"/>
      <c r="SVA2" s="201"/>
      <c r="SVB2" s="201"/>
      <c r="SVC2" s="201"/>
      <c r="SVD2" s="201"/>
      <c r="SVE2" s="201"/>
      <c r="SVF2" s="201"/>
      <c r="SVG2" s="201"/>
      <c r="SVH2" s="201"/>
      <c r="SVI2" s="201"/>
      <c r="SVJ2" s="201"/>
      <c r="SVK2" s="201"/>
      <c r="SVL2" s="201"/>
      <c r="SVM2" s="201"/>
      <c r="SVN2" s="201"/>
      <c r="SVO2" s="201"/>
      <c r="SVP2" s="201"/>
      <c r="SVQ2" s="201"/>
      <c r="SVR2" s="201"/>
      <c r="SVS2" s="201"/>
      <c r="SVT2" s="201"/>
      <c r="SVU2" s="201"/>
      <c r="SVV2" s="201"/>
      <c r="SVW2" s="201"/>
      <c r="SVX2" s="201"/>
      <c r="SVY2" s="201"/>
      <c r="SVZ2" s="201"/>
      <c r="SWA2" s="201"/>
      <c r="SWB2" s="201"/>
      <c r="SWC2" s="201"/>
      <c r="SWD2" s="201"/>
      <c r="SWE2" s="201"/>
      <c r="SWF2" s="201"/>
      <c r="SWG2" s="201"/>
      <c r="SWH2" s="201"/>
      <c r="SWI2" s="201"/>
      <c r="SWJ2" s="201"/>
      <c r="SWK2" s="201"/>
      <c r="SWL2" s="201"/>
      <c r="SWM2" s="201"/>
      <c r="SWN2" s="201"/>
      <c r="SWO2" s="201"/>
      <c r="SWP2" s="201"/>
      <c r="SWQ2" s="201"/>
      <c r="SWR2" s="201"/>
      <c r="SWS2" s="201"/>
      <c r="SWT2" s="201"/>
      <c r="SWU2" s="201"/>
      <c r="SWV2" s="201"/>
      <c r="SWW2" s="201"/>
      <c r="SWX2" s="201"/>
      <c r="SWY2" s="201"/>
      <c r="SWZ2" s="201"/>
      <c r="SXA2" s="201"/>
      <c r="SXB2" s="201"/>
      <c r="SXC2" s="201"/>
      <c r="SXD2" s="201"/>
      <c r="SXE2" s="201"/>
      <c r="SXF2" s="201"/>
      <c r="SXG2" s="201"/>
      <c r="SXH2" s="201"/>
      <c r="SXI2" s="201"/>
      <c r="SXJ2" s="201"/>
      <c r="SXK2" s="201"/>
      <c r="SXL2" s="201"/>
      <c r="SXM2" s="201"/>
      <c r="SXN2" s="201"/>
      <c r="SXO2" s="201"/>
      <c r="SXP2" s="201"/>
      <c r="SXQ2" s="201"/>
      <c r="SXR2" s="201"/>
      <c r="SXS2" s="201"/>
      <c r="SXT2" s="201"/>
      <c r="SXU2" s="201"/>
      <c r="SXV2" s="201"/>
      <c r="SXW2" s="201"/>
      <c r="SXX2" s="201"/>
      <c r="SXY2" s="201"/>
      <c r="SXZ2" s="201"/>
      <c r="SYA2" s="201"/>
      <c r="SYB2" s="201"/>
      <c r="SYC2" s="201"/>
      <c r="SYD2" s="201"/>
      <c r="SYE2" s="201"/>
      <c r="SYF2" s="201"/>
      <c r="SYG2" s="201"/>
      <c r="SYH2" s="201"/>
      <c r="SYI2" s="201"/>
      <c r="SYJ2" s="201"/>
      <c r="SYK2" s="201"/>
      <c r="SYL2" s="201"/>
      <c r="SYM2" s="201"/>
      <c r="SYN2" s="201"/>
      <c r="SYO2" s="201"/>
      <c r="SYP2" s="201"/>
      <c r="SYQ2" s="201"/>
      <c r="SYR2" s="201"/>
      <c r="SYS2" s="201"/>
      <c r="SYT2" s="201"/>
      <c r="SYU2" s="201"/>
      <c r="SYV2" s="201"/>
      <c r="SYW2" s="201"/>
      <c r="SYX2" s="201"/>
      <c r="SYY2" s="201"/>
      <c r="SYZ2" s="201"/>
      <c r="SZA2" s="201"/>
      <c r="SZB2" s="201"/>
      <c r="SZC2" s="201"/>
      <c r="SZD2" s="201"/>
      <c r="SZE2" s="201"/>
      <c r="SZF2" s="201"/>
      <c r="SZG2" s="201"/>
      <c r="SZH2" s="201"/>
      <c r="SZI2" s="201"/>
      <c r="SZJ2" s="201"/>
      <c r="SZK2" s="201"/>
      <c r="SZL2" s="201"/>
      <c r="SZM2" s="201"/>
      <c r="SZN2" s="201"/>
      <c r="SZO2" s="201"/>
      <c r="SZP2" s="201"/>
      <c r="SZQ2" s="201"/>
      <c r="SZR2" s="201"/>
      <c r="SZS2" s="201"/>
      <c r="SZT2" s="201"/>
      <c r="SZU2" s="201"/>
      <c r="SZV2" s="201"/>
      <c r="SZW2" s="201"/>
      <c r="SZX2" s="201"/>
      <c r="SZY2" s="201"/>
      <c r="SZZ2" s="201"/>
      <c r="TAA2" s="201"/>
      <c r="TAB2" s="201"/>
      <c r="TAC2" s="201"/>
      <c r="TAD2" s="201"/>
      <c r="TAE2" s="201"/>
      <c r="TAF2" s="201"/>
      <c r="TAG2" s="201"/>
      <c r="TAH2" s="201"/>
      <c r="TAI2" s="201"/>
      <c r="TAJ2" s="201"/>
      <c r="TAK2" s="201"/>
      <c r="TAL2" s="201"/>
      <c r="TAM2" s="201"/>
      <c r="TAN2" s="201"/>
      <c r="TAO2" s="201"/>
      <c r="TAP2" s="201"/>
      <c r="TAQ2" s="201"/>
      <c r="TAR2" s="201"/>
      <c r="TAS2" s="201"/>
      <c r="TAT2" s="201"/>
      <c r="TAU2" s="201"/>
      <c r="TAV2" s="201"/>
      <c r="TAW2" s="201"/>
      <c r="TAX2" s="201"/>
      <c r="TAY2" s="201"/>
      <c r="TAZ2" s="201"/>
      <c r="TBA2" s="201"/>
      <c r="TBB2" s="201"/>
      <c r="TBC2" s="201"/>
      <c r="TBD2" s="201"/>
      <c r="TBE2" s="201"/>
      <c r="TBF2" s="201"/>
      <c r="TBG2" s="201"/>
      <c r="TBH2" s="201"/>
      <c r="TBI2" s="201"/>
      <c r="TBJ2" s="201"/>
      <c r="TBK2" s="201"/>
      <c r="TBL2" s="201"/>
      <c r="TBM2" s="201"/>
      <c r="TBN2" s="201"/>
      <c r="TBO2" s="201"/>
      <c r="TBP2" s="201"/>
      <c r="TBQ2" s="201"/>
      <c r="TBR2" s="201"/>
      <c r="TBS2" s="201"/>
      <c r="TBT2" s="201"/>
      <c r="TBU2" s="201"/>
      <c r="TBV2" s="201"/>
      <c r="TBW2" s="201"/>
      <c r="TBX2" s="201"/>
      <c r="TBY2" s="201"/>
      <c r="TBZ2" s="201"/>
      <c r="TCA2" s="201"/>
      <c r="TCB2" s="201"/>
      <c r="TCC2" s="201"/>
      <c r="TCD2" s="201"/>
      <c r="TCE2" s="201"/>
      <c r="TCF2" s="201"/>
      <c r="TCG2" s="201"/>
      <c r="TCH2" s="201"/>
      <c r="TCI2" s="201"/>
      <c r="TCJ2" s="201"/>
      <c r="TCK2" s="201"/>
      <c r="TCL2" s="201"/>
      <c r="TCM2" s="201"/>
      <c r="TCN2" s="201"/>
      <c r="TCO2" s="201"/>
      <c r="TCP2" s="201"/>
      <c r="TCQ2" s="201"/>
      <c r="TCR2" s="201"/>
      <c r="TCS2" s="201"/>
      <c r="TCT2" s="201"/>
      <c r="TCU2" s="201"/>
      <c r="TCV2" s="201"/>
      <c r="TCW2" s="201"/>
      <c r="TCX2" s="201"/>
      <c r="TCY2" s="201"/>
      <c r="TCZ2" s="201"/>
      <c r="TDA2" s="201"/>
      <c r="TDB2" s="201"/>
      <c r="TDC2" s="201"/>
      <c r="TDD2" s="201"/>
      <c r="TDE2" s="201"/>
      <c r="TDF2" s="201"/>
      <c r="TDG2" s="201"/>
      <c r="TDH2" s="201"/>
      <c r="TDI2" s="201"/>
      <c r="TDJ2" s="201"/>
      <c r="TDK2" s="201"/>
      <c r="TDL2" s="201"/>
      <c r="TDM2" s="201"/>
      <c r="TDN2" s="201"/>
      <c r="TDO2" s="201"/>
      <c r="TDP2" s="201"/>
      <c r="TDQ2" s="201"/>
      <c r="TDR2" s="201"/>
      <c r="TDS2" s="201"/>
      <c r="TDT2" s="201"/>
      <c r="TDU2" s="201"/>
      <c r="TDV2" s="201"/>
      <c r="TDW2" s="201"/>
      <c r="TDX2" s="201"/>
      <c r="TDY2" s="201"/>
      <c r="TDZ2" s="201"/>
      <c r="TEA2" s="201"/>
      <c r="TEB2" s="201"/>
      <c r="TEC2" s="201"/>
      <c r="TED2" s="201"/>
      <c r="TEE2" s="201"/>
      <c r="TEF2" s="201"/>
      <c r="TEG2" s="201"/>
      <c r="TEH2" s="201"/>
      <c r="TEI2" s="201"/>
      <c r="TEJ2" s="201"/>
      <c r="TEK2" s="201"/>
      <c r="TEL2" s="201"/>
      <c r="TEM2" s="201"/>
      <c r="TEN2" s="201"/>
      <c r="TEO2" s="201"/>
      <c r="TEP2" s="201"/>
      <c r="TEQ2" s="201"/>
      <c r="TER2" s="201"/>
      <c r="TES2" s="201"/>
      <c r="TET2" s="201"/>
      <c r="TEU2" s="201"/>
      <c r="TEV2" s="201"/>
      <c r="TEW2" s="201"/>
      <c r="TEX2" s="201"/>
      <c r="TEY2" s="201"/>
      <c r="TEZ2" s="201"/>
      <c r="TFA2" s="201"/>
      <c r="TFB2" s="201"/>
      <c r="TFC2" s="201"/>
      <c r="TFD2" s="201"/>
      <c r="TFE2" s="201"/>
      <c r="TFF2" s="201"/>
      <c r="TFG2" s="201"/>
      <c r="TFH2" s="201"/>
      <c r="TFI2" s="201"/>
      <c r="TFJ2" s="201"/>
      <c r="TFK2" s="201"/>
      <c r="TFL2" s="201"/>
      <c r="TFM2" s="201"/>
      <c r="TFN2" s="201"/>
      <c r="TFO2" s="201"/>
      <c r="TFP2" s="201"/>
      <c r="TFQ2" s="201"/>
      <c r="TFR2" s="201"/>
      <c r="TFS2" s="201"/>
      <c r="TFT2" s="201"/>
      <c r="TFU2" s="201"/>
      <c r="TFV2" s="201"/>
      <c r="TFW2" s="201"/>
      <c r="TFX2" s="201"/>
      <c r="TFY2" s="201"/>
      <c r="TFZ2" s="201"/>
      <c r="TGA2" s="201"/>
      <c r="TGB2" s="201"/>
      <c r="TGC2" s="201"/>
      <c r="TGD2" s="201"/>
      <c r="TGE2" s="201"/>
      <c r="TGF2" s="201"/>
      <c r="TGG2" s="201"/>
      <c r="TGH2" s="201"/>
      <c r="TGI2" s="201"/>
      <c r="TGJ2" s="201"/>
      <c r="TGK2" s="201"/>
      <c r="TGL2" s="201"/>
      <c r="TGM2" s="201"/>
      <c r="TGN2" s="201"/>
      <c r="TGO2" s="201"/>
      <c r="TGP2" s="201"/>
      <c r="TGQ2" s="201"/>
      <c r="TGR2" s="201"/>
      <c r="TGS2" s="201"/>
      <c r="TGT2" s="201"/>
      <c r="TGU2" s="201"/>
      <c r="TGV2" s="201"/>
      <c r="TGW2" s="201"/>
      <c r="TGX2" s="201"/>
      <c r="TGY2" s="201"/>
      <c r="TGZ2" s="201"/>
      <c r="THA2" s="201"/>
      <c r="THB2" s="201"/>
      <c r="THC2" s="201"/>
      <c r="THD2" s="201"/>
      <c r="THE2" s="201"/>
      <c r="THF2" s="201"/>
      <c r="THG2" s="201"/>
      <c r="THH2" s="201"/>
      <c r="THI2" s="201"/>
      <c r="THJ2" s="201"/>
      <c r="THK2" s="201"/>
      <c r="THL2" s="201"/>
      <c r="THM2" s="201"/>
      <c r="THN2" s="201"/>
      <c r="THO2" s="201"/>
      <c r="THP2" s="201"/>
      <c r="THQ2" s="201"/>
      <c r="THR2" s="201"/>
      <c r="THS2" s="201"/>
      <c r="THT2" s="201"/>
      <c r="THU2" s="201"/>
      <c r="THV2" s="201"/>
      <c r="THW2" s="201"/>
      <c r="THX2" s="201"/>
      <c r="THY2" s="201"/>
      <c r="THZ2" s="201"/>
      <c r="TIA2" s="201"/>
      <c r="TIB2" s="201"/>
      <c r="TIC2" s="201"/>
      <c r="TID2" s="201"/>
      <c r="TIE2" s="201"/>
      <c r="TIF2" s="201"/>
      <c r="TIG2" s="201"/>
      <c r="TIH2" s="201"/>
      <c r="TII2" s="201"/>
      <c r="TIJ2" s="201"/>
      <c r="TIK2" s="201"/>
      <c r="TIL2" s="201"/>
      <c r="TIM2" s="201"/>
      <c r="TIN2" s="201"/>
      <c r="TIO2" s="201"/>
      <c r="TIP2" s="201"/>
      <c r="TIQ2" s="201"/>
      <c r="TIR2" s="201"/>
      <c r="TIS2" s="201"/>
      <c r="TIT2" s="201"/>
      <c r="TIU2" s="201"/>
      <c r="TIV2" s="201"/>
      <c r="TIW2" s="201"/>
      <c r="TIX2" s="201"/>
      <c r="TIY2" s="201"/>
      <c r="TIZ2" s="201"/>
      <c r="TJA2" s="201"/>
      <c r="TJB2" s="201"/>
      <c r="TJC2" s="201"/>
      <c r="TJD2" s="201"/>
      <c r="TJE2" s="201"/>
      <c r="TJF2" s="201"/>
      <c r="TJG2" s="201"/>
      <c r="TJH2" s="201"/>
      <c r="TJI2" s="201"/>
      <c r="TJJ2" s="201"/>
      <c r="TJK2" s="201"/>
      <c r="TJL2" s="201"/>
      <c r="TJM2" s="201"/>
      <c r="TJN2" s="201"/>
      <c r="TJO2" s="201"/>
      <c r="TJP2" s="201"/>
      <c r="TJQ2" s="201"/>
      <c r="TJR2" s="201"/>
      <c r="TJS2" s="201"/>
      <c r="TJT2" s="201"/>
      <c r="TJU2" s="201"/>
      <c r="TJV2" s="201"/>
      <c r="TJW2" s="201"/>
      <c r="TJX2" s="201"/>
      <c r="TJY2" s="201"/>
      <c r="TJZ2" s="201"/>
      <c r="TKA2" s="201"/>
      <c r="TKB2" s="201"/>
      <c r="TKC2" s="201"/>
      <c r="TKD2" s="201"/>
      <c r="TKE2" s="201"/>
      <c r="TKF2" s="201"/>
      <c r="TKG2" s="201"/>
      <c r="TKH2" s="201"/>
      <c r="TKI2" s="201"/>
      <c r="TKJ2" s="201"/>
      <c r="TKK2" s="201"/>
      <c r="TKL2" s="201"/>
      <c r="TKM2" s="201"/>
      <c r="TKN2" s="201"/>
      <c r="TKO2" s="201"/>
      <c r="TKP2" s="201"/>
      <c r="TKQ2" s="201"/>
      <c r="TKR2" s="201"/>
      <c r="TKS2" s="201"/>
      <c r="TKT2" s="201"/>
      <c r="TKU2" s="201"/>
      <c r="TKV2" s="201"/>
      <c r="TKW2" s="201"/>
      <c r="TKX2" s="201"/>
      <c r="TKY2" s="201"/>
      <c r="TKZ2" s="201"/>
      <c r="TLA2" s="201"/>
      <c r="TLB2" s="201"/>
      <c r="TLC2" s="201"/>
      <c r="TLD2" s="201"/>
      <c r="TLE2" s="201"/>
      <c r="TLF2" s="201"/>
      <c r="TLG2" s="201"/>
      <c r="TLH2" s="201"/>
      <c r="TLI2" s="201"/>
      <c r="TLJ2" s="201"/>
      <c r="TLK2" s="201"/>
      <c r="TLL2" s="201"/>
      <c r="TLM2" s="201"/>
      <c r="TLN2" s="201"/>
      <c r="TLO2" s="201"/>
      <c r="TLP2" s="201"/>
      <c r="TLQ2" s="201"/>
      <c r="TLR2" s="201"/>
      <c r="TLS2" s="201"/>
      <c r="TLT2" s="201"/>
      <c r="TLU2" s="201"/>
      <c r="TLV2" s="201"/>
      <c r="TLW2" s="201"/>
      <c r="TLX2" s="201"/>
      <c r="TLY2" s="201"/>
      <c r="TLZ2" s="201"/>
      <c r="TMA2" s="201"/>
      <c r="TMB2" s="201"/>
      <c r="TMC2" s="201"/>
      <c r="TMD2" s="201"/>
      <c r="TME2" s="201"/>
      <c r="TMF2" s="201"/>
      <c r="TMG2" s="201"/>
      <c r="TMH2" s="201"/>
      <c r="TMI2" s="201"/>
      <c r="TMJ2" s="201"/>
      <c r="TMK2" s="201"/>
      <c r="TML2" s="201"/>
      <c r="TMM2" s="201"/>
      <c r="TMN2" s="201"/>
      <c r="TMO2" s="201"/>
      <c r="TMP2" s="201"/>
      <c r="TMQ2" s="201"/>
      <c r="TMR2" s="201"/>
      <c r="TMS2" s="201"/>
      <c r="TMT2" s="201"/>
      <c r="TMU2" s="201"/>
      <c r="TMV2" s="201"/>
      <c r="TMW2" s="201"/>
      <c r="TMX2" s="201"/>
      <c r="TMY2" s="201"/>
      <c r="TMZ2" s="201"/>
      <c r="TNA2" s="201"/>
      <c r="TNB2" s="201"/>
      <c r="TNC2" s="201"/>
      <c r="TND2" s="201"/>
      <c r="TNE2" s="201"/>
      <c r="TNF2" s="201"/>
      <c r="TNG2" s="201"/>
      <c r="TNH2" s="201"/>
      <c r="TNI2" s="201"/>
      <c r="TNJ2" s="201"/>
      <c r="TNK2" s="201"/>
      <c r="TNL2" s="201"/>
      <c r="TNM2" s="201"/>
      <c r="TNN2" s="201"/>
      <c r="TNO2" s="201"/>
      <c r="TNP2" s="201"/>
      <c r="TNQ2" s="201"/>
      <c r="TNR2" s="201"/>
      <c r="TNS2" s="201"/>
      <c r="TNT2" s="201"/>
      <c r="TNU2" s="201"/>
      <c r="TNV2" s="201"/>
      <c r="TNW2" s="201"/>
      <c r="TNX2" s="201"/>
      <c r="TNY2" s="201"/>
      <c r="TNZ2" s="201"/>
      <c r="TOA2" s="201"/>
      <c r="TOB2" s="201"/>
      <c r="TOC2" s="201"/>
      <c r="TOD2" s="201"/>
      <c r="TOE2" s="201"/>
      <c r="TOF2" s="201"/>
      <c r="TOG2" s="201"/>
      <c r="TOH2" s="201"/>
      <c r="TOI2" s="201"/>
      <c r="TOJ2" s="201"/>
      <c r="TOK2" s="201"/>
      <c r="TOL2" s="201"/>
      <c r="TOM2" s="201"/>
      <c r="TON2" s="201"/>
      <c r="TOO2" s="201"/>
      <c r="TOP2" s="201"/>
      <c r="TOQ2" s="201"/>
      <c r="TOR2" s="201"/>
      <c r="TOS2" s="201"/>
      <c r="TOT2" s="201"/>
      <c r="TOU2" s="201"/>
      <c r="TOV2" s="201"/>
      <c r="TOW2" s="201"/>
      <c r="TOX2" s="201"/>
      <c r="TOY2" s="201"/>
      <c r="TOZ2" s="201"/>
      <c r="TPA2" s="201"/>
      <c r="TPB2" s="201"/>
      <c r="TPC2" s="201"/>
      <c r="TPD2" s="201"/>
      <c r="TPE2" s="201"/>
      <c r="TPF2" s="201"/>
      <c r="TPG2" s="201"/>
      <c r="TPH2" s="201"/>
      <c r="TPI2" s="201"/>
      <c r="TPJ2" s="201"/>
      <c r="TPK2" s="201"/>
      <c r="TPL2" s="201"/>
      <c r="TPM2" s="201"/>
      <c r="TPN2" s="201"/>
      <c r="TPO2" s="201"/>
      <c r="TPP2" s="201"/>
      <c r="TPQ2" s="201"/>
      <c r="TPR2" s="201"/>
      <c r="TPS2" s="201"/>
      <c r="TPT2" s="201"/>
      <c r="TPU2" s="201"/>
      <c r="TPV2" s="201"/>
      <c r="TPW2" s="201"/>
      <c r="TPX2" s="201"/>
      <c r="TPY2" s="201"/>
      <c r="TPZ2" s="201"/>
      <c r="TQA2" s="201"/>
      <c r="TQB2" s="201"/>
      <c r="TQC2" s="201"/>
      <c r="TQD2" s="201"/>
      <c r="TQE2" s="201"/>
      <c r="TQF2" s="201"/>
      <c r="TQG2" s="201"/>
      <c r="TQH2" s="201"/>
      <c r="TQI2" s="201"/>
      <c r="TQJ2" s="201"/>
      <c r="TQK2" s="201"/>
      <c r="TQL2" s="201"/>
      <c r="TQM2" s="201"/>
      <c r="TQN2" s="201"/>
      <c r="TQO2" s="201"/>
      <c r="TQP2" s="201"/>
      <c r="TQQ2" s="201"/>
      <c r="TQR2" s="201"/>
      <c r="TQS2" s="201"/>
      <c r="TQT2" s="201"/>
      <c r="TQU2" s="201"/>
      <c r="TQV2" s="201"/>
      <c r="TQW2" s="201"/>
      <c r="TQX2" s="201"/>
      <c r="TQY2" s="201"/>
      <c r="TQZ2" s="201"/>
      <c r="TRA2" s="201"/>
      <c r="TRB2" s="201"/>
      <c r="TRC2" s="201"/>
      <c r="TRD2" s="201"/>
      <c r="TRE2" s="201"/>
      <c r="TRF2" s="201"/>
      <c r="TRG2" s="201"/>
      <c r="TRH2" s="201"/>
      <c r="TRI2" s="201"/>
      <c r="TRJ2" s="201"/>
      <c r="TRK2" s="201"/>
      <c r="TRL2" s="201"/>
      <c r="TRM2" s="201"/>
      <c r="TRN2" s="201"/>
      <c r="TRO2" s="201"/>
      <c r="TRP2" s="201"/>
      <c r="TRQ2" s="201"/>
      <c r="TRR2" s="201"/>
      <c r="TRS2" s="201"/>
      <c r="TRT2" s="201"/>
      <c r="TRU2" s="201"/>
      <c r="TRV2" s="201"/>
      <c r="TRW2" s="201"/>
      <c r="TRX2" s="201"/>
      <c r="TRY2" s="201"/>
      <c r="TRZ2" s="201"/>
      <c r="TSA2" s="201"/>
      <c r="TSB2" s="201"/>
      <c r="TSC2" s="201"/>
      <c r="TSD2" s="201"/>
      <c r="TSE2" s="201"/>
      <c r="TSF2" s="201"/>
      <c r="TSG2" s="201"/>
      <c r="TSH2" s="201"/>
      <c r="TSI2" s="201"/>
      <c r="TSJ2" s="201"/>
      <c r="TSK2" s="201"/>
      <c r="TSL2" s="201"/>
      <c r="TSM2" s="201"/>
      <c r="TSN2" s="201"/>
      <c r="TSO2" s="201"/>
      <c r="TSP2" s="201"/>
      <c r="TSQ2" s="201"/>
      <c r="TSR2" s="201"/>
      <c r="TSS2" s="201"/>
      <c r="TST2" s="201"/>
      <c r="TSU2" s="201"/>
      <c r="TSV2" s="201"/>
      <c r="TSW2" s="201"/>
      <c r="TSX2" s="201"/>
      <c r="TSY2" s="201"/>
      <c r="TSZ2" s="201"/>
      <c r="TTA2" s="201"/>
      <c r="TTB2" s="201"/>
      <c r="TTC2" s="201"/>
      <c r="TTD2" s="201"/>
      <c r="TTE2" s="201"/>
      <c r="TTF2" s="201"/>
      <c r="TTG2" s="201"/>
      <c r="TTH2" s="201"/>
      <c r="TTI2" s="201"/>
      <c r="TTJ2" s="201"/>
      <c r="TTK2" s="201"/>
      <c r="TTL2" s="201"/>
      <c r="TTM2" s="201"/>
      <c r="TTN2" s="201"/>
      <c r="TTO2" s="201"/>
      <c r="TTP2" s="201"/>
      <c r="TTQ2" s="201"/>
      <c r="TTR2" s="201"/>
      <c r="TTS2" s="201"/>
      <c r="TTT2" s="201"/>
      <c r="TTU2" s="201"/>
      <c r="TTV2" s="201"/>
      <c r="TTW2" s="201"/>
      <c r="TTX2" s="201"/>
      <c r="TTY2" s="201"/>
      <c r="TTZ2" s="201"/>
      <c r="TUA2" s="201"/>
      <c r="TUB2" s="201"/>
      <c r="TUC2" s="201"/>
      <c r="TUD2" s="201"/>
      <c r="TUE2" s="201"/>
      <c r="TUF2" s="201"/>
      <c r="TUG2" s="201"/>
      <c r="TUH2" s="201"/>
      <c r="TUI2" s="201"/>
      <c r="TUJ2" s="201"/>
      <c r="TUK2" s="201"/>
      <c r="TUL2" s="201"/>
      <c r="TUM2" s="201"/>
      <c r="TUN2" s="201"/>
      <c r="TUO2" s="201"/>
      <c r="TUP2" s="201"/>
      <c r="TUQ2" s="201"/>
      <c r="TUR2" s="201"/>
      <c r="TUS2" s="201"/>
      <c r="TUT2" s="201"/>
      <c r="TUU2" s="201"/>
      <c r="TUV2" s="201"/>
      <c r="TUW2" s="201"/>
      <c r="TUX2" s="201"/>
      <c r="TUY2" s="201"/>
      <c r="TUZ2" s="201"/>
      <c r="TVA2" s="201"/>
      <c r="TVB2" s="201"/>
      <c r="TVC2" s="201"/>
      <c r="TVD2" s="201"/>
      <c r="TVE2" s="201"/>
      <c r="TVF2" s="201"/>
      <c r="TVG2" s="201"/>
      <c r="TVH2" s="201"/>
      <c r="TVI2" s="201"/>
      <c r="TVJ2" s="201"/>
      <c r="TVK2" s="201"/>
      <c r="TVL2" s="201"/>
      <c r="TVM2" s="201"/>
      <c r="TVN2" s="201"/>
      <c r="TVO2" s="201"/>
      <c r="TVP2" s="201"/>
      <c r="TVQ2" s="201"/>
      <c r="TVR2" s="201"/>
      <c r="TVS2" s="201"/>
      <c r="TVT2" s="201"/>
      <c r="TVU2" s="201"/>
      <c r="TVV2" s="201"/>
      <c r="TVW2" s="201"/>
      <c r="TVX2" s="201"/>
      <c r="TVY2" s="201"/>
      <c r="TVZ2" s="201"/>
      <c r="TWA2" s="201"/>
      <c r="TWB2" s="201"/>
      <c r="TWC2" s="201"/>
      <c r="TWD2" s="201"/>
      <c r="TWE2" s="201"/>
      <c r="TWF2" s="201"/>
      <c r="TWG2" s="201"/>
      <c r="TWH2" s="201"/>
      <c r="TWI2" s="201"/>
      <c r="TWJ2" s="201"/>
      <c r="TWK2" s="201"/>
      <c r="TWL2" s="201"/>
      <c r="TWM2" s="201"/>
      <c r="TWN2" s="201"/>
      <c r="TWO2" s="201"/>
      <c r="TWP2" s="201"/>
      <c r="TWQ2" s="201"/>
      <c r="TWR2" s="201"/>
      <c r="TWS2" s="201"/>
      <c r="TWT2" s="201"/>
      <c r="TWU2" s="201"/>
      <c r="TWV2" s="201"/>
      <c r="TWW2" s="201"/>
      <c r="TWX2" s="201"/>
      <c r="TWY2" s="201"/>
      <c r="TWZ2" s="201"/>
      <c r="TXA2" s="201"/>
      <c r="TXB2" s="201"/>
      <c r="TXC2" s="201"/>
      <c r="TXD2" s="201"/>
      <c r="TXE2" s="201"/>
      <c r="TXF2" s="201"/>
      <c r="TXG2" s="201"/>
      <c r="TXH2" s="201"/>
      <c r="TXI2" s="201"/>
      <c r="TXJ2" s="201"/>
      <c r="TXK2" s="201"/>
      <c r="TXL2" s="201"/>
      <c r="TXM2" s="201"/>
      <c r="TXN2" s="201"/>
      <c r="TXO2" s="201"/>
      <c r="TXP2" s="201"/>
      <c r="TXQ2" s="201"/>
      <c r="TXR2" s="201"/>
      <c r="TXS2" s="201"/>
      <c r="TXT2" s="201"/>
      <c r="TXU2" s="201"/>
      <c r="TXV2" s="201"/>
      <c r="TXW2" s="201"/>
      <c r="TXX2" s="201"/>
      <c r="TXY2" s="201"/>
      <c r="TXZ2" s="201"/>
      <c r="TYA2" s="201"/>
      <c r="TYB2" s="201"/>
      <c r="TYC2" s="201"/>
      <c r="TYD2" s="201"/>
      <c r="TYE2" s="201"/>
      <c r="TYF2" s="201"/>
      <c r="TYG2" s="201"/>
      <c r="TYH2" s="201"/>
      <c r="TYI2" s="201"/>
      <c r="TYJ2" s="201"/>
      <c r="TYK2" s="201"/>
      <c r="TYL2" s="201"/>
      <c r="TYM2" s="201"/>
      <c r="TYN2" s="201"/>
      <c r="TYO2" s="201"/>
      <c r="TYP2" s="201"/>
      <c r="TYQ2" s="201"/>
      <c r="TYR2" s="201"/>
      <c r="TYS2" s="201"/>
      <c r="TYT2" s="201"/>
      <c r="TYU2" s="201"/>
      <c r="TYV2" s="201"/>
      <c r="TYW2" s="201"/>
      <c r="TYX2" s="201"/>
      <c r="TYY2" s="201"/>
      <c r="TYZ2" s="201"/>
      <c r="TZA2" s="201"/>
      <c r="TZB2" s="201"/>
      <c r="TZC2" s="201"/>
      <c r="TZD2" s="201"/>
      <c r="TZE2" s="201"/>
      <c r="TZF2" s="201"/>
      <c r="TZG2" s="201"/>
      <c r="TZH2" s="201"/>
      <c r="TZI2" s="201"/>
      <c r="TZJ2" s="201"/>
      <c r="TZK2" s="201"/>
      <c r="TZL2" s="201"/>
      <c r="TZM2" s="201"/>
      <c r="TZN2" s="201"/>
      <c r="TZO2" s="201"/>
      <c r="TZP2" s="201"/>
      <c r="TZQ2" s="201"/>
      <c r="TZR2" s="201"/>
      <c r="TZS2" s="201"/>
      <c r="TZT2" s="201"/>
      <c r="TZU2" s="201"/>
      <c r="TZV2" s="201"/>
      <c r="TZW2" s="201"/>
      <c r="TZX2" s="201"/>
      <c r="TZY2" s="201"/>
      <c r="TZZ2" s="201"/>
      <c r="UAA2" s="201"/>
      <c r="UAB2" s="201"/>
      <c r="UAC2" s="201"/>
      <c r="UAD2" s="201"/>
      <c r="UAE2" s="201"/>
      <c r="UAF2" s="201"/>
      <c r="UAG2" s="201"/>
      <c r="UAH2" s="201"/>
      <c r="UAI2" s="201"/>
      <c r="UAJ2" s="201"/>
      <c r="UAK2" s="201"/>
      <c r="UAL2" s="201"/>
      <c r="UAM2" s="201"/>
      <c r="UAN2" s="201"/>
      <c r="UAO2" s="201"/>
      <c r="UAP2" s="201"/>
      <c r="UAQ2" s="201"/>
      <c r="UAR2" s="201"/>
      <c r="UAS2" s="201"/>
      <c r="UAT2" s="201"/>
      <c r="UAU2" s="201"/>
      <c r="UAV2" s="201"/>
      <c r="UAW2" s="201"/>
      <c r="UAX2" s="201"/>
      <c r="UAY2" s="201"/>
      <c r="UAZ2" s="201"/>
      <c r="UBA2" s="201"/>
      <c r="UBB2" s="201"/>
      <c r="UBC2" s="201"/>
      <c r="UBD2" s="201"/>
      <c r="UBE2" s="201"/>
      <c r="UBF2" s="201"/>
      <c r="UBG2" s="201"/>
      <c r="UBH2" s="201"/>
      <c r="UBI2" s="201"/>
      <c r="UBJ2" s="201"/>
      <c r="UBK2" s="201"/>
      <c r="UBL2" s="201"/>
      <c r="UBM2" s="201"/>
      <c r="UBN2" s="201"/>
      <c r="UBO2" s="201"/>
      <c r="UBP2" s="201"/>
      <c r="UBQ2" s="201"/>
      <c r="UBR2" s="201"/>
      <c r="UBS2" s="201"/>
      <c r="UBT2" s="201"/>
      <c r="UBU2" s="201"/>
      <c r="UBV2" s="201"/>
      <c r="UBW2" s="201"/>
      <c r="UBX2" s="201"/>
      <c r="UBY2" s="201"/>
      <c r="UBZ2" s="201"/>
      <c r="UCA2" s="201"/>
      <c r="UCB2" s="201"/>
      <c r="UCC2" s="201"/>
      <c r="UCD2" s="201"/>
      <c r="UCE2" s="201"/>
      <c r="UCF2" s="201"/>
      <c r="UCG2" s="201"/>
      <c r="UCH2" s="201"/>
      <c r="UCI2" s="201"/>
      <c r="UCJ2" s="201"/>
      <c r="UCK2" s="201"/>
      <c r="UCL2" s="201"/>
      <c r="UCM2" s="201"/>
      <c r="UCN2" s="201"/>
      <c r="UCO2" s="201"/>
      <c r="UCP2" s="201"/>
      <c r="UCQ2" s="201"/>
      <c r="UCR2" s="201"/>
      <c r="UCS2" s="201"/>
      <c r="UCT2" s="201"/>
      <c r="UCU2" s="201"/>
      <c r="UCV2" s="201"/>
      <c r="UCW2" s="201"/>
      <c r="UCX2" s="201"/>
      <c r="UCY2" s="201"/>
      <c r="UCZ2" s="201"/>
      <c r="UDA2" s="201"/>
      <c r="UDB2" s="201"/>
      <c r="UDC2" s="201"/>
      <c r="UDD2" s="201"/>
      <c r="UDE2" s="201"/>
      <c r="UDF2" s="201"/>
      <c r="UDG2" s="201"/>
      <c r="UDH2" s="201"/>
      <c r="UDI2" s="201"/>
      <c r="UDJ2" s="201"/>
      <c r="UDK2" s="201"/>
      <c r="UDL2" s="201"/>
      <c r="UDM2" s="201"/>
      <c r="UDN2" s="201"/>
      <c r="UDO2" s="201"/>
      <c r="UDP2" s="201"/>
      <c r="UDQ2" s="201"/>
      <c r="UDR2" s="201"/>
      <c r="UDS2" s="201"/>
      <c r="UDT2" s="201"/>
      <c r="UDU2" s="201"/>
      <c r="UDV2" s="201"/>
      <c r="UDW2" s="201"/>
      <c r="UDX2" s="201"/>
      <c r="UDY2" s="201"/>
      <c r="UDZ2" s="201"/>
      <c r="UEA2" s="201"/>
      <c r="UEB2" s="201"/>
      <c r="UEC2" s="201"/>
      <c r="UED2" s="201"/>
      <c r="UEE2" s="201"/>
      <c r="UEF2" s="201"/>
      <c r="UEG2" s="201"/>
      <c r="UEH2" s="201"/>
      <c r="UEI2" s="201"/>
      <c r="UEJ2" s="201"/>
      <c r="UEK2" s="201"/>
      <c r="UEL2" s="201"/>
      <c r="UEM2" s="201"/>
      <c r="UEN2" s="201"/>
      <c r="UEO2" s="201"/>
      <c r="UEP2" s="201"/>
      <c r="UEQ2" s="201"/>
      <c r="UER2" s="201"/>
      <c r="UES2" s="201"/>
      <c r="UET2" s="201"/>
      <c r="UEU2" s="201"/>
      <c r="UEV2" s="201"/>
      <c r="UEW2" s="201"/>
      <c r="UEX2" s="201"/>
      <c r="UEY2" s="201"/>
      <c r="UEZ2" s="201"/>
      <c r="UFA2" s="201"/>
      <c r="UFB2" s="201"/>
      <c r="UFC2" s="201"/>
      <c r="UFD2" s="201"/>
      <c r="UFE2" s="201"/>
      <c r="UFF2" s="201"/>
      <c r="UFG2" s="201"/>
      <c r="UFH2" s="201"/>
      <c r="UFI2" s="201"/>
      <c r="UFJ2" s="201"/>
      <c r="UFK2" s="201"/>
      <c r="UFL2" s="201"/>
      <c r="UFM2" s="201"/>
      <c r="UFN2" s="201"/>
      <c r="UFO2" s="201"/>
      <c r="UFP2" s="201"/>
      <c r="UFQ2" s="201"/>
      <c r="UFR2" s="201"/>
      <c r="UFS2" s="201"/>
      <c r="UFT2" s="201"/>
      <c r="UFU2" s="201"/>
      <c r="UFV2" s="201"/>
      <c r="UFW2" s="201"/>
      <c r="UFX2" s="201"/>
      <c r="UFY2" s="201"/>
      <c r="UFZ2" s="201"/>
      <c r="UGA2" s="201"/>
      <c r="UGB2" s="201"/>
      <c r="UGC2" s="201"/>
      <c r="UGD2" s="201"/>
      <c r="UGE2" s="201"/>
      <c r="UGF2" s="201"/>
      <c r="UGG2" s="201"/>
      <c r="UGH2" s="201"/>
      <c r="UGI2" s="201"/>
      <c r="UGJ2" s="201"/>
      <c r="UGK2" s="201"/>
      <c r="UGL2" s="201"/>
      <c r="UGM2" s="201"/>
      <c r="UGN2" s="201"/>
      <c r="UGO2" s="201"/>
      <c r="UGP2" s="201"/>
      <c r="UGQ2" s="201"/>
      <c r="UGR2" s="201"/>
      <c r="UGS2" s="201"/>
      <c r="UGT2" s="201"/>
      <c r="UGU2" s="201"/>
      <c r="UGV2" s="201"/>
      <c r="UGW2" s="201"/>
      <c r="UGX2" s="201"/>
      <c r="UGY2" s="201"/>
      <c r="UGZ2" s="201"/>
      <c r="UHA2" s="201"/>
      <c r="UHB2" s="201"/>
      <c r="UHC2" s="201"/>
      <c r="UHD2" s="201"/>
      <c r="UHE2" s="201"/>
      <c r="UHF2" s="201"/>
      <c r="UHG2" s="201"/>
      <c r="UHH2" s="201"/>
      <c r="UHI2" s="201"/>
      <c r="UHJ2" s="201"/>
      <c r="UHK2" s="201"/>
      <c r="UHL2" s="201"/>
      <c r="UHM2" s="201"/>
      <c r="UHN2" s="201"/>
      <c r="UHO2" s="201"/>
      <c r="UHP2" s="201"/>
      <c r="UHQ2" s="201"/>
      <c r="UHR2" s="201"/>
      <c r="UHS2" s="201"/>
      <c r="UHT2" s="201"/>
      <c r="UHU2" s="201"/>
      <c r="UHV2" s="201"/>
      <c r="UHW2" s="201"/>
      <c r="UHX2" s="201"/>
      <c r="UHY2" s="201"/>
      <c r="UHZ2" s="201"/>
      <c r="UIA2" s="201"/>
      <c r="UIB2" s="201"/>
      <c r="UIC2" s="201"/>
      <c r="UID2" s="201"/>
      <c r="UIE2" s="201"/>
      <c r="UIF2" s="201"/>
      <c r="UIG2" s="201"/>
      <c r="UIH2" s="201"/>
      <c r="UII2" s="201"/>
      <c r="UIJ2" s="201"/>
      <c r="UIK2" s="201"/>
      <c r="UIL2" s="201"/>
      <c r="UIM2" s="201"/>
      <c r="UIN2" s="201"/>
      <c r="UIO2" s="201"/>
      <c r="UIP2" s="201"/>
      <c r="UIQ2" s="201"/>
      <c r="UIR2" s="201"/>
      <c r="UIS2" s="201"/>
      <c r="UIT2" s="201"/>
      <c r="UIU2" s="201"/>
      <c r="UIV2" s="201"/>
      <c r="UIW2" s="201"/>
      <c r="UIX2" s="201"/>
      <c r="UIY2" s="201"/>
      <c r="UIZ2" s="201"/>
      <c r="UJA2" s="201"/>
      <c r="UJB2" s="201"/>
      <c r="UJC2" s="201"/>
      <c r="UJD2" s="201"/>
      <c r="UJE2" s="201"/>
      <c r="UJF2" s="201"/>
      <c r="UJG2" s="201"/>
      <c r="UJH2" s="201"/>
      <c r="UJI2" s="201"/>
      <c r="UJJ2" s="201"/>
      <c r="UJK2" s="201"/>
      <c r="UJL2" s="201"/>
      <c r="UJM2" s="201"/>
      <c r="UJN2" s="201"/>
      <c r="UJO2" s="201"/>
      <c r="UJP2" s="201"/>
      <c r="UJQ2" s="201"/>
      <c r="UJR2" s="201"/>
      <c r="UJS2" s="201"/>
      <c r="UJT2" s="201"/>
      <c r="UJU2" s="201"/>
      <c r="UJV2" s="201"/>
      <c r="UJW2" s="201"/>
      <c r="UJX2" s="201"/>
      <c r="UJY2" s="201"/>
      <c r="UJZ2" s="201"/>
      <c r="UKA2" s="201"/>
      <c r="UKB2" s="201"/>
      <c r="UKC2" s="201"/>
      <c r="UKD2" s="201"/>
      <c r="UKE2" s="201"/>
      <c r="UKF2" s="201"/>
      <c r="UKG2" s="201"/>
      <c r="UKH2" s="201"/>
      <c r="UKI2" s="201"/>
      <c r="UKJ2" s="201"/>
      <c r="UKK2" s="201"/>
      <c r="UKL2" s="201"/>
      <c r="UKM2" s="201"/>
      <c r="UKN2" s="201"/>
      <c r="UKO2" s="201"/>
      <c r="UKP2" s="201"/>
      <c r="UKQ2" s="201"/>
      <c r="UKR2" s="201"/>
      <c r="UKS2" s="201"/>
      <c r="UKT2" s="201"/>
      <c r="UKU2" s="201"/>
      <c r="UKV2" s="201"/>
      <c r="UKW2" s="201"/>
      <c r="UKX2" s="201"/>
      <c r="UKY2" s="201"/>
      <c r="UKZ2" s="201"/>
      <c r="ULA2" s="201"/>
      <c r="ULB2" s="201"/>
      <c r="ULC2" s="201"/>
      <c r="ULD2" s="201"/>
      <c r="ULE2" s="201"/>
      <c r="ULF2" s="201"/>
      <c r="ULG2" s="201"/>
      <c r="ULH2" s="201"/>
      <c r="ULI2" s="201"/>
      <c r="ULJ2" s="201"/>
      <c r="ULK2" s="201"/>
      <c r="ULL2" s="201"/>
      <c r="ULM2" s="201"/>
      <c r="ULN2" s="201"/>
      <c r="ULO2" s="201"/>
      <c r="ULP2" s="201"/>
      <c r="ULQ2" s="201"/>
      <c r="ULR2" s="201"/>
      <c r="ULS2" s="201"/>
      <c r="ULT2" s="201"/>
      <c r="ULU2" s="201"/>
      <c r="ULV2" s="201"/>
      <c r="ULW2" s="201"/>
      <c r="ULX2" s="201"/>
      <c r="ULY2" s="201"/>
      <c r="ULZ2" s="201"/>
      <c r="UMA2" s="201"/>
      <c r="UMB2" s="201"/>
      <c r="UMC2" s="201"/>
      <c r="UMD2" s="201"/>
      <c r="UME2" s="201"/>
      <c r="UMF2" s="201"/>
      <c r="UMG2" s="201"/>
      <c r="UMH2" s="201"/>
      <c r="UMI2" s="201"/>
      <c r="UMJ2" s="201"/>
      <c r="UMK2" s="201"/>
      <c r="UML2" s="201"/>
      <c r="UMM2" s="201"/>
      <c r="UMN2" s="201"/>
      <c r="UMO2" s="201"/>
      <c r="UMP2" s="201"/>
      <c r="UMQ2" s="201"/>
      <c r="UMR2" s="201"/>
      <c r="UMS2" s="201"/>
      <c r="UMT2" s="201"/>
      <c r="UMU2" s="201"/>
      <c r="UMV2" s="201"/>
      <c r="UMW2" s="201"/>
      <c r="UMX2" s="201"/>
      <c r="UMY2" s="201"/>
      <c r="UMZ2" s="201"/>
      <c r="UNA2" s="201"/>
      <c r="UNB2" s="201"/>
      <c r="UNC2" s="201"/>
      <c r="UND2" s="201"/>
      <c r="UNE2" s="201"/>
      <c r="UNF2" s="201"/>
      <c r="UNG2" s="201"/>
      <c r="UNH2" s="201"/>
      <c r="UNI2" s="201"/>
      <c r="UNJ2" s="201"/>
      <c r="UNK2" s="201"/>
      <c r="UNL2" s="201"/>
      <c r="UNM2" s="201"/>
      <c r="UNN2" s="201"/>
      <c r="UNO2" s="201"/>
      <c r="UNP2" s="201"/>
      <c r="UNQ2" s="201"/>
      <c r="UNR2" s="201"/>
      <c r="UNS2" s="201"/>
      <c r="UNT2" s="201"/>
      <c r="UNU2" s="201"/>
      <c r="UNV2" s="201"/>
      <c r="UNW2" s="201"/>
      <c r="UNX2" s="201"/>
      <c r="UNY2" s="201"/>
      <c r="UNZ2" s="201"/>
      <c r="UOA2" s="201"/>
      <c r="UOB2" s="201"/>
      <c r="UOC2" s="201"/>
      <c r="UOD2" s="201"/>
      <c r="UOE2" s="201"/>
      <c r="UOF2" s="201"/>
      <c r="UOG2" s="201"/>
      <c r="UOH2" s="201"/>
      <c r="UOI2" s="201"/>
      <c r="UOJ2" s="201"/>
      <c r="UOK2" s="201"/>
      <c r="UOL2" s="201"/>
      <c r="UOM2" s="201"/>
      <c r="UON2" s="201"/>
      <c r="UOO2" s="201"/>
      <c r="UOP2" s="201"/>
      <c r="UOQ2" s="201"/>
      <c r="UOR2" s="201"/>
      <c r="UOS2" s="201"/>
      <c r="UOT2" s="201"/>
      <c r="UOU2" s="201"/>
      <c r="UOV2" s="201"/>
      <c r="UOW2" s="201"/>
      <c r="UOX2" s="201"/>
      <c r="UOY2" s="201"/>
      <c r="UOZ2" s="201"/>
      <c r="UPA2" s="201"/>
      <c r="UPB2" s="201"/>
      <c r="UPC2" s="201"/>
      <c r="UPD2" s="201"/>
      <c r="UPE2" s="201"/>
      <c r="UPF2" s="201"/>
      <c r="UPG2" s="201"/>
      <c r="UPH2" s="201"/>
      <c r="UPI2" s="201"/>
      <c r="UPJ2" s="201"/>
      <c r="UPK2" s="201"/>
      <c r="UPL2" s="201"/>
      <c r="UPM2" s="201"/>
      <c r="UPN2" s="201"/>
      <c r="UPO2" s="201"/>
      <c r="UPP2" s="201"/>
      <c r="UPQ2" s="201"/>
      <c r="UPR2" s="201"/>
      <c r="UPS2" s="201"/>
      <c r="UPT2" s="201"/>
      <c r="UPU2" s="201"/>
      <c r="UPV2" s="201"/>
      <c r="UPW2" s="201"/>
      <c r="UPX2" s="201"/>
      <c r="UPY2" s="201"/>
      <c r="UPZ2" s="201"/>
      <c r="UQA2" s="201"/>
      <c r="UQB2" s="201"/>
      <c r="UQC2" s="201"/>
      <c r="UQD2" s="201"/>
      <c r="UQE2" s="201"/>
      <c r="UQF2" s="201"/>
      <c r="UQG2" s="201"/>
      <c r="UQH2" s="201"/>
      <c r="UQI2" s="201"/>
      <c r="UQJ2" s="201"/>
      <c r="UQK2" s="201"/>
      <c r="UQL2" s="201"/>
      <c r="UQM2" s="201"/>
      <c r="UQN2" s="201"/>
      <c r="UQO2" s="201"/>
      <c r="UQP2" s="201"/>
      <c r="UQQ2" s="201"/>
      <c r="UQR2" s="201"/>
      <c r="UQS2" s="201"/>
      <c r="UQT2" s="201"/>
      <c r="UQU2" s="201"/>
      <c r="UQV2" s="201"/>
      <c r="UQW2" s="201"/>
      <c r="UQX2" s="201"/>
      <c r="UQY2" s="201"/>
      <c r="UQZ2" s="201"/>
      <c r="URA2" s="201"/>
      <c r="URB2" s="201"/>
      <c r="URC2" s="201"/>
      <c r="URD2" s="201"/>
      <c r="URE2" s="201"/>
      <c r="URF2" s="201"/>
      <c r="URG2" s="201"/>
      <c r="URH2" s="201"/>
      <c r="URI2" s="201"/>
      <c r="URJ2" s="201"/>
      <c r="URK2" s="201"/>
      <c r="URL2" s="201"/>
      <c r="URM2" s="201"/>
      <c r="URN2" s="201"/>
      <c r="URO2" s="201"/>
      <c r="URP2" s="201"/>
      <c r="URQ2" s="201"/>
      <c r="URR2" s="201"/>
      <c r="URS2" s="201"/>
      <c r="URT2" s="201"/>
      <c r="URU2" s="201"/>
      <c r="URV2" s="201"/>
      <c r="URW2" s="201"/>
      <c r="URX2" s="201"/>
      <c r="URY2" s="201"/>
      <c r="URZ2" s="201"/>
      <c r="USA2" s="201"/>
      <c r="USB2" s="201"/>
      <c r="USC2" s="201"/>
      <c r="USD2" s="201"/>
      <c r="USE2" s="201"/>
      <c r="USF2" s="201"/>
      <c r="USG2" s="201"/>
      <c r="USH2" s="201"/>
      <c r="USI2" s="201"/>
      <c r="USJ2" s="201"/>
      <c r="USK2" s="201"/>
      <c r="USL2" s="201"/>
      <c r="USM2" s="201"/>
      <c r="USN2" s="201"/>
      <c r="USO2" s="201"/>
      <c r="USP2" s="201"/>
      <c r="USQ2" s="201"/>
      <c r="USR2" s="201"/>
      <c r="USS2" s="201"/>
      <c r="UST2" s="201"/>
      <c r="USU2" s="201"/>
      <c r="USV2" s="201"/>
      <c r="USW2" s="201"/>
      <c r="USX2" s="201"/>
      <c r="USY2" s="201"/>
      <c r="USZ2" s="201"/>
      <c r="UTA2" s="201"/>
      <c r="UTB2" s="201"/>
      <c r="UTC2" s="201"/>
      <c r="UTD2" s="201"/>
      <c r="UTE2" s="201"/>
      <c r="UTF2" s="201"/>
      <c r="UTG2" s="201"/>
      <c r="UTH2" s="201"/>
      <c r="UTI2" s="201"/>
      <c r="UTJ2" s="201"/>
      <c r="UTK2" s="201"/>
      <c r="UTL2" s="201"/>
      <c r="UTM2" s="201"/>
      <c r="UTN2" s="201"/>
      <c r="UTO2" s="201"/>
      <c r="UTP2" s="201"/>
      <c r="UTQ2" s="201"/>
      <c r="UTR2" s="201"/>
      <c r="UTS2" s="201"/>
      <c r="UTT2" s="201"/>
      <c r="UTU2" s="201"/>
      <c r="UTV2" s="201"/>
      <c r="UTW2" s="201"/>
      <c r="UTX2" s="201"/>
      <c r="UTY2" s="201"/>
      <c r="UTZ2" s="201"/>
      <c r="UUA2" s="201"/>
      <c r="UUB2" s="201"/>
      <c r="UUC2" s="201"/>
      <c r="UUD2" s="201"/>
      <c r="UUE2" s="201"/>
      <c r="UUF2" s="201"/>
      <c r="UUG2" s="201"/>
      <c r="UUH2" s="201"/>
      <c r="UUI2" s="201"/>
      <c r="UUJ2" s="201"/>
      <c r="UUK2" s="201"/>
      <c r="UUL2" s="201"/>
      <c r="UUM2" s="201"/>
      <c r="UUN2" s="201"/>
      <c r="UUO2" s="201"/>
      <c r="UUP2" s="201"/>
      <c r="UUQ2" s="201"/>
      <c r="UUR2" s="201"/>
      <c r="UUS2" s="201"/>
      <c r="UUT2" s="201"/>
      <c r="UUU2" s="201"/>
      <c r="UUV2" s="201"/>
      <c r="UUW2" s="201"/>
      <c r="UUX2" s="201"/>
      <c r="UUY2" s="201"/>
      <c r="UUZ2" s="201"/>
      <c r="UVA2" s="201"/>
      <c r="UVB2" s="201"/>
      <c r="UVC2" s="201"/>
      <c r="UVD2" s="201"/>
      <c r="UVE2" s="201"/>
      <c r="UVF2" s="201"/>
      <c r="UVG2" s="201"/>
      <c r="UVH2" s="201"/>
      <c r="UVI2" s="201"/>
      <c r="UVJ2" s="201"/>
      <c r="UVK2" s="201"/>
      <c r="UVL2" s="201"/>
      <c r="UVM2" s="201"/>
      <c r="UVN2" s="201"/>
      <c r="UVO2" s="201"/>
      <c r="UVP2" s="201"/>
      <c r="UVQ2" s="201"/>
      <c r="UVR2" s="201"/>
      <c r="UVS2" s="201"/>
      <c r="UVT2" s="201"/>
      <c r="UVU2" s="201"/>
      <c r="UVV2" s="201"/>
      <c r="UVW2" s="201"/>
      <c r="UVX2" s="201"/>
      <c r="UVY2" s="201"/>
      <c r="UVZ2" s="201"/>
      <c r="UWA2" s="201"/>
      <c r="UWB2" s="201"/>
      <c r="UWC2" s="201"/>
      <c r="UWD2" s="201"/>
      <c r="UWE2" s="201"/>
      <c r="UWF2" s="201"/>
      <c r="UWG2" s="201"/>
      <c r="UWH2" s="201"/>
      <c r="UWI2" s="201"/>
      <c r="UWJ2" s="201"/>
      <c r="UWK2" s="201"/>
      <c r="UWL2" s="201"/>
      <c r="UWM2" s="201"/>
      <c r="UWN2" s="201"/>
      <c r="UWO2" s="201"/>
      <c r="UWP2" s="201"/>
      <c r="UWQ2" s="201"/>
      <c r="UWR2" s="201"/>
      <c r="UWS2" s="201"/>
      <c r="UWT2" s="201"/>
      <c r="UWU2" s="201"/>
      <c r="UWV2" s="201"/>
      <c r="UWW2" s="201"/>
      <c r="UWX2" s="201"/>
      <c r="UWY2" s="201"/>
      <c r="UWZ2" s="201"/>
      <c r="UXA2" s="201"/>
      <c r="UXB2" s="201"/>
      <c r="UXC2" s="201"/>
      <c r="UXD2" s="201"/>
      <c r="UXE2" s="201"/>
      <c r="UXF2" s="201"/>
      <c r="UXG2" s="201"/>
      <c r="UXH2" s="201"/>
      <c r="UXI2" s="201"/>
      <c r="UXJ2" s="201"/>
      <c r="UXK2" s="201"/>
      <c r="UXL2" s="201"/>
      <c r="UXM2" s="201"/>
      <c r="UXN2" s="201"/>
      <c r="UXO2" s="201"/>
      <c r="UXP2" s="201"/>
      <c r="UXQ2" s="201"/>
      <c r="UXR2" s="201"/>
      <c r="UXS2" s="201"/>
      <c r="UXT2" s="201"/>
      <c r="UXU2" s="201"/>
      <c r="UXV2" s="201"/>
      <c r="UXW2" s="201"/>
      <c r="UXX2" s="201"/>
      <c r="UXY2" s="201"/>
      <c r="UXZ2" s="201"/>
      <c r="UYA2" s="201"/>
      <c r="UYB2" s="201"/>
      <c r="UYC2" s="201"/>
      <c r="UYD2" s="201"/>
      <c r="UYE2" s="201"/>
      <c r="UYF2" s="201"/>
      <c r="UYG2" s="201"/>
      <c r="UYH2" s="201"/>
      <c r="UYI2" s="201"/>
      <c r="UYJ2" s="201"/>
      <c r="UYK2" s="201"/>
      <c r="UYL2" s="201"/>
      <c r="UYM2" s="201"/>
      <c r="UYN2" s="201"/>
      <c r="UYO2" s="201"/>
      <c r="UYP2" s="201"/>
      <c r="UYQ2" s="201"/>
      <c r="UYR2" s="201"/>
      <c r="UYS2" s="201"/>
      <c r="UYT2" s="201"/>
      <c r="UYU2" s="201"/>
      <c r="UYV2" s="201"/>
      <c r="UYW2" s="201"/>
      <c r="UYX2" s="201"/>
      <c r="UYY2" s="201"/>
      <c r="UYZ2" s="201"/>
      <c r="UZA2" s="201"/>
      <c r="UZB2" s="201"/>
      <c r="UZC2" s="201"/>
      <c r="UZD2" s="201"/>
      <c r="UZE2" s="201"/>
      <c r="UZF2" s="201"/>
      <c r="UZG2" s="201"/>
      <c r="UZH2" s="201"/>
      <c r="UZI2" s="201"/>
      <c r="UZJ2" s="201"/>
      <c r="UZK2" s="201"/>
      <c r="UZL2" s="201"/>
      <c r="UZM2" s="201"/>
      <c r="UZN2" s="201"/>
      <c r="UZO2" s="201"/>
      <c r="UZP2" s="201"/>
      <c r="UZQ2" s="201"/>
      <c r="UZR2" s="201"/>
      <c r="UZS2" s="201"/>
      <c r="UZT2" s="201"/>
      <c r="UZU2" s="201"/>
      <c r="UZV2" s="201"/>
      <c r="UZW2" s="201"/>
      <c r="UZX2" s="201"/>
      <c r="UZY2" s="201"/>
      <c r="UZZ2" s="201"/>
      <c r="VAA2" s="201"/>
      <c r="VAB2" s="201"/>
      <c r="VAC2" s="201"/>
      <c r="VAD2" s="201"/>
      <c r="VAE2" s="201"/>
      <c r="VAF2" s="201"/>
      <c r="VAG2" s="201"/>
      <c r="VAH2" s="201"/>
      <c r="VAI2" s="201"/>
      <c r="VAJ2" s="201"/>
      <c r="VAK2" s="201"/>
      <c r="VAL2" s="201"/>
      <c r="VAM2" s="201"/>
      <c r="VAN2" s="201"/>
      <c r="VAO2" s="201"/>
      <c r="VAP2" s="201"/>
      <c r="VAQ2" s="201"/>
      <c r="VAR2" s="201"/>
      <c r="VAS2" s="201"/>
      <c r="VAT2" s="201"/>
      <c r="VAU2" s="201"/>
      <c r="VAV2" s="201"/>
      <c r="VAW2" s="201"/>
      <c r="VAX2" s="201"/>
      <c r="VAY2" s="201"/>
      <c r="VAZ2" s="201"/>
      <c r="VBA2" s="201"/>
      <c r="VBB2" s="201"/>
      <c r="VBC2" s="201"/>
      <c r="VBD2" s="201"/>
      <c r="VBE2" s="201"/>
      <c r="VBF2" s="201"/>
      <c r="VBG2" s="201"/>
      <c r="VBH2" s="201"/>
      <c r="VBI2" s="201"/>
      <c r="VBJ2" s="201"/>
      <c r="VBK2" s="201"/>
      <c r="VBL2" s="201"/>
      <c r="VBM2" s="201"/>
      <c r="VBN2" s="201"/>
      <c r="VBO2" s="201"/>
      <c r="VBP2" s="201"/>
      <c r="VBQ2" s="201"/>
      <c r="VBR2" s="201"/>
      <c r="VBS2" s="201"/>
      <c r="VBT2" s="201"/>
      <c r="VBU2" s="201"/>
      <c r="VBV2" s="201"/>
      <c r="VBW2" s="201"/>
      <c r="VBX2" s="201"/>
      <c r="VBY2" s="201"/>
      <c r="VBZ2" s="201"/>
      <c r="VCA2" s="201"/>
      <c r="VCB2" s="201"/>
      <c r="VCC2" s="201"/>
      <c r="VCD2" s="201"/>
      <c r="VCE2" s="201"/>
      <c r="VCF2" s="201"/>
      <c r="VCG2" s="201"/>
      <c r="VCH2" s="201"/>
      <c r="VCI2" s="201"/>
      <c r="VCJ2" s="201"/>
      <c r="VCK2" s="201"/>
      <c r="VCL2" s="201"/>
      <c r="VCM2" s="201"/>
      <c r="VCN2" s="201"/>
      <c r="VCO2" s="201"/>
      <c r="VCP2" s="201"/>
      <c r="VCQ2" s="201"/>
      <c r="VCR2" s="201"/>
      <c r="VCS2" s="201"/>
      <c r="VCT2" s="201"/>
      <c r="VCU2" s="201"/>
      <c r="VCV2" s="201"/>
      <c r="VCW2" s="201"/>
      <c r="VCX2" s="201"/>
      <c r="VCY2" s="201"/>
      <c r="VCZ2" s="201"/>
      <c r="VDA2" s="201"/>
      <c r="VDB2" s="201"/>
      <c r="VDC2" s="201"/>
      <c r="VDD2" s="201"/>
      <c r="VDE2" s="201"/>
      <c r="VDF2" s="201"/>
      <c r="VDG2" s="201"/>
      <c r="VDH2" s="201"/>
      <c r="VDI2" s="201"/>
      <c r="VDJ2" s="201"/>
      <c r="VDK2" s="201"/>
      <c r="VDL2" s="201"/>
      <c r="VDM2" s="201"/>
      <c r="VDN2" s="201"/>
      <c r="VDO2" s="201"/>
      <c r="VDP2" s="201"/>
      <c r="VDQ2" s="201"/>
      <c r="VDR2" s="201"/>
      <c r="VDS2" s="201"/>
      <c r="VDT2" s="201"/>
      <c r="VDU2" s="201"/>
      <c r="VDV2" s="201"/>
      <c r="VDW2" s="201"/>
      <c r="VDX2" s="201"/>
      <c r="VDY2" s="201"/>
      <c r="VDZ2" s="201"/>
      <c r="VEA2" s="201"/>
      <c r="VEB2" s="201"/>
      <c r="VEC2" s="201"/>
      <c r="VED2" s="201"/>
      <c r="VEE2" s="201"/>
      <c r="VEF2" s="201"/>
      <c r="VEG2" s="201"/>
      <c r="VEH2" s="201"/>
      <c r="VEI2" s="201"/>
      <c r="VEJ2" s="201"/>
      <c r="VEK2" s="201"/>
      <c r="VEL2" s="201"/>
      <c r="VEM2" s="201"/>
      <c r="VEN2" s="201"/>
      <c r="VEO2" s="201"/>
      <c r="VEP2" s="201"/>
      <c r="VEQ2" s="201"/>
      <c r="VER2" s="201"/>
      <c r="VES2" s="201"/>
      <c r="VET2" s="201"/>
      <c r="VEU2" s="201"/>
      <c r="VEV2" s="201"/>
      <c r="VEW2" s="201"/>
      <c r="VEX2" s="201"/>
      <c r="VEY2" s="201"/>
      <c r="VEZ2" s="201"/>
      <c r="VFA2" s="201"/>
      <c r="VFB2" s="201"/>
      <c r="VFC2" s="201"/>
      <c r="VFD2" s="201"/>
      <c r="VFE2" s="201"/>
      <c r="VFF2" s="201"/>
      <c r="VFG2" s="201"/>
      <c r="VFH2" s="201"/>
      <c r="VFI2" s="201"/>
      <c r="VFJ2" s="201"/>
      <c r="VFK2" s="201"/>
      <c r="VFL2" s="201"/>
      <c r="VFM2" s="201"/>
      <c r="VFN2" s="201"/>
      <c r="VFO2" s="201"/>
      <c r="VFP2" s="201"/>
      <c r="VFQ2" s="201"/>
      <c r="VFR2" s="201"/>
      <c r="VFS2" s="201"/>
      <c r="VFT2" s="201"/>
      <c r="VFU2" s="201"/>
      <c r="VFV2" s="201"/>
      <c r="VFW2" s="201"/>
      <c r="VFX2" s="201"/>
      <c r="VFY2" s="201"/>
      <c r="VFZ2" s="201"/>
      <c r="VGA2" s="201"/>
      <c r="VGB2" s="201"/>
      <c r="VGC2" s="201"/>
      <c r="VGD2" s="201"/>
      <c r="VGE2" s="201"/>
      <c r="VGF2" s="201"/>
      <c r="VGG2" s="201"/>
      <c r="VGH2" s="201"/>
      <c r="VGI2" s="201"/>
      <c r="VGJ2" s="201"/>
      <c r="VGK2" s="201"/>
      <c r="VGL2" s="201"/>
      <c r="VGM2" s="201"/>
      <c r="VGN2" s="201"/>
      <c r="VGO2" s="201"/>
      <c r="VGP2" s="201"/>
      <c r="VGQ2" s="201"/>
      <c r="VGR2" s="201"/>
      <c r="VGS2" s="201"/>
      <c r="VGT2" s="201"/>
      <c r="VGU2" s="201"/>
      <c r="VGV2" s="201"/>
      <c r="VGW2" s="201"/>
      <c r="VGX2" s="201"/>
      <c r="VGY2" s="201"/>
      <c r="VGZ2" s="201"/>
      <c r="VHA2" s="201"/>
      <c r="VHB2" s="201"/>
      <c r="VHC2" s="201"/>
      <c r="VHD2" s="201"/>
      <c r="VHE2" s="201"/>
      <c r="VHF2" s="201"/>
      <c r="VHG2" s="201"/>
      <c r="VHH2" s="201"/>
      <c r="VHI2" s="201"/>
      <c r="VHJ2" s="201"/>
      <c r="VHK2" s="201"/>
      <c r="VHL2" s="201"/>
      <c r="VHM2" s="201"/>
      <c r="VHN2" s="201"/>
      <c r="VHO2" s="201"/>
      <c r="VHP2" s="201"/>
      <c r="VHQ2" s="201"/>
      <c r="VHR2" s="201"/>
      <c r="VHS2" s="201"/>
      <c r="VHT2" s="201"/>
      <c r="VHU2" s="201"/>
      <c r="VHV2" s="201"/>
      <c r="VHW2" s="201"/>
      <c r="VHX2" s="201"/>
      <c r="VHY2" s="201"/>
      <c r="VHZ2" s="201"/>
      <c r="VIA2" s="201"/>
      <c r="VIB2" s="201"/>
      <c r="VIC2" s="201"/>
      <c r="VID2" s="201"/>
      <c r="VIE2" s="201"/>
      <c r="VIF2" s="201"/>
      <c r="VIG2" s="201"/>
      <c r="VIH2" s="201"/>
      <c r="VII2" s="201"/>
      <c r="VIJ2" s="201"/>
      <c r="VIK2" s="201"/>
      <c r="VIL2" s="201"/>
      <c r="VIM2" s="201"/>
      <c r="VIN2" s="201"/>
      <c r="VIO2" s="201"/>
      <c r="VIP2" s="201"/>
      <c r="VIQ2" s="201"/>
      <c r="VIR2" s="201"/>
      <c r="VIS2" s="201"/>
      <c r="VIT2" s="201"/>
      <c r="VIU2" s="201"/>
      <c r="VIV2" s="201"/>
      <c r="VIW2" s="201"/>
      <c r="VIX2" s="201"/>
      <c r="VIY2" s="201"/>
      <c r="VIZ2" s="201"/>
      <c r="VJA2" s="201"/>
      <c r="VJB2" s="201"/>
      <c r="VJC2" s="201"/>
      <c r="VJD2" s="201"/>
      <c r="VJE2" s="201"/>
      <c r="VJF2" s="201"/>
      <c r="VJG2" s="201"/>
      <c r="VJH2" s="201"/>
      <c r="VJI2" s="201"/>
      <c r="VJJ2" s="201"/>
      <c r="VJK2" s="201"/>
      <c r="VJL2" s="201"/>
      <c r="VJM2" s="201"/>
      <c r="VJN2" s="201"/>
      <c r="VJO2" s="201"/>
      <c r="VJP2" s="201"/>
      <c r="VJQ2" s="201"/>
      <c r="VJR2" s="201"/>
      <c r="VJS2" s="201"/>
      <c r="VJT2" s="201"/>
      <c r="VJU2" s="201"/>
      <c r="VJV2" s="201"/>
      <c r="VJW2" s="201"/>
      <c r="VJX2" s="201"/>
      <c r="VJY2" s="201"/>
      <c r="VJZ2" s="201"/>
      <c r="VKA2" s="201"/>
      <c r="VKB2" s="201"/>
      <c r="VKC2" s="201"/>
      <c r="VKD2" s="201"/>
      <c r="VKE2" s="201"/>
      <c r="VKF2" s="201"/>
      <c r="VKG2" s="201"/>
      <c r="VKH2" s="201"/>
      <c r="VKI2" s="201"/>
      <c r="VKJ2" s="201"/>
      <c r="VKK2" s="201"/>
      <c r="VKL2" s="201"/>
      <c r="VKM2" s="201"/>
      <c r="VKN2" s="201"/>
      <c r="VKO2" s="201"/>
      <c r="VKP2" s="201"/>
      <c r="VKQ2" s="201"/>
      <c r="VKR2" s="201"/>
      <c r="VKS2" s="201"/>
      <c r="VKT2" s="201"/>
      <c r="VKU2" s="201"/>
      <c r="VKV2" s="201"/>
      <c r="VKW2" s="201"/>
      <c r="VKX2" s="201"/>
      <c r="VKY2" s="201"/>
      <c r="VKZ2" s="201"/>
      <c r="VLA2" s="201"/>
      <c r="VLB2" s="201"/>
      <c r="VLC2" s="201"/>
      <c r="VLD2" s="201"/>
      <c r="VLE2" s="201"/>
      <c r="VLF2" s="201"/>
      <c r="VLG2" s="201"/>
      <c r="VLH2" s="201"/>
      <c r="VLI2" s="201"/>
      <c r="VLJ2" s="201"/>
      <c r="VLK2" s="201"/>
      <c r="VLL2" s="201"/>
      <c r="VLM2" s="201"/>
      <c r="VLN2" s="201"/>
      <c r="VLO2" s="201"/>
      <c r="VLP2" s="201"/>
      <c r="VLQ2" s="201"/>
      <c r="VLR2" s="201"/>
      <c r="VLS2" s="201"/>
      <c r="VLT2" s="201"/>
      <c r="VLU2" s="201"/>
      <c r="VLV2" s="201"/>
      <c r="VLW2" s="201"/>
      <c r="VLX2" s="201"/>
      <c r="VLY2" s="201"/>
      <c r="VLZ2" s="201"/>
      <c r="VMA2" s="201"/>
      <c r="VMB2" s="201"/>
      <c r="VMC2" s="201"/>
      <c r="VMD2" s="201"/>
      <c r="VME2" s="201"/>
      <c r="VMF2" s="201"/>
      <c r="VMG2" s="201"/>
      <c r="VMH2" s="201"/>
      <c r="VMI2" s="201"/>
      <c r="VMJ2" s="201"/>
      <c r="VMK2" s="201"/>
      <c r="VML2" s="201"/>
      <c r="VMM2" s="201"/>
      <c r="VMN2" s="201"/>
      <c r="VMO2" s="201"/>
      <c r="VMP2" s="201"/>
      <c r="VMQ2" s="201"/>
      <c r="VMR2" s="201"/>
      <c r="VMS2" s="201"/>
      <c r="VMT2" s="201"/>
      <c r="VMU2" s="201"/>
      <c r="VMV2" s="201"/>
      <c r="VMW2" s="201"/>
      <c r="VMX2" s="201"/>
      <c r="VMY2" s="201"/>
      <c r="VMZ2" s="201"/>
      <c r="VNA2" s="201"/>
      <c r="VNB2" s="201"/>
      <c r="VNC2" s="201"/>
      <c r="VND2" s="201"/>
      <c r="VNE2" s="201"/>
      <c r="VNF2" s="201"/>
      <c r="VNG2" s="201"/>
      <c r="VNH2" s="201"/>
      <c r="VNI2" s="201"/>
      <c r="VNJ2" s="201"/>
      <c r="VNK2" s="201"/>
      <c r="VNL2" s="201"/>
      <c r="VNM2" s="201"/>
      <c r="VNN2" s="201"/>
      <c r="VNO2" s="201"/>
      <c r="VNP2" s="201"/>
      <c r="VNQ2" s="201"/>
      <c r="VNR2" s="201"/>
      <c r="VNS2" s="201"/>
      <c r="VNT2" s="201"/>
      <c r="VNU2" s="201"/>
      <c r="VNV2" s="201"/>
      <c r="VNW2" s="201"/>
      <c r="VNX2" s="201"/>
      <c r="VNY2" s="201"/>
      <c r="VNZ2" s="201"/>
      <c r="VOA2" s="201"/>
      <c r="VOB2" s="201"/>
      <c r="VOC2" s="201"/>
      <c r="VOD2" s="201"/>
      <c r="VOE2" s="201"/>
      <c r="VOF2" s="201"/>
      <c r="VOG2" s="201"/>
      <c r="VOH2" s="201"/>
      <c r="VOI2" s="201"/>
      <c r="VOJ2" s="201"/>
      <c r="VOK2" s="201"/>
      <c r="VOL2" s="201"/>
      <c r="VOM2" s="201"/>
      <c r="VON2" s="201"/>
      <c r="VOO2" s="201"/>
      <c r="VOP2" s="201"/>
      <c r="VOQ2" s="201"/>
      <c r="VOR2" s="201"/>
      <c r="VOS2" s="201"/>
      <c r="VOT2" s="201"/>
      <c r="VOU2" s="201"/>
      <c r="VOV2" s="201"/>
      <c r="VOW2" s="201"/>
      <c r="VOX2" s="201"/>
      <c r="VOY2" s="201"/>
      <c r="VOZ2" s="201"/>
      <c r="VPA2" s="201"/>
      <c r="VPB2" s="201"/>
      <c r="VPC2" s="201"/>
      <c r="VPD2" s="201"/>
      <c r="VPE2" s="201"/>
      <c r="VPF2" s="201"/>
      <c r="VPG2" s="201"/>
      <c r="VPH2" s="201"/>
      <c r="VPI2" s="201"/>
      <c r="VPJ2" s="201"/>
      <c r="VPK2" s="201"/>
      <c r="VPL2" s="201"/>
      <c r="VPM2" s="201"/>
      <c r="VPN2" s="201"/>
      <c r="VPO2" s="201"/>
      <c r="VPP2" s="201"/>
      <c r="VPQ2" s="201"/>
      <c r="VPR2" s="201"/>
      <c r="VPS2" s="201"/>
      <c r="VPT2" s="201"/>
      <c r="VPU2" s="201"/>
      <c r="VPV2" s="201"/>
      <c r="VPW2" s="201"/>
      <c r="VPX2" s="201"/>
      <c r="VPY2" s="201"/>
      <c r="VPZ2" s="201"/>
      <c r="VQA2" s="201"/>
      <c r="VQB2" s="201"/>
      <c r="VQC2" s="201"/>
      <c r="VQD2" s="201"/>
      <c r="VQE2" s="201"/>
      <c r="VQF2" s="201"/>
      <c r="VQG2" s="201"/>
      <c r="VQH2" s="201"/>
      <c r="VQI2" s="201"/>
      <c r="VQJ2" s="201"/>
      <c r="VQK2" s="201"/>
      <c r="VQL2" s="201"/>
      <c r="VQM2" s="201"/>
      <c r="VQN2" s="201"/>
      <c r="VQO2" s="201"/>
      <c r="VQP2" s="201"/>
      <c r="VQQ2" s="201"/>
      <c r="VQR2" s="201"/>
      <c r="VQS2" s="201"/>
      <c r="VQT2" s="201"/>
      <c r="VQU2" s="201"/>
      <c r="VQV2" s="201"/>
      <c r="VQW2" s="201"/>
      <c r="VQX2" s="201"/>
      <c r="VQY2" s="201"/>
      <c r="VQZ2" s="201"/>
      <c r="VRA2" s="201"/>
      <c r="VRB2" s="201"/>
      <c r="VRC2" s="201"/>
      <c r="VRD2" s="201"/>
      <c r="VRE2" s="201"/>
      <c r="VRF2" s="201"/>
      <c r="VRG2" s="201"/>
      <c r="VRH2" s="201"/>
      <c r="VRI2" s="201"/>
      <c r="VRJ2" s="201"/>
      <c r="VRK2" s="201"/>
      <c r="VRL2" s="201"/>
      <c r="VRM2" s="201"/>
      <c r="VRN2" s="201"/>
      <c r="VRO2" s="201"/>
      <c r="VRP2" s="201"/>
      <c r="VRQ2" s="201"/>
      <c r="VRR2" s="201"/>
      <c r="VRS2" s="201"/>
      <c r="VRT2" s="201"/>
      <c r="VRU2" s="201"/>
      <c r="VRV2" s="201"/>
      <c r="VRW2" s="201"/>
      <c r="VRX2" s="201"/>
      <c r="VRY2" s="201"/>
      <c r="VRZ2" s="201"/>
      <c r="VSA2" s="201"/>
      <c r="VSB2" s="201"/>
      <c r="VSC2" s="201"/>
      <c r="VSD2" s="201"/>
      <c r="VSE2" s="201"/>
      <c r="VSF2" s="201"/>
      <c r="VSG2" s="201"/>
      <c r="VSH2" s="201"/>
      <c r="VSI2" s="201"/>
      <c r="VSJ2" s="201"/>
      <c r="VSK2" s="201"/>
      <c r="VSL2" s="201"/>
      <c r="VSM2" s="201"/>
      <c r="VSN2" s="201"/>
      <c r="VSO2" s="201"/>
      <c r="VSP2" s="201"/>
      <c r="VSQ2" s="201"/>
      <c r="VSR2" s="201"/>
      <c r="VSS2" s="201"/>
      <c r="VST2" s="201"/>
      <c r="VSU2" s="201"/>
      <c r="VSV2" s="201"/>
      <c r="VSW2" s="201"/>
      <c r="VSX2" s="201"/>
      <c r="VSY2" s="201"/>
      <c r="VSZ2" s="201"/>
      <c r="VTA2" s="201"/>
      <c r="VTB2" s="201"/>
      <c r="VTC2" s="201"/>
      <c r="VTD2" s="201"/>
      <c r="VTE2" s="201"/>
      <c r="VTF2" s="201"/>
      <c r="VTG2" s="201"/>
      <c r="VTH2" s="201"/>
      <c r="VTI2" s="201"/>
      <c r="VTJ2" s="201"/>
      <c r="VTK2" s="201"/>
      <c r="VTL2" s="201"/>
      <c r="VTM2" s="201"/>
      <c r="VTN2" s="201"/>
      <c r="VTO2" s="201"/>
      <c r="VTP2" s="201"/>
      <c r="VTQ2" s="201"/>
      <c r="VTR2" s="201"/>
      <c r="VTS2" s="201"/>
      <c r="VTT2" s="201"/>
      <c r="VTU2" s="201"/>
      <c r="VTV2" s="201"/>
      <c r="VTW2" s="201"/>
      <c r="VTX2" s="201"/>
      <c r="VTY2" s="201"/>
      <c r="VTZ2" s="201"/>
      <c r="VUA2" s="201"/>
      <c r="VUB2" s="201"/>
      <c r="VUC2" s="201"/>
      <c r="VUD2" s="201"/>
      <c r="VUE2" s="201"/>
      <c r="VUF2" s="201"/>
      <c r="VUG2" s="201"/>
      <c r="VUH2" s="201"/>
      <c r="VUI2" s="201"/>
      <c r="VUJ2" s="201"/>
      <c r="VUK2" s="201"/>
      <c r="VUL2" s="201"/>
      <c r="VUM2" s="201"/>
      <c r="VUN2" s="201"/>
      <c r="VUO2" s="201"/>
      <c r="VUP2" s="201"/>
      <c r="VUQ2" s="201"/>
      <c r="VUR2" s="201"/>
      <c r="VUS2" s="201"/>
      <c r="VUT2" s="201"/>
      <c r="VUU2" s="201"/>
      <c r="VUV2" s="201"/>
      <c r="VUW2" s="201"/>
      <c r="VUX2" s="201"/>
      <c r="VUY2" s="201"/>
      <c r="VUZ2" s="201"/>
      <c r="VVA2" s="201"/>
      <c r="VVB2" s="201"/>
      <c r="VVC2" s="201"/>
      <c r="VVD2" s="201"/>
      <c r="VVE2" s="201"/>
      <c r="VVF2" s="201"/>
      <c r="VVG2" s="201"/>
      <c r="VVH2" s="201"/>
      <c r="VVI2" s="201"/>
      <c r="VVJ2" s="201"/>
      <c r="VVK2" s="201"/>
      <c r="VVL2" s="201"/>
      <c r="VVM2" s="201"/>
      <c r="VVN2" s="201"/>
      <c r="VVO2" s="201"/>
      <c r="VVP2" s="201"/>
      <c r="VVQ2" s="201"/>
      <c r="VVR2" s="201"/>
      <c r="VVS2" s="201"/>
      <c r="VVT2" s="201"/>
      <c r="VVU2" s="201"/>
      <c r="VVV2" s="201"/>
      <c r="VVW2" s="201"/>
      <c r="VVX2" s="201"/>
      <c r="VVY2" s="201"/>
      <c r="VVZ2" s="201"/>
      <c r="VWA2" s="201"/>
      <c r="VWB2" s="201"/>
      <c r="VWC2" s="201"/>
      <c r="VWD2" s="201"/>
      <c r="VWE2" s="201"/>
      <c r="VWF2" s="201"/>
      <c r="VWG2" s="201"/>
      <c r="VWH2" s="201"/>
      <c r="VWI2" s="201"/>
      <c r="VWJ2" s="201"/>
      <c r="VWK2" s="201"/>
      <c r="VWL2" s="201"/>
      <c r="VWM2" s="201"/>
      <c r="VWN2" s="201"/>
      <c r="VWO2" s="201"/>
      <c r="VWP2" s="201"/>
      <c r="VWQ2" s="201"/>
      <c r="VWR2" s="201"/>
      <c r="VWS2" s="201"/>
      <c r="VWT2" s="201"/>
      <c r="VWU2" s="201"/>
      <c r="VWV2" s="201"/>
      <c r="VWW2" s="201"/>
      <c r="VWX2" s="201"/>
      <c r="VWY2" s="201"/>
      <c r="VWZ2" s="201"/>
      <c r="VXA2" s="201"/>
      <c r="VXB2" s="201"/>
      <c r="VXC2" s="201"/>
      <c r="VXD2" s="201"/>
      <c r="VXE2" s="201"/>
      <c r="VXF2" s="201"/>
      <c r="VXG2" s="201"/>
      <c r="VXH2" s="201"/>
      <c r="VXI2" s="201"/>
      <c r="VXJ2" s="201"/>
      <c r="VXK2" s="201"/>
      <c r="VXL2" s="201"/>
      <c r="VXM2" s="201"/>
      <c r="VXN2" s="201"/>
      <c r="VXO2" s="201"/>
      <c r="VXP2" s="201"/>
      <c r="VXQ2" s="201"/>
      <c r="VXR2" s="201"/>
      <c r="VXS2" s="201"/>
      <c r="VXT2" s="201"/>
      <c r="VXU2" s="201"/>
      <c r="VXV2" s="201"/>
      <c r="VXW2" s="201"/>
      <c r="VXX2" s="201"/>
      <c r="VXY2" s="201"/>
      <c r="VXZ2" s="201"/>
      <c r="VYA2" s="201"/>
      <c r="VYB2" s="201"/>
      <c r="VYC2" s="201"/>
      <c r="VYD2" s="201"/>
      <c r="VYE2" s="201"/>
      <c r="VYF2" s="201"/>
      <c r="VYG2" s="201"/>
      <c r="VYH2" s="201"/>
      <c r="VYI2" s="201"/>
      <c r="VYJ2" s="201"/>
      <c r="VYK2" s="201"/>
      <c r="VYL2" s="201"/>
      <c r="VYM2" s="201"/>
      <c r="VYN2" s="201"/>
      <c r="VYO2" s="201"/>
      <c r="VYP2" s="201"/>
      <c r="VYQ2" s="201"/>
      <c r="VYR2" s="201"/>
      <c r="VYS2" s="201"/>
      <c r="VYT2" s="201"/>
      <c r="VYU2" s="201"/>
      <c r="VYV2" s="201"/>
      <c r="VYW2" s="201"/>
      <c r="VYX2" s="201"/>
      <c r="VYY2" s="201"/>
      <c r="VYZ2" s="201"/>
      <c r="VZA2" s="201"/>
      <c r="VZB2" s="201"/>
      <c r="VZC2" s="201"/>
      <c r="VZD2" s="201"/>
      <c r="VZE2" s="201"/>
      <c r="VZF2" s="201"/>
      <c r="VZG2" s="201"/>
      <c r="VZH2" s="201"/>
      <c r="VZI2" s="201"/>
      <c r="VZJ2" s="201"/>
      <c r="VZK2" s="201"/>
      <c r="VZL2" s="201"/>
      <c r="VZM2" s="201"/>
      <c r="VZN2" s="201"/>
      <c r="VZO2" s="201"/>
      <c r="VZP2" s="201"/>
      <c r="VZQ2" s="201"/>
      <c r="VZR2" s="201"/>
      <c r="VZS2" s="201"/>
      <c r="VZT2" s="201"/>
      <c r="VZU2" s="201"/>
      <c r="VZV2" s="201"/>
      <c r="VZW2" s="201"/>
      <c r="VZX2" s="201"/>
      <c r="VZY2" s="201"/>
      <c r="VZZ2" s="201"/>
      <c r="WAA2" s="201"/>
      <c r="WAB2" s="201"/>
      <c r="WAC2" s="201"/>
      <c r="WAD2" s="201"/>
      <c r="WAE2" s="201"/>
      <c r="WAF2" s="201"/>
      <c r="WAG2" s="201"/>
      <c r="WAH2" s="201"/>
      <c r="WAI2" s="201"/>
      <c r="WAJ2" s="201"/>
      <c r="WAK2" s="201"/>
      <c r="WAL2" s="201"/>
      <c r="WAM2" s="201"/>
      <c r="WAN2" s="201"/>
      <c r="WAO2" s="201"/>
      <c r="WAP2" s="201"/>
      <c r="WAQ2" s="201"/>
      <c r="WAR2" s="201"/>
      <c r="WAS2" s="201"/>
      <c r="WAT2" s="201"/>
      <c r="WAU2" s="201"/>
      <c r="WAV2" s="201"/>
      <c r="WAW2" s="201"/>
      <c r="WAX2" s="201"/>
      <c r="WAY2" s="201"/>
      <c r="WAZ2" s="201"/>
      <c r="WBA2" s="201"/>
      <c r="WBB2" s="201"/>
      <c r="WBC2" s="201"/>
      <c r="WBD2" s="201"/>
      <c r="WBE2" s="201"/>
      <c r="WBF2" s="201"/>
      <c r="WBG2" s="201"/>
      <c r="WBH2" s="201"/>
      <c r="WBI2" s="201"/>
      <c r="WBJ2" s="201"/>
      <c r="WBK2" s="201"/>
      <c r="WBL2" s="201"/>
      <c r="WBM2" s="201"/>
      <c r="WBN2" s="201"/>
      <c r="WBO2" s="201"/>
      <c r="WBP2" s="201"/>
      <c r="WBQ2" s="201"/>
      <c r="WBR2" s="201"/>
      <c r="WBS2" s="201"/>
      <c r="WBT2" s="201"/>
      <c r="WBU2" s="201"/>
      <c r="WBV2" s="201"/>
      <c r="WBW2" s="201"/>
      <c r="WBX2" s="201"/>
      <c r="WBY2" s="201"/>
      <c r="WBZ2" s="201"/>
      <c r="WCA2" s="201"/>
      <c r="WCB2" s="201"/>
      <c r="WCC2" s="201"/>
      <c r="WCD2" s="201"/>
      <c r="WCE2" s="201"/>
      <c r="WCF2" s="201"/>
      <c r="WCG2" s="201"/>
      <c r="WCH2" s="201"/>
      <c r="WCI2" s="201"/>
      <c r="WCJ2" s="201"/>
      <c r="WCK2" s="201"/>
      <c r="WCL2" s="201"/>
      <c r="WCM2" s="201"/>
      <c r="WCN2" s="201"/>
      <c r="WCO2" s="201"/>
      <c r="WCP2" s="201"/>
      <c r="WCQ2" s="201"/>
      <c r="WCR2" s="201"/>
      <c r="WCS2" s="201"/>
      <c r="WCT2" s="201"/>
      <c r="WCU2" s="201"/>
      <c r="WCV2" s="201"/>
      <c r="WCW2" s="201"/>
      <c r="WCX2" s="201"/>
      <c r="WCY2" s="201"/>
      <c r="WCZ2" s="201"/>
      <c r="WDA2" s="201"/>
      <c r="WDB2" s="201"/>
      <c r="WDC2" s="201"/>
      <c r="WDD2" s="201"/>
      <c r="WDE2" s="201"/>
      <c r="WDF2" s="201"/>
      <c r="WDG2" s="201"/>
      <c r="WDH2" s="201"/>
      <c r="WDI2" s="201"/>
      <c r="WDJ2" s="201"/>
      <c r="WDK2" s="201"/>
      <c r="WDL2" s="201"/>
      <c r="WDM2" s="201"/>
      <c r="WDN2" s="201"/>
      <c r="WDO2" s="201"/>
      <c r="WDP2" s="201"/>
      <c r="WDQ2" s="201"/>
      <c r="WDR2" s="201"/>
      <c r="WDS2" s="201"/>
      <c r="WDT2" s="201"/>
      <c r="WDU2" s="201"/>
      <c r="WDV2" s="201"/>
      <c r="WDW2" s="201"/>
      <c r="WDX2" s="201"/>
      <c r="WDY2" s="201"/>
      <c r="WDZ2" s="201"/>
      <c r="WEA2" s="201"/>
      <c r="WEB2" s="201"/>
      <c r="WEC2" s="201"/>
      <c r="WED2" s="201"/>
      <c r="WEE2" s="201"/>
      <c r="WEF2" s="201"/>
      <c r="WEG2" s="201"/>
      <c r="WEH2" s="201"/>
      <c r="WEI2" s="201"/>
      <c r="WEJ2" s="201"/>
      <c r="WEK2" s="201"/>
      <c r="WEL2" s="201"/>
      <c r="WEM2" s="201"/>
      <c r="WEN2" s="201"/>
      <c r="WEO2" s="201"/>
      <c r="WEP2" s="201"/>
      <c r="WEQ2" s="201"/>
      <c r="WER2" s="201"/>
      <c r="WES2" s="201"/>
      <c r="WET2" s="201"/>
      <c r="WEU2" s="201"/>
      <c r="WEV2" s="201"/>
      <c r="WEW2" s="201"/>
      <c r="WEX2" s="201"/>
      <c r="WEY2" s="201"/>
      <c r="WEZ2" s="201"/>
      <c r="WFA2" s="201"/>
      <c r="WFB2" s="201"/>
      <c r="WFC2" s="201"/>
      <c r="WFD2" s="201"/>
      <c r="WFE2" s="201"/>
      <c r="WFF2" s="201"/>
      <c r="WFG2" s="201"/>
      <c r="WFH2" s="201"/>
      <c r="WFI2" s="201"/>
      <c r="WFJ2" s="201"/>
      <c r="WFK2" s="201"/>
      <c r="WFL2" s="201"/>
      <c r="WFM2" s="201"/>
      <c r="WFN2" s="201"/>
      <c r="WFO2" s="201"/>
      <c r="WFP2" s="201"/>
      <c r="WFQ2" s="201"/>
      <c r="WFR2" s="201"/>
      <c r="WFS2" s="201"/>
      <c r="WFT2" s="201"/>
      <c r="WFU2" s="201"/>
      <c r="WFV2" s="201"/>
      <c r="WFW2" s="201"/>
      <c r="WFX2" s="201"/>
      <c r="WFY2" s="201"/>
      <c r="WFZ2" s="201"/>
      <c r="WGA2" s="201"/>
      <c r="WGB2" s="201"/>
      <c r="WGC2" s="201"/>
      <c r="WGD2" s="201"/>
      <c r="WGE2" s="201"/>
      <c r="WGF2" s="201"/>
      <c r="WGG2" s="201"/>
      <c r="WGH2" s="201"/>
      <c r="WGI2" s="201"/>
      <c r="WGJ2" s="201"/>
      <c r="WGK2" s="201"/>
      <c r="WGL2" s="201"/>
      <c r="WGM2" s="201"/>
      <c r="WGN2" s="201"/>
      <c r="WGO2" s="201"/>
      <c r="WGP2" s="201"/>
      <c r="WGQ2" s="201"/>
      <c r="WGR2" s="201"/>
      <c r="WGS2" s="201"/>
      <c r="WGT2" s="201"/>
      <c r="WGU2" s="201"/>
      <c r="WGV2" s="201"/>
      <c r="WGW2" s="201"/>
      <c r="WGX2" s="201"/>
      <c r="WGY2" s="201"/>
      <c r="WGZ2" s="201"/>
      <c r="WHA2" s="201"/>
      <c r="WHB2" s="201"/>
      <c r="WHC2" s="201"/>
      <c r="WHD2" s="201"/>
      <c r="WHE2" s="201"/>
      <c r="WHF2" s="201"/>
      <c r="WHG2" s="201"/>
      <c r="WHH2" s="201"/>
      <c r="WHI2" s="201"/>
      <c r="WHJ2" s="201"/>
      <c r="WHK2" s="201"/>
      <c r="WHL2" s="201"/>
      <c r="WHM2" s="201"/>
      <c r="WHN2" s="201"/>
      <c r="WHO2" s="201"/>
      <c r="WHP2" s="201"/>
      <c r="WHQ2" s="201"/>
      <c r="WHR2" s="201"/>
      <c r="WHS2" s="201"/>
      <c r="WHT2" s="201"/>
      <c r="WHU2" s="201"/>
      <c r="WHV2" s="201"/>
      <c r="WHW2" s="201"/>
      <c r="WHX2" s="201"/>
      <c r="WHY2" s="201"/>
      <c r="WHZ2" s="201"/>
      <c r="WIA2" s="201"/>
      <c r="WIB2" s="201"/>
      <c r="WIC2" s="201"/>
      <c r="WID2" s="201"/>
      <c r="WIE2" s="201"/>
      <c r="WIF2" s="201"/>
      <c r="WIG2" s="201"/>
      <c r="WIH2" s="201"/>
      <c r="WII2" s="201"/>
      <c r="WIJ2" s="201"/>
      <c r="WIK2" s="201"/>
      <c r="WIL2" s="201"/>
      <c r="WIM2" s="201"/>
      <c r="WIN2" s="201"/>
      <c r="WIO2" s="201"/>
      <c r="WIP2" s="201"/>
      <c r="WIQ2" s="201"/>
      <c r="WIR2" s="201"/>
      <c r="WIS2" s="201"/>
      <c r="WIT2" s="201"/>
      <c r="WIU2" s="201"/>
      <c r="WIV2" s="201"/>
      <c r="WIW2" s="201"/>
      <c r="WIX2" s="201"/>
      <c r="WIY2" s="201"/>
      <c r="WIZ2" s="201"/>
      <c r="WJA2" s="201"/>
      <c r="WJB2" s="201"/>
      <c r="WJC2" s="201"/>
      <c r="WJD2" s="201"/>
      <c r="WJE2" s="201"/>
      <c r="WJF2" s="201"/>
      <c r="WJG2" s="201"/>
      <c r="WJH2" s="201"/>
      <c r="WJI2" s="201"/>
      <c r="WJJ2" s="201"/>
      <c r="WJK2" s="201"/>
      <c r="WJL2" s="201"/>
      <c r="WJM2" s="201"/>
      <c r="WJN2" s="201"/>
      <c r="WJO2" s="201"/>
      <c r="WJP2" s="201"/>
      <c r="WJQ2" s="201"/>
      <c r="WJR2" s="201"/>
      <c r="WJS2" s="201"/>
      <c r="WJT2" s="201"/>
      <c r="WJU2" s="201"/>
      <c r="WJV2" s="201"/>
      <c r="WJW2" s="201"/>
      <c r="WJX2" s="201"/>
      <c r="WJY2" s="201"/>
      <c r="WJZ2" s="201"/>
      <c r="WKA2" s="201"/>
      <c r="WKB2" s="201"/>
      <c r="WKC2" s="201"/>
      <c r="WKD2" s="201"/>
      <c r="WKE2" s="201"/>
      <c r="WKF2" s="201"/>
      <c r="WKG2" s="201"/>
      <c r="WKH2" s="201"/>
      <c r="WKI2" s="201"/>
      <c r="WKJ2" s="201"/>
      <c r="WKK2" s="201"/>
      <c r="WKL2" s="201"/>
      <c r="WKM2" s="201"/>
      <c r="WKN2" s="201"/>
      <c r="WKO2" s="201"/>
      <c r="WKP2" s="201"/>
      <c r="WKQ2" s="201"/>
      <c r="WKR2" s="201"/>
      <c r="WKS2" s="201"/>
      <c r="WKT2" s="201"/>
      <c r="WKU2" s="201"/>
      <c r="WKV2" s="201"/>
      <c r="WKW2" s="201"/>
      <c r="WKX2" s="201"/>
      <c r="WKY2" s="201"/>
      <c r="WKZ2" s="201"/>
      <c r="WLA2" s="201"/>
      <c r="WLB2" s="201"/>
      <c r="WLC2" s="201"/>
      <c r="WLD2" s="201"/>
      <c r="WLE2" s="201"/>
      <c r="WLF2" s="201"/>
      <c r="WLG2" s="201"/>
      <c r="WLH2" s="201"/>
      <c r="WLI2" s="201"/>
      <c r="WLJ2" s="201"/>
      <c r="WLK2" s="201"/>
      <c r="WLL2" s="201"/>
      <c r="WLM2" s="201"/>
      <c r="WLN2" s="201"/>
      <c r="WLO2" s="201"/>
      <c r="WLP2" s="201"/>
      <c r="WLQ2" s="201"/>
      <c r="WLR2" s="201"/>
      <c r="WLS2" s="201"/>
      <c r="WLT2" s="201"/>
      <c r="WLU2" s="201"/>
      <c r="WLV2" s="201"/>
      <c r="WLW2" s="201"/>
      <c r="WLX2" s="201"/>
      <c r="WLY2" s="201"/>
      <c r="WLZ2" s="201"/>
      <c r="WMA2" s="201"/>
      <c r="WMB2" s="201"/>
      <c r="WMC2" s="201"/>
      <c r="WMD2" s="201"/>
      <c r="WME2" s="201"/>
      <c r="WMF2" s="201"/>
      <c r="WMG2" s="201"/>
      <c r="WMH2" s="201"/>
      <c r="WMI2" s="201"/>
      <c r="WMJ2" s="201"/>
      <c r="WMK2" s="201"/>
      <c r="WML2" s="201"/>
      <c r="WMM2" s="201"/>
      <c r="WMN2" s="201"/>
      <c r="WMO2" s="201"/>
      <c r="WMP2" s="201"/>
      <c r="WMQ2" s="201"/>
      <c r="WMR2" s="201"/>
      <c r="WMS2" s="201"/>
      <c r="WMT2" s="201"/>
      <c r="WMU2" s="201"/>
      <c r="WMV2" s="201"/>
      <c r="WMW2" s="201"/>
      <c r="WMX2" s="201"/>
      <c r="WMY2" s="201"/>
      <c r="WMZ2" s="201"/>
      <c r="WNA2" s="201"/>
      <c r="WNB2" s="201"/>
      <c r="WNC2" s="201"/>
      <c r="WND2" s="201"/>
      <c r="WNE2" s="201"/>
      <c r="WNF2" s="201"/>
      <c r="WNG2" s="201"/>
      <c r="WNH2" s="201"/>
      <c r="WNI2" s="201"/>
      <c r="WNJ2" s="201"/>
      <c r="WNK2" s="201"/>
      <c r="WNL2" s="201"/>
      <c r="WNM2" s="201"/>
      <c r="WNN2" s="201"/>
      <c r="WNO2" s="201"/>
      <c r="WNP2" s="201"/>
      <c r="WNQ2" s="201"/>
      <c r="WNR2" s="201"/>
      <c r="WNS2" s="201"/>
      <c r="WNT2" s="201"/>
      <c r="WNU2" s="201"/>
      <c r="WNV2" s="201"/>
      <c r="WNW2" s="201"/>
      <c r="WNX2" s="201"/>
      <c r="WNY2" s="201"/>
      <c r="WNZ2" s="201"/>
      <c r="WOA2" s="201"/>
      <c r="WOB2" s="201"/>
      <c r="WOC2" s="201"/>
      <c r="WOD2" s="201"/>
      <c r="WOE2" s="201"/>
      <c r="WOF2" s="201"/>
      <c r="WOG2" s="201"/>
      <c r="WOH2" s="201"/>
      <c r="WOI2" s="201"/>
      <c r="WOJ2" s="201"/>
      <c r="WOK2" s="201"/>
      <c r="WOL2" s="201"/>
      <c r="WOM2" s="201"/>
      <c r="WON2" s="201"/>
      <c r="WOO2" s="201"/>
      <c r="WOP2" s="201"/>
      <c r="WOQ2" s="201"/>
      <c r="WOR2" s="201"/>
      <c r="WOS2" s="201"/>
      <c r="WOT2" s="201"/>
      <c r="WOU2" s="201"/>
      <c r="WOV2" s="201"/>
      <c r="WOW2" s="201"/>
      <c r="WOX2" s="201"/>
      <c r="WOY2" s="201"/>
      <c r="WOZ2" s="201"/>
      <c r="WPA2" s="201"/>
      <c r="WPB2" s="201"/>
      <c r="WPC2" s="201"/>
      <c r="WPD2" s="201"/>
      <c r="WPE2" s="201"/>
      <c r="WPF2" s="201"/>
      <c r="WPG2" s="201"/>
      <c r="WPH2" s="201"/>
      <c r="WPI2" s="201"/>
      <c r="WPJ2" s="201"/>
      <c r="WPK2" s="201"/>
      <c r="WPL2" s="201"/>
      <c r="WPM2" s="201"/>
      <c r="WPN2" s="201"/>
      <c r="WPO2" s="201"/>
      <c r="WPP2" s="201"/>
      <c r="WPQ2" s="201"/>
      <c r="WPR2" s="201"/>
      <c r="WPS2" s="201"/>
      <c r="WPT2" s="201"/>
      <c r="WPU2" s="201"/>
      <c r="WPV2" s="201"/>
      <c r="WPW2" s="201"/>
      <c r="WPX2" s="201"/>
      <c r="WPY2" s="201"/>
      <c r="WPZ2" s="201"/>
      <c r="WQA2" s="201"/>
      <c r="WQB2" s="201"/>
      <c r="WQC2" s="201"/>
      <c r="WQD2" s="201"/>
      <c r="WQE2" s="201"/>
      <c r="WQF2" s="201"/>
      <c r="WQG2" s="201"/>
      <c r="WQH2" s="201"/>
      <c r="WQI2" s="201"/>
      <c r="WQJ2" s="201"/>
      <c r="WQK2" s="201"/>
      <c r="WQL2" s="201"/>
      <c r="WQM2" s="201"/>
      <c r="WQN2" s="201"/>
      <c r="WQO2" s="201"/>
      <c r="WQP2" s="201"/>
      <c r="WQQ2" s="201"/>
      <c r="WQR2" s="201"/>
      <c r="WQS2" s="201"/>
      <c r="WQT2" s="201"/>
      <c r="WQU2" s="201"/>
      <c r="WQV2" s="201"/>
      <c r="WQW2" s="201"/>
      <c r="WQX2" s="201"/>
      <c r="WQY2" s="201"/>
      <c r="WQZ2" s="201"/>
      <c r="WRA2" s="201"/>
      <c r="WRB2" s="201"/>
      <c r="WRC2" s="201"/>
      <c r="WRD2" s="201"/>
      <c r="WRE2" s="201"/>
      <c r="WRF2" s="201"/>
      <c r="WRG2" s="201"/>
      <c r="WRH2" s="201"/>
      <c r="WRI2" s="201"/>
      <c r="WRJ2" s="201"/>
      <c r="WRK2" s="201"/>
      <c r="WRL2" s="201"/>
      <c r="WRM2" s="201"/>
      <c r="WRN2" s="201"/>
      <c r="WRO2" s="201"/>
      <c r="WRP2" s="201"/>
      <c r="WRQ2" s="201"/>
      <c r="WRR2" s="201"/>
      <c r="WRS2" s="201"/>
      <c r="WRT2" s="201"/>
      <c r="WRU2" s="201"/>
      <c r="WRV2" s="201"/>
      <c r="WRW2" s="201"/>
      <c r="WRX2" s="201"/>
      <c r="WRY2" s="201"/>
      <c r="WRZ2" s="201"/>
      <c r="WSA2" s="201"/>
      <c r="WSB2" s="201"/>
      <c r="WSC2" s="201"/>
      <c r="WSD2" s="201"/>
      <c r="WSE2" s="201"/>
      <c r="WSF2" s="201"/>
      <c r="WSG2" s="201"/>
      <c r="WSH2" s="201"/>
      <c r="WSI2" s="201"/>
      <c r="WSJ2" s="201"/>
      <c r="WSK2" s="201"/>
      <c r="WSL2" s="201"/>
      <c r="WSM2" s="201"/>
      <c r="WSN2" s="201"/>
      <c r="WSO2" s="201"/>
      <c r="WSP2" s="201"/>
      <c r="WSQ2" s="201"/>
      <c r="WSR2" s="201"/>
      <c r="WSS2" s="201"/>
      <c r="WST2" s="201"/>
      <c r="WSU2" s="201"/>
      <c r="WSV2" s="201"/>
      <c r="WSW2" s="201"/>
      <c r="WSX2" s="201"/>
      <c r="WSY2" s="201"/>
      <c r="WSZ2" s="201"/>
      <c r="WTA2" s="201"/>
      <c r="WTB2" s="201"/>
      <c r="WTC2" s="201"/>
      <c r="WTD2" s="201"/>
      <c r="WTE2" s="201"/>
      <c r="WTF2" s="201"/>
      <c r="WTG2" s="201"/>
      <c r="WTH2" s="201"/>
      <c r="WTI2" s="201"/>
      <c r="WTJ2" s="201"/>
      <c r="WTK2" s="201"/>
      <c r="WTL2" s="201"/>
      <c r="WTM2" s="201"/>
      <c r="WTN2" s="201"/>
      <c r="WTO2" s="201"/>
      <c r="WTP2" s="201"/>
      <c r="WTQ2" s="201"/>
      <c r="WTR2" s="201"/>
      <c r="WTS2" s="201"/>
      <c r="WTT2" s="201"/>
      <c r="WTU2" s="201"/>
      <c r="WTV2" s="201"/>
      <c r="WTW2" s="201"/>
      <c r="WTX2" s="201"/>
      <c r="WTY2" s="201"/>
      <c r="WTZ2" s="201"/>
      <c r="WUA2" s="201"/>
      <c r="WUB2" s="201"/>
      <c r="WUC2" s="201"/>
      <c r="WUD2" s="201"/>
      <c r="WUE2" s="201"/>
      <c r="WUF2" s="201"/>
      <c r="WUG2" s="201"/>
      <c r="WUH2" s="201"/>
      <c r="WUI2" s="201"/>
      <c r="WUJ2" s="201"/>
      <c r="WUK2" s="201"/>
      <c r="WUL2" s="201"/>
      <c r="WUM2" s="201"/>
      <c r="WUN2" s="201"/>
      <c r="WUO2" s="201"/>
      <c r="WUP2" s="201"/>
      <c r="WUQ2" s="201"/>
      <c r="WUR2" s="201"/>
      <c r="WUS2" s="201"/>
      <c r="WUT2" s="201"/>
      <c r="WUU2" s="201"/>
      <c r="WUV2" s="201"/>
      <c r="WUW2" s="201"/>
      <c r="WUX2" s="201"/>
      <c r="WUY2" s="201"/>
      <c r="WUZ2" s="201"/>
      <c r="WVA2" s="201"/>
      <c r="WVB2" s="201"/>
      <c r="WVC2" s="201"/>
      <c r="WVD2" s="201"/>
      <c r="WVE2" s="201"/>
      <c r="WVF2" s="201"/>
      <c r="WVG2" s="201"/>
      <c r="WVH2" s="201"/>
      <c r="WVI2" s="201"/>
      <c r="WVJ2" s="201"/>
      <c r="WVK2" s="201"/>
      <c r="WVL2" s="201"/>
      <c r="WVM2" s="201"/>
      <c r="WVN2" s="201"/>
      <c r="WVO2" s="201"/>
      <c r="WVP2" s="201"/>
      <c r="WVQ2" s="201"/>
      <c r="WVR2" s="201"/>
      <c r="WVS2" s="201"/>
      <c r="WVT2" s="201"/>
      <c r="WVU2" s="201"/>
      <c r="WVV2" s="201"/>
      <c r="WVW2" s="201"/>
      <c r="WVX2" s="201"/>
      <c r="WVY2" s="201"/>
      <c r="WVZ2" s="201"/>
      <c r="WWA2" s="201"/>
      <c r="WWB2" s="201"/>
      <c r="WWC2" s="201"/>
      <c r="WWD2" s="201"/>
      <c r="WWE2" s="201"/>
      <c r="WWF2" s="201"/>
      <c r="WWG2" s="201"/>
      <c r="WWH2" s="201"/>
      <c r="WWI2" s="201"/>
      <c r="WWJ2" s="201"/>
      <c r="WWK2" s="201"/>
      <c r="WWL2" s="201"/>
      <c r="WWM2" s="201"/>
      <c r="WWN2" s="201"/>
      <c r="WWO2" s="201"/>
      <c r="WWP2" s="201"/>
      <c r="WWQ2" s="201"/>
      <c r="WWR2" s="201"/>
      <c r="WWS2" s="201"/>
      <c r="WWT2" s="201"/>
      <c r="WWU2" s="201"/>
      <c r="WWV2" s="201"/>
      <c r="WWW2" s="201"/>
      <c r="WWX2" s="201"/>
      <c r="WWY2" s="201"/>
      <c r="WWZ2" s="201"/>
      <c r="WXA2" s="201"/>
      <c r="WXB2" s="201"/>
      <c r="WXC2" s="201"/>
      <c r="WXD2" s="201"/>
      <c r="WXE2" s="201"/>
      <c r="WXF2" s="201"/>
      <c r="WXG2" s="201"/>
      <c r="WXH2" s="201"/>
      <c r="WXI2" s="201"/>
      <c r="WXJ2" s="201"/>
      <c r="WXK2" s="201"/>
      <c r="WXL2" s="201"/>
      <c r="WXM2" s="201"/>
      <c r="WXN2" s="201"/>
      <c r="WXO2" s="201"/>
      <c r="WXP2" s="201"/>
      <c r="WXQ2" s="201"/>
      <c r="WXR2" s="201"/>
      <c r="WXS2" s="201"/>
      <c r="WXT2" s="201"/>
      <c r="WXU2" s="201"/>
      <c r="WXV2" s="201"/>
      <c r="WXW2" s="201"/>
      <c r="WXX2" s="201"/>
      <c r="WXY2" s="201"/>
      <c r="WXZ2" s="201"/>
      <c r="WYA2" s="201"/>
      <c r="WYB2" s="201"/>
      <c r="WYC2" s="201"/>
      <c r="WYD2" s="201"/>
      <c r="WYE2" s="201"/>
      <c r="WYF2" s="201"/>
      <c r="WYG2" s="201"/>
      <c r="WYH2" s="201"/>
      <c r="WYI2" s="201"/>
      <c r="WYJ2" s="201"/>
      <c r="WYK2" s="201"/>
      <c r="WYL2" s="201"/>
      <c r="WYM2" s="201"/>
      <c r="WYN2" s="201"/>
      <c r="WYO2" s="201"/>
      <c r="WYP2" s="201"/>
      <c r="WYQ2" s="201"/>
      <c r="WYR2" s="201"/>
      <c r="WYS2" s="201"/>
      <c r="WYT2" s="201"/>
      <c r="WYU2" s="201"/>
      <c r="WYV2" s="201"/>
      <c r="WYW2" s="201"/>
      <c r="WYX2" s="201"/>
      <c r="WYY2" s="201"/>
      <c r="WYZ2" s="201"/>
      <c r="WZA2" s="201"/>
      <c r="WZB2" s="201"/>
      <c r="WZC2" s="201"/>
      <c r="WZD2" s="201"/>
      <c r="WZE2" s="201"/>
      <c r="WZF2" s="201"/>
      <c r="WZG2" s="201"/>
      <c r="WZH2" s="201"/>
      <c r="WZI2" s="201"/>
      <c r="WZJ2" s="201"/>
      <c r="WZK2" s="201"/>
      <c r="WZL2" s="201"/>
      <c r="WZM2" s="201"/>
      <c r="WZN2" s="201"/>
      <c r="WZO2" s="201"/>
      <c r="WZP2" s="201"/>
      <c r="WZQ2" s="201"/>
      <c r="WZR2" s="201"/>
      <c r="WZS2" s="201"/>
      <c r="WZT2" s="201"/>
      <c r="WZU2" s="201"/>
      <c r="WZV2" s="201"/>
      <c r="WZW2" s="201"/>
      <c r="WZX2" s="201"/>
      <c r="WZY2" s="201"/>
      <c r="WZZ2" s="201"/>
      <c r="XAA2" s="201"/>
      <c r="XAB2" s="201"/>
      <c r="XAC2" s="201"/>
      <c r="XAD2" s="201"/>
      <c r="XAE2" s="201"/>
      <c r="XAF2" s="201"/>
      <c r="XAG2" s="201"/>
      <c r="XAH2" s="201"/>
      <c r="XAI2" s="201"/>
      <c r="XAJ2" s="201"/>
      <c r="XAK2" s="201"/>
      <c r="XAL2" s="201"/>
      <c r="XAM2" s="201"/>
      <c r="XAN2" s="201"/>
      <c r="XAO2" s="201"/>
      <c r="XAP2" s="201"/>
      <c r="XAQ2" s="201"/>
      <c r="XAR2" s="201"/>
      <c r="XAS2" s="201"/>
      <c r="XAT2" s="201"/>
      <c r="XAU2" s="201"/>
      <c r="XAV2" s="201"/>
      <c r="XAW2" s="201"/>
      <c r="XAX2" s="201"/>
      <c r="XAY2" s="201"/>
      <c r="XAZ2" s="201"/>
      <c r="XBA2" s="201"/>
      <c r="XBB2" s="201"/>
      <c r="XBC2" s="201"/>
      <c r="XBD2" s="201"/>
      <c r="XBE2" s="201"/>
      <c r="XBF2" s="201"/>
      <c r="XBG2" s="201"/>
      <c r="XBH2" s="201"/>
      <c r="XBI2" s="201"/>
      <c r="XBJ2" s="201"/>
      <c r="XBK2" s="201"/>
      <c r="XBL2" s="201"/>
      <c r="XBM2" s="201"/>
      <c r="XBN2" s="201"/>
      <c r="XBO2" s="201"/>
      <c r="XBP2" s="201"/>
      <c r="XBQ2" s="201"/>
      <c r="XBR2" s="201"/>
      <c r="XBS2" s="201"/>
      <c r="XBT2" s="201"/>
      <c r="XBU2" s="201"/>
      <c r="XBV2" s="201"/>
      <c r="XBW2" s="201"/>
      <c r="XBX2" s="201"/>
      <c r="XBY2" s="201"/>
      <c r="XBZ2" s="201"/>
      <c r="XCA2" s="201"/>
      <c r="XCB2" s="201"/>
      <c r="XCC2" s="201"/>
      <c r="XCD2" s="201"/>
      <c r="XCE2" s="201"/>
      <c r="XCF2" s="201"/>
      <c r="XCG2" s="201"/>
      <c r="XCH2" s="201"/>
      <c r="XCI2" s="201"/>
      <c r="XCJ2" s="201"/>
      <c r="XCK2" s="201"/>
      <c r="XCL2" s="201"/>
      <c r="XCM2" s="201"/>
      <c r="XCN2" s="201"/>
      <c r="XCO2" s="201"/>
      <c r="XCP2" s="201"/>
      <c r="XCQ2" s="201"/>
      <c r="XCR2" s="201"/>
      <c r="XCS2" s="201"/>
      <c r="XCT2" s="201"/>
      <c r="XCU2" s="201"/>
      <c r="XCV2" s="201"/>
      <c r="XCW2" s="201"/>
      <c r="XCX2" s="201"/>
      <c r="XCY2" s="201"/>
      <c r="XCZ2" s="201"/>
      <c r="XDA2" s="201"/>
      <c r="XDB2" s="201"/>
      <c r="XDC2" s="201"/>
      <c r="XDD2" s="201"/>
      <c r="XDE2" s="201"/>
      <c r="XDF2" s="201"/>
      <c r="XDG2" s="201"/>
      <c r="XDH2" s="201"/>
      <c r="XDI2" s="201"/>
      <c r="XDJ2" s="201"/>
      <c r="XDK2" s="201"/>
      <c r="XDL2" s="201"/>
      <c r="XDM2" s="201"/>
      <c r="XDN2" s="201"/>
      <c r="XDO2" s="201"/>
      <c r="XDP2" s="201"/>
      <c r="XDQ2" s="201"/>
      <c r="XDR2" s="201"/>
      <c r="XDS2" s="201"/>
      <c r="XDT2" s="201"/>
      <c r="XDU2" s="201"/>
      <c r="XDV2" s="201"/>
      <c r="XDW2" s="201"/>
      <c r="XDX2" s="201"/>
      <c r="XDY2" s="201"/>
      <c r="XDZ2" s="201"/>
      <c r="XEA2" s="201"/>
      <c r="XEB2" s="201"/>
      <c r="XEC2" s="201"/>
      <c r="XED2" s="201"/>
      <c r="XEE2" s="201"/>
      <c r="XEF2" s="201"/>
      <c r="XEG2" s="201"/>
      <c r="XEH2" s="201"/>
      <c r="XEI2" s="201"/>
      <c r="XEJ2" s="201"/>
      <c r="XEK2" s="201"/>
      <c r="XEL2" s="201"/>
      <c r="XEM2" s="201"/>
      <c r="XEN2" s="201"/>
      <c r="XEO2" s="201"/>
      <c r="XEP2" s="201"/>
      <c r="XEQ2" s="201"/>
      <c r="XER2" s="201"/>
      <c r="XES2" s="201"/>
      <c r="XET2" s="201"/>
      <c r="XEU2" s="201"/>
      <c r="XEV2" s="201"/>
      <c r="XEW2" s="201"/>
      <c r="XEX2" s="201"/>
      <c r="XEY2" s="201"/>
      <c r="XEZ2" s="201"/>
      <c r="XFA2" s="201"/>
      <c r="XFB2" s="201"/>
      <c r="XFC2" s="201"/>
    </row>
    <row r="3" spans="1:16383" ht="70.150000000000006" customHeight="1">
      <c r="A3" s="107">
        <v>2</v>
      </c>
      <c r="B3" s="124" t="s">
        <v>51</v>
      </c>
      <c r="C3" s="90" t="s">
        <v>52</v>
      </c>
      <c r="D3" s="95" t="s">
        <v>53</v>
      </c>
      <c r="E3" s="96" t="s">
        <v>54</v>
      </c>
      <c r="F3" s="96"/>
      <c r="G3" s="96"/>
      <c r="H3" s="96"/>
      <c r="I3" s="96"/>
      <c r="J3" s="128" t="s">
        <v>55</v>
      </c>
      <c r="K3" s="255" t="s">
        <v>56</v>
      </c>
      <c r="L3" s="155" t="s">
        <v>4209</v>
      </c>
      <c r="M3" s="97" t="s">
        <v>57</v>
      </c>
      <c r="N3" s="98" t="s">
        <v>58</v>
      </c>
      <c r="O3" s="99" t="s">
        <v>59</v>
      </c>
      <c r="P3" s="100" t="s">
        <v>60</v>
      </c>
      <c r="Q3" s="100" t="s">
        <v>48</v>
      </c>
      <c r="R3" s="89" t="s">
        <v>61</v>
      </c>
      <c r="S3" s="100" t="s">
        <v>62</v>
      </c>
      <c r="T3" s="129"/>
      <c r="U3" s="129"/>
      <c r="V3" s="129"/>
      <c r="W3" s="129"/>
      <c r="X3" s="129"/>
      <c r="Y3" s="130"/>
      <c r="Z3" s="131"/>
      <c r="AA3" s="131"/>
      <c r="AB3" s="131"/>
      <c r="AC3" s="131"/>
      <c r="AD3" s="127"/>
      <c r="AF3" s="121">
        <f>COUNTA('All Details for ACID Pastor'!$T3:$AB3)</f>
        <v>0</v>
      </c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63"/>
      <c r="AX3" s="163"/>
      <c r="AZ3" s="121" t="s">
        <v>49</v>
      </c>
      <c r="BA3" s="163"/>
      <c r="BB3" s="163"/>
      <c r="BC3" s="163"/>
      <c r="BF3" s="163">
        <f>COUNTA('All Details for ACID Pastor'!$T3:$AB3)</f>
        <v>0</v>
      </c>
    </row>
    <row r="4" spans="1:16383" ht="76.5" customHeight="1">
      <c r="A4" s="107">
        <v>3</v>
      </c>
      <c r="B4" s="124" t="s">
        <v>66</v>
      </c>
      <c r="C4" s="90" t="s">
        <v>67</v>
      </c>
      <c r="D4" s="91" t="s">
        <v>4203</v>
      </c>
      <c r="E4" s="91" t="s">
        <v>68</v>
      </c>
      <c r="F4" s="95"/>
      <c r="G4" s="95"/>
      <c r="H4" s="95"/>
      <c r="I4" s="95"/>
      <c r="J4" s="115"/>
      <c r="K4" s="193" t="s">
        <v>69</v>
      </c>
      <c r="L4" s="155" t="s">
        <v>4209</v>
      </c>
      <c r="M4" s="172" t="s">
        <v>70</v>
      </c>
      <c r="N4" s="93" t="s">
        <v>71</v>
      </c>
      <c r="O4" s="92" t="s">
        <v>72</v>
      </c>
      <c r="P4" s="88" t="s">
        <v>73</v>
      </c>
      <c r="Q4" s="88" t="s">
        <v>48</v>
      </c>
      <c r="R4" s="86" t="s">
        <v>74</v>
      </c>
      <c r="S4" s="88" t="s">
        <v>62</v>
      </c>
      <c r="T4" s="94" t="s">
        <v>75</v>
      </c>
      <c r="U4" s="94"/>
      <c r="V4" s="94"/>
      <c r="W4" s="94"/>
      <c r="X4" s="94"/>
      <c r="Y4" s="131"/>
      <c r="Z4" s="131"/>
      <c r="AA4" s="131"/>
      <c r="AB4" s="131"/>
      <c r="AC4" s="131"/>
      <c r="AD4" s="127"/>
      <c r="AF4" s="121">
        <f>COUNTA('All Details for ACID Pastor'!$T4:$AB4)</f>
        <v>1</v>
      </c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63"/>
      <c r="AX4" s="163"/>
      <c r="AZ4" s="121" t="s">
        <v>49</v>
      </c>
      <c r="BA4" s="163"/>
      <c r="BB4" s="163"/>
      <c r="BC4" s="163"/>
      <c r="BF4" s="163">
        <f>COUNTA('All Details for ACID Pastor'!$T4:$AB4)</f>
        <v>1</v>
      </c>
    </row>
    <row r="5" spans="1:16383" ht="70.150000000000006" customHeight="1">
      <c r="A5" s="107">
        <v>4</v>
      </c>
      <c r="B5" s="124" t="s">
        <v>80</v>
      </c>
      <c r="C5" s="90" t="s">
        <v>81</v>
      </c>
      <c r="D5" s="91" t="s">
        <v>82</v>
      </c>
      <c r="E5" s="95" t="s">
        <v>54</v>
      </c>
      <c r="F5" s="95"/>
      <c r="G5" s="95"/>
      <c r="H5" s="95"/>
      <c r="I5" s="95"/>
      <c r="J5" s="115" t="s">
        <v>55</v>
      </c>
      <c r="K5" s="193" t="s">
        <v>83</v>
      </c>
      <c r="L5" s="155" t="s">
        <v>4209</v>
      </c>
      <c r="M5" s="172"/>
      <c r="N5" s="93" t="s">
        <v>84</v>
      </c>
      <c r="O5" s="92" t="s">
        <v>85</v>
      </c>
      <c r="P5" s="88" t="s">
        <v>86</v>
      </c>
      <c r="Q5" s="88" t="s">
        <v>48</v>
      </c>
      <c r="R5" s="86" t="s">
        <v>87</v>
      </c>
      <c r="S5" s="88" t="s">
        <v>62</v>
      </c>
      <c r="T5" s="94" t="s">
        <v>75</v>
      </c>
      <c r="U5" s="94"/>
      <c r="V5" s="94"/>
      <c r="W5" s="94"/>
      <c r="X5" s="94"/>
      <c r="Y5" s="131"/>
      <c r="Z5" s="131"/>
      <c r="AA5" s="131"/>
      <c r="AB5" s="131"/>
      <c r="AC5" s="131"/>
      <c r="AD5" s="127"/>
      <c r="AF5" s="121">
        <f>COUNTA('All Details for ACID Pastor'!$T5:$AB5)</f>
        <v>1</v>
      </c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63"/>
      <c r="AX5" s="163"/>
      <c r="AZ5" s="121" t="s">
        <v>49</v>
      </c>
      <c r="BA5" s="163"/>
      <c r="BB5" s="163"/>
      <c r="BC5" s="163"/>
      <c r="BF5" s="163">
        <f>COUNTA('All Details for ACID Pastor'!$T5:$AB5)</f>
        <v>1</v>
      </c>
    </row>
    <row r="6" spans="1:16383" ht="70.150000000000006" customHeight="1">
      <c r="A6" s="107">
        <v>5</v>
      </c>
      <c r="B6" s="124" t="s">
        <v>88</v>
      </c>
      <c r="C6" s="90" t="s">
        <v>89</v>
      </c>
      <c r="D6" s="95" t="s">
        <v>53</v>
      </c>
      <c r="E6" s="95" t="s">
        <v>54</v>
      </c>
      <c r="F6" s="95"/>
      <c r="G6" s="95"/>
      <c r="H6" s="95"/>
      <c r="I6" s="95"/>
      <c r="J6" s="115" t="s">
        <v>55</v>
      </c>
      <c r="K6" s="193" t="s">
        <v>90</v>
      </c>
      <c r="L6" s="155" t="s">
        <v>4209</v>
      </c>
      <c r="M6" s="172" t="s">
        <v>91</v>
      </c>
      <c r="N6" s="93" t="s">
        <v>92</v>
      </c>
      <c r="O6" s="92" t="s">
        <v>93</v>
      </c>
      <c r="P6" s="88" t="s">
        <v>94</v>
      </c>
      <c r="Q6" s="88" t="s">
        <v>48</v>
      </c>
      <c r="R6" s="86" t="s">
        <v>95</v>
      </c>
      <c r="S6" s="88" t="s">
        <v>62</v>
      </c>
      <c r="T6" s="94" t="s">
        <v>96</v>
      </c>
      <c r="U6" s="94" t="s">
        <v>97</v>
      </c>
      <c r="V6" s="94" t="s">
        <v>77</v>
      </c>
      <c r="W6" s="94" t="s">
        <v>98</v>
      </c>
      <c r="X6" s="94" t="s">
        <v>78</v>
      </c>
      <c r="Y6" s="127" t="s">
        <v>79</v>
      </c>
      <c r="Z6" s="131"/>
      <c r="AA6" s="127" t="s">
        <v>99</v>
      </c>
      <c r="AB6" s="131"/>
      <c r="AC6" s="131" t="s">
        <v>4220</v>
      </c>
      <c r="AD6" s="127"/>
      <c r="AF6" s="121">
        <f>COUNTA('All Details for ACID Pastor'!$T6:$AB6)</f>
        <v>7</v>
      </c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63"/>
      <c r="AX6" s="163"/>
      <c r="AZ6" s="121" t="s">
        <v>49</v>
      </c>
      <c r="BA6" s="163"/>
      <c r="BB6" s="163"/>
      <c r="BC6" s="163"/>
      <c r="BF6" s="163">
        <v>8</v>
      </c>
    </row>
    <row r="7" spans="1:16383" ht="76.5" customHeight="1">
      <c r="A7" s="107">
        <v>6</v>
      </c>
      <c r="B7" s="124" t="s">
        <v>101</v>
      </c>
      <c r="C7" s="90" t="s">
        <v>102</v>
      </c>
      <c r="D7" s="95" t="s">
        <v>53</v>
      </c>
      <c r="E7" s="95" t="s">
        <v>54</v>
      </c>
      <c r="F7" s="95"/>
      <c r="G7" s="95"/>
      <c r="H7" s="95"/>
      <c r="I7" s="95"/>
      <c r="J7" s="115" t="s">
        <v>103</v>
      </c>
      <c r="K7" s="193" t="s">
        <v>104</v>
      </c>
      <c r="L7" s="155" t="s">
        <v>4209</v>
      </c>
      <c r="M7" s="172" t="s">
        <v>105</v>
      </c>
      <c r="N7" s="93" t="s">
        <v>106</v>
      </c>
      <c r="O7" s="92" t="s">
        <v>107</v>
      </c>
      <c r="P7" s="88" t="s">
        <v>73</v>
      </c>
      <c r="Q7" s="88" t="s">
        <v>48</v>
      </c>
      <c r="R7" s="86" t="s">
        <v>108</v>
      </c>
      <c r="S7" s="88" t="s">
        <v>62</v>
      </c>
      <c r="T7" s="94" t="s">
        <v>96</v>
      </c>
      <c r="U7" s="94" t="s">
        <v>97</v>
      </c>
      <c r="V7" s="94" t="s">
        <v>77</v>
      </c>
      <c r="W7" s="94" t="s">
        <v>98</v>
      </c>
      <c r="X7" s="94" t="s">
        <v>109</v>
      </c>
      <c r="Y7" s="127" t="s">
        <v>110</v>
      </c>
      <c r="Z7" s="127" t="s">
        <v>99</v>
      </c>
      <c r="AA7" s="127" t="s">
        <v>99</v>
      </c>
      <c r="AB7" s="127" t="s">
        <v>99</v>
      </c>
      <c r="AC7" s="131"/>
      <c r="AD7" s="127"/>
      <c r="AF7" s="121">
        <f>COUNTA('All Details for ACID Pastor'!$T7:$AB7)</f>
        <v>9</v>
      </c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63"/>
      <c r="AX7" s="163"/>
      <c r="AZ7" s="121" t="s">
        <v>49</v>
      </c>
      <c r="BA7" s="163"/>
      <c r="BB7" s="163"/>
      <c r="BC7" s="163"/>
      <c r="BF7" s="163">
        <f>COUNTA('All Details for ACID Pastor'!$T7:$AB7)</f>
        <v>9</v>
      </c>
    </row>
    <row r="8" spans="1:16383" ht="70.150000000000006" customHeight="1">
      <c r="A8" s="107">
        <v>7</v>
      </c>
      <c r="B8" s="124" t="s">
        <v>111</v>
      </c>
      <c r="C8" s="90" t="s">
        <v>112</v>
      </c>
      <c r="D8" s="95" t="s">
        <v>41</v>
      </c>
      <c r="E8" s="95" t="s">
        <v>54</v>
      </c>
      <c r="F8" s="95"/>
      <c r="G8" s="95"/>
      <c r="H8" s="95"/>
      <c r="I8" s="95"/>
      <c r="J8" s="115" t="s">
        <v>113</v>
      </c>
      <c r="K8" s="193" t="s">
        <v>114</v>
      </c>
      <c r="L8" s="155" t="s">
        <v>4209</v>
      </c>
      <c r="M8" s="172" t="s">
        <v>115</v>
      </c>
      <c r="N8" s="93" t="s">
        <v>116</v>
      </c>
      <c r="O8" s="92" t="s">
        <v>117</v>
      </c>
      <c r="P8" s="88" t="s">
        <v>47</v>
      </c>
      <c r="Q8" s="88" t="s">
        <v>48</v>
      </c>
      <c r="R8" s="86" t="s">
        <v>118</v>
      </c>
      <c r="S8" s="88" t="s">
        <v>62</v>
      </c>
      <c r="T8" s="94" t="s">
        <v>75</v>
      </c>
      <c r="U8" s="94" t="s">
        <v>119</v>
      </c>
      <c r="V8" s="94" t="s">
        <v>120</v>
      </c>
      <c r="W8" s="94" t="s">
        <v>98</v>
      </c>
      <c r="X8" s="94" t="s">
        <v>78</v>
      </c>
      <c r="Y8" s="127" t="s">
        <v>121</v>
      </c>
      <c r="Z8" s="131"/>
      <c r="AA8" s="131"/>
      <c r="AB8" s="131"/>
      <c r="AC8" s="131"/>
      <c r="AD8" s="127"/>
      <c r="AF8" s="121">
        <f>COUNTA('All Details for ACID Pastor'!$T8:$AB8)</f>
        <v>6</v>
      </c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63"/>
      <c r="AX8" s="163"/>
      <c r="AZ8" s="121" t="s">
        <v>49</v>
      </c>
      <c r="BA8" s="163"/>
      <c r="BB8" s="163"/>
      <c r="BC8" s="163"/>
      <c r="BF8" s="163">
        <f>COUNTA('All Details for ACID Pastor'!$T8:$AB8)</f>
        <v>6</v>
      </c>
    </row>
    <row r="9" spans="1:16383" ht="70.150000000000006" customHeight="1">
      <c r="A9" s="107">
        <v>8</v>
      </c>
      <c r="B9" s="124" t="s">
        <v>122</v>
      </c>
      <c r="C9" s="90" t="s">
        <v>123</v>
      </c>
      <c r="D9" s="95" t="s">
        <v>53</v>
      </c>
      <c r="E9" s="95" t="s">
        <v>54</v>
      </c>
      <c r="F9" s="95"/>
      <c r="G9" s="95"/>
      <c r="H9" s="95"/>
      <c r="I9" s="95"/>
      <c r="J9" s="115" t="s">
        <v>55</v>
      </c>
      <c r="K9" s="193" t="s">
        <v>124</v>
      </c>
      <c r="L9" s="155" t="s">
        <v>4209</v>
      </c>
      <c r="M9" s="172" t="s">
        <v>125</v>
      </c>
      <c r="N9" s="93" t="s">
        <v>126</v>
      </c>
      <c r="O9" s="92" t="s">
        <v>127</v>
      </c>
      <c r="P9" s="88" t="s">
        <v>47</v>
      </c>
      <c r="Q9" s="88" t="s">
        <v>48</v>
      </c>
      <c r="R9" s="86" t="s">
        <v>128</v>
      </c>
      <c r="S9" s="88" t="s">
        <v>62</v>
      </c>
      <c r="T9" s="94"/>
      <c r="U9" s="94" t="s">
        <v>129</v>
      </c>
      <c r="V9" s="94" t="s">
        <v>129</v>
      </c>
      <c r="W9" s="94" t="s">
        <v>129</v>
      </c>
      <c r="X9" s="94" t="s">
        <v>129</v>
      </c>
      <c r="Y9" s="131" t="s">
        <v>129</v>
      </c>
      <c r="Z9" s="131" t="s">
        <v>129</v>
      </c>
      <c r="AA9" s="131" t="s">
        <v>129</v>
      </c>
      <c r="AB9" s="131" t="s">
        <v>129</v>
      </c>
      <c r="AC9" s="131" t="s">
        <v>129</v>
      </c>
      <c r="AD9" s="127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63"/>
      <c r="AX9" s="163"/>
      <c r="AZ9" s="121" t="s">
        <v>49</v>
      </c>
      <c r="BA9" s="163"/>
      <c r="BB9" s="163">
        <v>9</v>
      </c>
      <c r="BC9" s="163"/>
      <c r="BF9" s="163">
        <v>9</v>
      </c>
    </row>
    <row r="10" spans="1:16383" ht="70.150000000000006" customHeight="1">
      <c r="A10" s="107">
        <v>9</v>
      </c>
      <c r="B10" s="124" t="s">
        <v>130</v>
      </c>
      <c r="C10" s="90" t="s">
        <v>131</v>
      </c>
      <c r="D10" s="95" t="s">
        <v>4204</v>
      </c>
      <c r="E10" s="95" t="s">
        <v>54</v>
      </c>
      <c r="F10" s="95"/>
      <c r="G10" s="95"/>
      <c r="H10" s="95"/>
      <c r="I10" s="95"/>
      <c r="J10" s="115" t="s">
        <v>133</v>
      </c>
      <c r="K10" s="193" t="s">
        <v>134</v>
      </c>
      <c r="L10" s="155" t="s">
        <v>4209</v>
      </c>
      <c r="M10" s="172"/>
      <c r="N10" s="93" t="s">
        <v>135</v>
      </c>
      <c r="O10" s="92" t="s">
        <v>136</v>
      </c>
      <c r="P10" s="88" t="s">
        <v>47</v>
      </c>
      <c r="Q10" s="88" t="s">
        <v>48</v>
      </c>
      <c r="R10" s="86" t="s">
        <v>137</v>
      </c>
      <c r="S10" s="88" t="s">
        <v>62</v>
      </c>
      <c r="T10" s="94" t="s">
        <v>96</v>
      </c>
      <c r="U10" s="94" t="s">
        <v>119</v>
      </c>
      <c r="V10" s="94" t="s">
        <v>77</v>
      </c>
      <c r="W10" s="94" t="s">
        <v>98</v>
      </c>
      <c r="X10" s="94" t="s">
        <v>78</v>
      </c>
      <c r="Y10" s="127" t="s">
        <v>99</v>
      </c>
      <c r="Z10" s="127" t="s">
        <v>99</v>
      </c>
      <c r="AA10" s="127" t="s">
        <v>99</v>
      </c>
      <c r="AB10" s="131"/>
      <c r="AC10" s="131"/>
      <c r="AD10" s="127"/>
      <c r="AF10" s="121">
        <f>COUNTA('All Details for ACID Pastor'!$T10:$AB10)</f>
        <v>8</v>
      </c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63"/>
      <c r="AX10" s="163"/>
      <c r="AZ10" s="121" t="s">
        <v>49</v>
      </c>
      <c r="BA10" s="163"/>
      <c r="BB10" s="163"/>
      <c r="BC10" s="163"/>
      <c r="BF10" s="163">
        <f>COUNTA('All Details for ACID Pastor'!$T10:$AB10)</f>
        <v>8</v>
      </c>
    </row>
    <row r="11" spans="1:16383" ht="70.150000000000006" customHeight="1">
      <c r="A11" s="107">
        <v>10</v>
      </c>
      <c r="B11" s="124" t="s">
        <v>140</v>
      </c>
      <c r="C11" s="90" t="s">
        <v>141</v>
      </c>
      <c r="D11" s="95" t="s">
        <v>53</v>
      </c>
      <c r="E11" s="95" t="s">
        <v>142</v>
      </c>
      <c r="F11" s="95"/>
      <c r="G11" s="95"/>
      <c r="H11" s="95"/>
      <c r="I11" s="95"/>
      <c r="J11" s="115" t="s">
        <v>103</v>
      </c>
      <c r="K11" s="193" t="s">
        <v>143</v>
      </c>
      <c r="L11" s="155" t="s">
        <v>4201</v>
      </c>
      <c r="M11" s="172" t="s">
        <v>144</v>
      </c>
      <c r="N11" s="93" t="s">
        <v>145</v>
      </c>
      <c r="O11" s="92" t="s">
        <v>146</v>
      </c>
      <c r="P11" s="88" t="s">
        <v>94</v>
      </c>
      <c r="Q11" s="88" t="s">
        <v>48</v>
      </c>
      <c r="R11" s="86" t="s">
        <v>147</v>
      </c>
      <c r="S11" s="88" t="s">
        <v>62</v>
      </c>
      <c r="T11" s="94" t="s">
        <v>148</v>
      </c>
      <c r="U11" s="94" t="s">
        <v>149</v>
      </c>
      <c r="V11" s="94" t="s">
        <v>149</v>
      </c>
      <c r="W11" s="94" t="s">
        <v>149</v>
      </c>
      <c r="X11" s="94" t="s">
        <v>149</v>
      </c>
      <c r="Y11" s="94" t="s">
        <v>149</v>
      </c>
      <c r="Z11" s="131"/>
      <c r="AA11" s="131"/>
      <c r="AB11" s="131"/>
      <c r="AC11" s="131"/>
      <c r="AD11" s="127"/>
      <c r="AF11" s="121">
        <f>COUNTA('All Details for ACID Pastor'!$T11:$AB11)</f>
        <v>6</v>
      </c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63"/>
      <c r="AX11" s="163"/>
      <c r="AZ11" s="121" t="s">
        <v>150</v>
      </c>
      <c r="BA11" s="163"/>
      <c r="BB11" s="163"/>
      <c r="BC11" s="163"/>
      <c r="BF11" s="163">
        <f>COUNTA('All Details for ACID Pastor'!$T11:$AB11)</f>
        <v>6</v>
      </c>
    </row>
    <row r="12" spans="1:16383" ht="70.150000000000006" customHeight="1">
      <c r="A12" s="107">
        <v>11</v>
      </c>
      <c r="B12" s="124" t="s">
        <v>151</v>
      </c>
      <c r="C12" s="90" t="s">
        <v>152</v>
      </c>
      <c r="D12" s="95" t="s">
        <v>53</v>
      </c>
      <c r="E12" s="95"/>
      <c r="F12" s="95"/>
      <c r="G12" s="95"/>
      <c r="H12" s="95"/>
      <c r="I12" s="95"/>
      <c r="J12" s="115" t="s">
        <v>55</v>
      </c>
      <c r="K12" s="193" t="s">
        <v>153</v>
      </c>
      <c r="L12" s="155" t="s">
        <v>4209</v>
      </c>
      <c r="M12" s="172" t="s">
        <v>154</v>
      </c>
      <c r="N12" s="93" t="s">
        <v>155</v>
      </c>
      <c r="O12" s="92" t="s">
        <v>156</v>
      </c>
      <c r="P12" s="88" t="s">
        <v>73</v>
      </c>
      <c r="Q12" s="88" t="s">
        <v>48</v>
      </c>
      <c r="R12" s="86" t="s">
        <v>157</v>
      </c>
      <c r="S12" s="88" t="s">
        <v>62</v>
      </c>
      <c r="T12" s="94"/>
      <c r="U12" s="94"/>
      <c r="V12" s="94"/>
      <c r="W12" s="94"/>
      <c r="X12" s="94"/>
      <c r="Y12" s="131"/>
      <c r="Z12" s="131"/>
      <c r="AA12" s="131"/>
      <c r="AB12" s="131"/>
      <c r="AC12" s="131"/>
      <c r="AD12" s="127"/>
      <c r="AF12" s="121">
        <f>COUNTA('All Details for ACID Pastor'!$T12:$AB12)</f>
        <v>0</v>
      </c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63"/>
      <c r="AX12" s="163"/>
      <c r="AZ12" s="121" t="s">
        <v>139</v>
      </c>
      <c r="BA12" s="163"/>
      <c r="BB12" s="163"/>
      <c r="BC12" s="163"/>
      <c r="BF12" s="163">
        <f>COUNTA('All Details for ACID Pastor'!$T12:$AB12)</f>
        <v>0</v>
      </c>
    </row>
    <row r="13" spans="1:16383" ht="70.150000000000006" customHeight="1">
      <c r="A13" s="107">
        <v>12</v>
      </c>
      <c r="B13" s="124" t="s">
        <v>158</v>
      </c>
      <c r="C13" s="90" t="s">
        <v>159</v>
      </c>
      <c r="D13" s="95" t="s">
        <v>53</v>
      </c>
      <c r="E13" s="95" t="s">
        <v>160</v>
      </c>
      <c r="F13" s="95"/>
      <c r="G13" s="95"/>
      <c r="H13" s="95"/>
      <c r="I13" s="95"/>
      <c r="J13" s="115" t="s">
        <v>55</v>
      </c>
      <c r="K13" s="193" t="s">
        <v>161</v>
      </c>
      <c r="L13" s="155" t="s">
        <v>4201</v>
      </c>
      <c r="M13" s="172"/>
      <c r="N13" s="93" t="s">
        <v>162</v>
      </c>
      <c r="O13" s="92" t="s">
        <v>46</v>
      </c>
      <c r="P13" s="88" t="s">
        <v>47</v>
      </c>
      <c r="Q13" s="88" t="s">
        <v>48</v>
      </c>
      <c r="R13" s="86" t="s">
        <v>163</v>
      </c>
      <c r="S13" s="88" t="s">
        <v>62</v>
      </c>
      <c r="T13" s="94" t="s">
        <v>75</v>
      </c>
      <c r="U13" s="94" t="s">
        <v>164</v>
      </c>
      <c r="V13" s="127" t="s">
        <v>165</v>
      </c>
      <c r="W13" s="127" t="s">
        <v>165</v>
      </c>
      <c r="X13" s="127" t="s">
        <v>165</v>
      </c>
      <c r="Y13" s="127" t="s">
        <v>165</v>
      </c>
      <c r="Z13" s="127" t="s">
        <v>165</v>
      </c>
      <c r="AA13" s="127" t="s">
        <v>165</v>
      </c>
      <c r="AB13" s="127" t="s">
        <v>165</v>
      </c>
      <c r="AC13" s="131"/>
      <c r="AD13" s="127"/>
      <c r="AF13" s="121">
        <f>COUNTA('All Details for ACID Pastor'!$T13:$AB13)</f>
        <v>9</v>
      </c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63"/>
      <c r="AX13" s="163"/>
      <c r="AZ13" s="121" t="s">
        <v>49</v>
      </c>
      <c r="BA13" s="163"/>
      <c r="BB13" s="163"/>
      <c r="BC13" s="163"/>
      <c r="BF13" s="163">
        <f>COUNTA('All Details for ACID Pastor'!$T13:$AB13)</f>
        <v>9</v>
      </c>
    </row>
    <row r="14" spans="1:16383" ht="70.150000000000006" customHeight="1">
      <c r="A14" s="107">
        <v>13</v>
      </c>
      <c r="B14" s="124" t="s">
        <v>167</v>
      </c>
      <c r="C14" s="90" t="s">
        <v>168</v>
      </c>
      <c r="D14" s="95" t="s">
        <v>53</v>
      </c>
      <c r="E14" s="95" t="s">
        <v>160</v>
      </c>
      <c r="F14" s="95"/>
      <c r="G14" s="95"/>
      <c r="H14" s="95"/>
      <c r="I14" s="95"/>
      <c r="J14" s="115" t="s">
        <v>52</v>
      </c>
      <c r="K14" s="193" t="s">
        <v>169</v>
      </c>
      <c r="L14" s="155" t="s">
        <v>4201</v>
      </c>
      <c r="M14" s="172" t="s">
        <v>170</v>
      </c>
      <c r="N14" s="93" t="s">
        <v>171</v>
      </c>
      <c r="O14" s="92" t="s">
        <v>172</v>
      </c>
      <c r="P14" s="88" t="s">
        <v>60</v>
      </c>
      <c r="Q14" s="88" t="s">
        <v>48</v>
      </c>
      <c r="R14" s="86" t="s">
        <v>173</v>
      </c>
      <c r="S14" s="88" t="s">
        <v>62</v>
      </c>
      <c r="T14" s="94" t="s">
        <v>174</v>
      </c>
      <c r="U14" s="94" t="s">
        <v>175</v>
      </c>
      <c r="V14" s="94"/>
      <c r="W14" s="94"/>
      <c r="X14" s="94"/>
      <c r="Y14" s="131"/>
      <c r="Z14" s="131"/>
      <c r="AA14" s="131"/>
      <c r="AB14" s="131"/>
      <c r="AC14" s="131"/>
      <c r="AD14" s="127"/>
      <c r="AF14" s="121">
        <f>COUNTA('All Details for ACID Pastor'!$T14:$AB14)</f>
        <v>2</v>
      </c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63"/>
      <c r="AX14" s="163"/>
      <c r="AZ14" s="121" t="s">
        <v>49</v>
      </c>
      <c r="BA14" s="163"/>
      <c r="BB14" s="163"/>
      <c r="BC14" s="163"/>
      <c r="BF14" s="163">
        <f>COUNTA('All Details for ACID Pastor'!$T14:$AB14)</f>
        <v>2</v>
      </c>
    </row>
    <row r="15" spans="1:16383" ht="76.5" customHeight="1">
      <c r="A15" s="107">
        <v>14</v>
      </c>
      <c r="B15" s="124" t="s">
        <v>178</v>
      </c>
      <c r="C15" s="90" t="s">
        <v>179</v>
      </c>
      <c r="D15" s="95" t="s">
        <v>53</v>
      </c>
      <c r="E15" s="95" t="s">
        <v>54</v>
      </c>
      <c r="F15" s="95"/>
      <c r="G15" s="95"/>
      <c r="H15" s="95"/>
      <c r="I15" s="95"/>
      <c r="J15" s="115" t="s">
        <v>103</v>
      </c>
      <c r="K15" s="193" t="s">
        <v>180</v>
      </c>
      <c r="L15" s="155" t="s">
        <v>4209</v>
      </c>
      <c r="M15" s="172"/>
      <c r="N15" s="93" t="s">
        <v>181</v>
      </c>
      <c r="O15" s="92" t="s">
        <v>182</v>
      </c>
      <c r="P15" s="88" t="s">
        <v>73</v>
      </c>
      <c r="Q15" s="88" t="s">
        <v>48</v>
      </c>
      <c r="R15" s="86" t="s">
        <v>183</v>
      </c>
      <c r="S15" s="88" t="s">
        <v>62</v>
      </c>
      <c r="T15" s="94" t="s">
        <v>75</v>
      </c>
      <c r="U15" s="94" t="s">
        <v>184</v>
      </c>
      <c r="V15" s="94" t="s">
        <v>184</v>
      </c>
      <c r="W15" s="94" t="s">
        <v>184</v>
      </c>
      <c r="X15" s="94" t="s">
        <v>149</v>
      </c>
      <c r="Y15" s="94" t="s">
        <v>149</v>
      </c>
      <c r="Z15" s="131"/>
      <c r="AA15" s="131"/>
      <c r="AB15" s="131"/>
      <c r="AC15" s="131"/>
      <c r="AD15" s="127"/>
      <c r="AF15" s="121">
        <f>COUNTA('All Details for ACID Pastor'!$T15:$AB15)</f>
        <v>6</v>
      </c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63"/>
      <c r="AX15" s="163"/>
      <c r="AZ15" s="121" t="s">
        <v>49</v>
      </c>
      <c r="BA15" s="163"/>
      <c r="BB15" s="163"/>
      <c r="BC15" s="163"/>
      <c r="BF15" s="163">
        <f>COUNTA('All Details for ACID Pastor'!$T15:$AB15)</f>
        <v>6</v>
      </c>
    </row>
    <row r="16" spans="1:16383" ht="70.150000000000006" customHeight="1">
      <c r="A16" s="107">
        <v>15</v>
      </c>
      <c r="B16" s="124" t="s">
        <v>185</v>
      </c>
      <c r="C16" s="90" t="s">
        <v>186</v>
      </c>
      <c r="D16" s="95" t="s">
        <v>132</v>
      </c>
      <c r="E16" s="95" t="s">
        <v>54</v>
      </c>
      <c r="F16" s="95"/>
      <c r="G16" s="95"/>
      <c r="H16" s="95"/>
      <c r="I16" s="95"/>
      <c r="J16" s="115" t="s">
        <v>55</v>
      </c>
      <c r="K16" s="193" t="s">
        <v>187</v>
      </c>
      <c r="L16" s="155" t="s">
        <v>4209</v>
      </c>
      <c r="M16" s="172"/>
      <c r="N16" s="93" t="s">
        <v>188</v>
      </c>
      <c r="O16" s="92" t="s">
        <v>189</v>
      </c>
      <c r="P16" s="88" t="s">
        <v>190</v>
      </c>
      <c r="Q16" s="88" t="s">
        <v>48</v>
      </c>
      <c r="R16" s="86" t="s">
        <v>191</v>
      </c>
      <c r="S16" s="88" t="s">
        <v>62</v>
      </c>
      <c r="T16" s="94" t="s">
        <v>75</v>
      </c>
      <c r="U16" s="94" t="s">
        <v>119</v>
      </c>
      <c r="V16" s="94" t="s">
        <v>77</v>
      </c>
      <c r="W16" s="94" t="s">
        <v>184</v>
      </c>
      <c r="X16" s="94" t="s">
        <v>110</v>
      </c>
      <c r="Y16" s="127" t="s">
        <v>192</v>
      </c>
      <c r="Z16" s="127"/>
      <c r="AA16" s="127"/>
      <c r="AB16" s="127"/>
      <c r="AC16" s="131"/>
      <c r="AD16" s="127"/>
      <c r="AF16" s="121">
        <f>COUNTA('All Details for ACID Pastor'!$T16:$AB16)</f>
        <v>6</v>
      </c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63"/>
      <c r="AX16" s="163"/>
      <c r="AZ16" s="121" t="s">
        <v>49</v>
      </c>
      <c r="BA16" s="163"/>
      <c r="BB16" s="163"/>
      <c r="BC16" s="163"/>
      <c r="BF16" s="163">
        <f>COUNTA('All Details for ACID Pastor'!$T16:$AB16)</f>
        <v>6</v>
      </c>
    </row>
    <row r="17" spans="1:74" ht="70.150000000000006" customHeight="1">
      <c r="A17" s="107">
        <v>16</v>
      </c>
      <c r="B17" s="124" t="s">
        <v>193</v>
      </c>
      <c r="C17" s="90" t="s">
        <v>194</v>
      </c>
      <c r="D17" s="95" t="s">
        <v>53</v>
      </c>
      <c r="E17" s="95" t="s">
        <v>54</v>
      </c>
      <c r="F17" s="95"/>
      <c r="G17" s="95"/>
      <c r="H17" s="95"/>
      <c r="I17" s="95"/>
      <c r="J17" s="118"/>
      <c r="K17" s="193" t="s">
        <v>195</v>
      </c>
      <c r="L17" s="155" t="s">
        <v>4209</v>
      </c>
      <c r="M17" s="172"/>
      <c r="N17" s="93" t="s">
        <v>196</v>
      </c>
      <c r="O17" s="92" t="s">
        <v>197</v>
      </c>
      <c r="P17" s="88" t="s">
        <v>198</v>
      </c>
      <c r="Q17" s="88" t="s">
        <v>48</v>
      </c>
      <c r="R17" s="86" t="s">
        <v>199</v>
      </c>
      <c r="S17" s="88" t="s">
        <v>62</v>
      </c>
      <c r="T17" s="94" t="s">
        <v>75</v>
      </c>
      <c r="U17" s="94" t="s">
        <v>200</v>
      </c>
      <c r="V17" s="94" t="s">
        <v>200</v>
      </c>
      <c r="W17" s="94" t="s">
        <v>110</v>
      </c>
      <c r="X17" s="94" t="s">
        <v>110</v>
      </c>
      <c r="Y17" s="127"/>
      <c r="Z17" s="127"/>
      <c r="AA17" s="127"/>
      <c r="AB17" s="127"/>
      <c r="AC17" s="131"/>
      <c r="AD17" s="127"/>
      <c r="AF17" s="121">
        <f>COUNTA('All Details for ACID Pastor'!$T17:$AB17)</f>
        <v>5</v>
      </c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63"/>
      <c r="AX17" s="163"/>
      <c r="AZ17" s="121" t="s">
        <v>49</v>
      </c>
      <c r="BA17" s="163"/>
      <c r="BB17" s="163"/>
      <c r="BC17" s="163"/>
      <c r="BF17" s="163">
        <f>COUNTA('All Details for ACID Pastor'!$T17:$AB17)</f>
        <v>5</v>
      </c>
    </row>
    <row r="18" spans="1:74" ht="70.150000000000006" customHeight="1">
      <c r="A18" s="107">
        <v>17</v>
      </c>
      <c r="B18" s="124" t="s">
        <v>201</v>
      </c>
      <c r="C18" s="90" t="s">
        <v>202</v>
      </c>
      <c r="D18" s="95" t="s">
        <v>53</v>
      </c>
      <c r="E18" s="95" t="s">
        <v>54</v>
      </c>
      <c r="F18" s="95"/>
      <c r="G18" s="95"/>
      <c r="H18" s="95"/>
      <c r="I18" s="95"/>
      <c r="J18" s="115" t="s">
        <v>203</v>
      </c>
      <c r="K18" s="193" t="s">
        <v>204</v>
      </c>
      <c r="L18" s="155" t="s">
        <v>4209</v>
      </c>
      <c r="M18" s="172"/>
      <c r="N18" s="93" t="s">
        <v>205</v>
      </c>
      <c r="O18" s="92" t="s">
        <v>206</v>
      </c>
      <c r="P18" s="88" t="s">
        <v>47</v>
      </c>
      <c r="Q18" s="88" t="s">
        <v>48</v>
      </c>
      <c r="R18" s="86" t="s">
        <v>207</v>
      </c>
      <c r="S18" s="88" t="s">
        <v>62</v>
      </c>
      <c r="T18" s="94" t="s">
        <v>208</v>
      </c>
      <c r="U18" s="94" t="s">
        <v>96</v>
      </c>
      <c r="V18" s="94" t="s">
        <v>77</v>
      </c>
      <c r="W18" s="94" t="s">
        <v>98</v>
      </c>
      <c r="X18" s="94" t="s">
        <v>184</v>
      </c>
      <c r="Y18" s="127" t="s">
        <v>78</v>
      </c>
      <c r="Z18" s="127" t="s">
        <v>79</v>
      </c>
      <c r="AA18" s="127"/>
      <c r="AB18" s="127"/>
      <c r="AC18" s="131"/>
      <c r="AD18" s="127"/>
      <c r="AE18" s="244"/>
      <c r="AF18" s="121">
        <f>COUNTA('All Details for ACID Pastor'!$T18:$AB18)</f>
        <v>7</v>
      </c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63"/>
      <c r="AX18" s="163"/>
      <c r="AZ18" s="121" t="s">
        <v>49</v>
      </c>
      <c r="BA18" s="163"/>
      <c r="BB18" s="163"/>
      <c r="BC18" s="163"/>
      <c r="BF18" s="163">
        <f>COUNTA('All Details for ACID Pastor'!$T18:$AB18)</f>
        <v>7</v>
      </c>
    </row>
    <row r="19" spans="1:74" s="174" customFormat="1" ht="70.150000000000006" customHeight="1">
      <c r="A19" s="103">
        <v>18</v>
      </c>
      <c r="B19" s="132" t="s">
        <v>209</v>
      </c>
      <c r="C19" s="101" t="s">
        <v>210</v>
      </c>
      <c r="D19" s="102" t="s">
        <v>53</v>
      </c>
      <c r="E19" s="102" t="s">
        <v>54</v>
      </c>
      <c r="F19" s="102"/>
      <c r="G19" s="102"/>
      <c r="H19" s="102"/>
      <c r="I19" s="102"/>
      <c r="J19" s="133" t="s">
        <v>103</v>
      </c>
      <c r="K19" s="256" t="s">
        <v>211</v>
      </c>
      <c r="L19" s="270" t="s">
        <v>4209</v>
      </c>
      <c r="M19" s="171"/>
      <c r="N19" s="104" t="s">
        <v>212</v>
      </c>
      <c r="O19" s="105" t="s">
        <v>213</v>
      </c>
      <c r="P19" s="106" t="s">
        <v>190</v>
      </c>
      <c r="Q19" s="106" t="s">
        <v>48</v>
      </c>
      <c r="R19" s="134" t="s">
        <v>214</v>
      </c>
      <c r="S19" s="106" t="s">
        <v>62</v>
      </c>
      <c r="T19" s="135" t="s">
        <v>75</v>
      </c>
      <c r="U19" s="135" t="s">
        <v>215</v>
      </c>
      <c r="V19" s="135" t="s">
        <v>215</v>
      </c>
      <c r="W19" s="135"/>
      <c r="X19" s="135"/>
      <c r="Y19" s="136"/>
      <c r="Z19" s="136"/>
      <c r="AA19" s="136"/>
      <c r="AB19" s="136"/>
      <c r="AC19" s="136"/>
      <c r="AD19" s="222"/>
      <c r="AE19" s="244"/>
      <c r="AF19" s="232">
        <f>COUNTA('All Details for ACID Pastor'!$T19:$AB19)</f>
        <v>3</v>
      </c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3"/>
      <c r="AX19" s="233"/>
      <c r="AY19" s="244"/>
      <c r="AZ19" s="232" t="s">
        <v>139</v>
      </c>
      <c r="BA19" s="233"/>
      <c r="BB19" s="233"/>
      <c r="BC19" s="233"/>
      <c r="BD19" s="244"/>
      <c r="BE19" s="277"/>
      <c r="BF19" s="233">
        <f>COUNTA('All Details for ACID Pastor'!$T19:$AB19)</f>
        <v>3</v>
      </c>
      <c r="BG19" s="249"/>
      <c r="BH19" s="249"/>
      <c r="BI19" s="249"/>
      <c r="BJ19" s="249"/>
      <c r="BK19" s="249"/>
      <c r="BL19" s="249"/>
      <c r="BM19" s="249"/>
      <c r="BN19" s="249"/>
      <c r="BO19" s="249"/>
      <c r="BP19" s="249"/>
      <c r="BQ19" s="249"/>
      <c r="BR19" s="249"/>
      <c r="BS19" s="249"/>
      <c r="BT19" s="249"/>
      <c r="BU19" s="249"/>
      <c r="BV19" s="249"/>
    </row>
    <row r="20" spans="1:74" s="174" customFormat="1" ht="70.150000000000006" customHeight="1">
      <c r="A20" s="103">
        <v>20</v>
      </c>
      <c r="B20" s="132" t="s">
        <v>219</v>
      </c>
      <c r="C20" s="101" t="s">
        <v>220</v>
      </c>
      <c r="D20" s="102" t="s">
        <v>53</v>
      </c>
      <c r="E20" s="102" t="s">
        <v>54</v>
      </c>
      <c r="F20" s="102"/>
      <c r="G20" s="102"/>
      <c r="H20" s="102"/>
      <c r="I20" s="102"/>
      <c r="J20" s="133" t="s">
        <v>221</v>
      </c>
      <c r="K20" s="256" t="s">
        <v>222</v>
      </c>
      <c r="L20" s="270" t="s">
        <v>4209</v>
      </c>
      <c r="M20" s="171" t="s">
        <v>223</v>
      </c>
      <c r="N20" s="104" t="s">
        <v>224</v>
      </c>
      <c r="O20" s="105" t="s">
        <v>225</v>
      </c>
      <c r="P20" s="106" t="s">
        <v>198</v>
      </c>
      <c r="Q20" s="106" t="s">
        <v>48</v>
      </c>
      <c r="R20" s="134" t="s">
        <v>226</v>
      </c>
      <c r="S20" s="106" t="s">
        <v>62</v>
      </c>
      <c r="T20" s="135" t="s">
        <v>75</v>
      </c>
      <c r="U20" s="135" t="s">
        <v>215</v>
      </c>
      <c r="V20" s="135"/>
      <c r="W20" s="135"/>
      <c r="X20" s="135"/>
      <c r="Y20" s="136"/>
      <c r="Z20" s="136"/>
      <c r="AA20" s="136"/>
      <c r="AB20" s="136"/>
      <c r="AC20" s="136"/>
      <c r="AD20" s="222"/>
      <c r="AE20" s="244"/>
      <c r="AF20" s="232">
        <f>COUNTA('All Details for ACID Pastor'!$T20:$AB20)</f>
        <v>2</v>
      </c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3"/>
      <c r="AX20" s="233"/>
      <c r="AY20" s="244"/>
      <c r="AZ20" s="232" t="s">
        <v>139</v>
      </c>
      <c r="BA20" s="233"/>
      <c r="BB20" s="233"/>
      <c r="BC20" s="233"/>
      <c r="BD20" s="244"/>
      <c r="BE20" s="277"/>
      <c r="BF20" s="233">
        <f>COUNTA('All Details for ACID Pastor'!$T20:$AB20)</f>
        <v>2</v>
      </c>
      <c r="BG20" s="249"/>
      <c r="BH20" s="249"/>
      <c r="BI20" s="249"/>
      <c r="BJ20" s="249"/>
      <c r="BK20" s="249"/>
      <c r="BL20" s="249"/>
      <c r="BM20" s="249"/>
      <c r="BN20" s="249"/>
      <c r="BO20" s="249"/>
      <c r="BP20" s="249"/>
      <c r="BQ20" s="249"/>
      <c r="BR20" s="249"/>
      <c r="BS20" s="249"/>
      <c r="BT20" s="249"/>
      <c r="BU20" s="249"/>
      <c r="BV20" s="249"/>
    </row>
    <row r="21" spans="1:74" s="174" customFormat="1" ht="70.150000000000006" customHeight="1">
      <c r="A21" s="103">
        <v>21</v>
      </c>
      <c r="B21" s="132" t="s">
        <v>227</v>
      </c>
      <c r="C21" s="101" t="s">
        <v>228</v>
      </c>
      <c r="D21" s="102" t="s">
        <v>53</v>
      </c>
      <c r="E21" s="102" t="s">
        <v>54</v>
      </c>
      <c r="F21" s="102"/>
      <c r="G21" s="102"/>
      <c r="H21" s="102"/>
      <c r="I21" s="102"/>
      <c r="J21" s="133" t="s">
        <v>52</v>
      </c>
      <c r="K21" s="256" t="s">
        <v>229</v>
      </c>
      <c r="L21" s="270" t="s">
        <v>4209</v>
      </c>
      <c r="M21" s="171" t="s">
        <v>230</v>
      </c>
      <c r="N21" s="104" t="s">
        <v>231</v>
      </c>
      <c r="O21" s="105" t="s">
        <v>232</v>
      </c>
      <c r="P21" s="106" t="s">
        <v>233</v>
      </c>
      <c r="Q21" s="106" t="s">
        <v>48</v>
      </c>
      <c r="R21" s="134">
        <v>7845862698</v>
      </c>
      <c r="S21" s="106" t="s">
        <v>62</v>
      </c>
      <c r="T21" s="135"/>
      <c r="U21" s="135"/>
      <c r="V21" s="135"/>
      <c r="W21" s="135"/>
      <c r="X21" s="135"/>
      <c r="Y21" s="136"/>
      <c r="Z21" s="136"/>
      <c r="AA21" s="136"/>
      <c r="AB21" s="136"/>
      <c r="AC21" s="136"/>
      <c r="AD21" s="222"/>
      <c r="AE21" s="245"/>
      <c r="AF21" s="232">
        <f>COUNTA('All Details for ACID Pastor'!$T21:$AB21)</f>
        <v>0</v>
      </c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3"/>
      <c r="AX21" s="233"/>
      <c r="AY21" s="244"/>
      <c r="AZ21" s="232" t="s">
        <v>139</v>
      </c>
      <c r="BA21" s="233"/>
      <c r="BB21" s="233"/>
      <c r="BC21" s="233"/>
      <c r="BD21" s="244"/>
      <c r="BE21" s="277"/>
      <c r="BF21" s="233">
        <f>COUNTA('All Details for ACID Pastor'!$T21:$AB21)</f>
        <v>0</v>
      </c>
      <c r="BG21" s="249"/>
      <c r="BH21" s="249"/>
      <c r="BI21" s="249"/>
      <c r="BJ21" s="249"/>
      <c r="BK21" s="249"/>
      <c r="BL21" s="249"/>
      <c r="BM21" s="249"/>
      <c r="BN21" s="249"/>
      <c r="BO21" s="249"/>
      <c r="BP21" s="249"/>
      <c r="BQ21" s="249"/>
      <c r="BR21" s="249"/>
      <c r="BS21" s="249"/>
      <c r="BT21" s="249"/>
      <c r="BU21" s="249"/>
      <c r="BV21" s="249"/>
    </row>
    <row r="22" spans="1:74" s="221" customFormat="1" ht="70.150000000000006" customHeight="1">
      <c r="A22" s="210">
        <v>22</v>
      </c>
      <c r="B22" s="211" t="s">
        <v>234</v>
      </c>
      <c r="C22" s="212" t="s">
        <v>235</v>
      </c>
      <c r="D22" s="213" t="s">
        <v>53</v>
      </c>
      <c r="E22" s="213" t="s">
        <v>54</v>
      </c>
      <c r="F22" s="213"/>
      <c r="G22" s="213"/>
      <c r="H22" s="213"/>
      <c r="I22" s="213"/>
      <c r="J22" s="214" t="s">
        <v>103</v>
      </c>
      <c r="K22" s="257" t="s">
        <v>236</v>
      </c>
      <c r="L22" s="271" t="s">
        <v>4209</v>
      </c>
      <c r="M22" s="263" t="s">
        <v>237</v>
      </c>
      <c r="N22" s="215" t="s">
        <v>238</v>
      </c>
      <c r="O22" s="216" t="s">
        <v>239</v>
      </c>
      <c r="P22" s="217" t="s">
        <v>73</v>
      </c>
      <c r="Q22" s="217" t="s">
        <v>48</v>
      </c>
      <c r="R22" s="218" t="s">
        <v>240</v>
      </c>
      <c r="S22" s="217" t="s">
        <v>62</v>
      </c>
      <c r="T22" s="219" t="s">
        <v>241</v>
      </c>
      <c r="U22" s="219" t="s">
        <v>96</v>
      </c>
      <c r="V22" s="220" t="s">
        <v>4220</v>
      </c>
      <c r="W22" s="220" t="s">
        <v>4220</v>
      </c>
      <c r="X22" s="220" t="s">
        <v>4220</v>
      </c>
      <c r="Y22" s="220" t="s">
        <v>4220</v>
      </c>
      <c r="Z22" s="220" t="s">
        <v>4220</v>
      </c>
      <c r="AA22" s="220" t="s">
        <v>4220</v>
      </c>
      <c r="AB22" s="220" t="s">
        <v>4220</v>
      </c>
      <c r="AC22" s="220" t="s">
        <v>4220</v>
      </c>
      <c r="AD22" s="223" t="s">
        <v>4220</v>
      </c>
      <c r="AE22" s="244"/>
      <c r="AF22" s="234">
        <f>COUNTA('All Details for ACID Pastor'!$T22:$AB22)</f>
        <v>9</v>
      </c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5"/>
      <c r="AX22" s="235"/>
      <c r="AY22" s="245"/>
      <c r="AZ22" s="234" t="s">
        <v>49</v>
      </c>
      <c r="BA22" s="235"/>
      <c r="BB22" s="235"/>
      <c r="BC22" s="235"/>
      <c r="BD22" s="245"/>
      <c r="BE22" s="278"/>
      <c r="BF22" s="235">
        <v>12</v>
      </c>
      <c r="BG22" s="250"/>
      <c r="BH22" s="250"/>
      <c r="BI22" s="250"/>
      <c r="BJ22" s="250"/>
      <c r="BK22" s="250"/>
      <c r="BL22" s="250"/>
      <c r="BM22" s="250"/>
      <c r="BN22" s="250"/>
      <c r="BO22" s="250"/>
      <c r="BP22" s="250"/>
      <c r="BQ22" s="250"/>
      <c r="BR22" s="250"/>
      <c r="BS22" s="250"/>
      <c r="BT22" s="250"/>
      <c r="BU22" s="250"/>
      <c r="BV22" s="250"/>
    </row>
    <row r="23" spans="1:74" s="174" customFormat="1" ht="70.150000000000006" customHeight="1">
      <c r="A23" s="103">
        <v>23</v>
      </c>
      <c r="B23" s="132" t="s">
        <v>242</v>
      </c>
      <c r="C23" s="101" t="s">
        <v>243</v>
      </c>
      <c r="D23" s="102" t="s">
        <v>53</v>
      </c>
      <c r="E23" s="102" t="s">
        <v>54</v>
      </c>
      <c r="F23" s="102"/>
      <c r="G23" s="102"/>
      <c r="H23" s="102"/>
      <c r="I23" s="102"/>
      <c r="J23" s="133" t="s">
        <v>103</v>
      </c>
      <c r="K23" s="256" t="s">
        <v>244</v>
      </c>
      <c r="L23" s="270" t="s">
        <v>4209</v>
      </c>
      <c r="M23" s="171" t="s">
        <v>245</v>
      </c>
      <c r="N23" s="104" t="s">
        <v>246</v>
      </c>
      <c r="O23" s="105" t="s">
        <v>247</v>
      </c>
      <c r="P23" s="106" t="s">
        <v>73</v>
      </c>
      <c r="Q23" s="106" t="s">
        <v>48</v>
      </c>
      <c r="R23" s="134" t="s">
        <v>248</v>
      </c>
      <c r="S23" s="106" t="s">
        <v>62</v>
      </c>
      <c r="T23" s="135"/>
      <c r="U23" s="135"/>
      <c r="V23" s="135"/>
      <c r="W23" s="135"/>
      <c r="X23" s="135"/>
      <c r="Y23" s="136"/>
      <c r="Z23" s="136"/>
      <c r="AA23" s="136"/>
      <c r="AB23" s="136"/>
      <c r="AC23" s="136"/>
      <c r="AD23" s="222"/>
      <c r="AE23" s="244"/>
      <c r="AF23" s="232">
        <f>COUNTA('All Details for ACID Pastor'!$T23:$AB23)</f>
        <v>0</v>
      </c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3"/>
      <c r="AX23" s="233"/>
      <c r="AY23" s="244"/>
      <c r="AZ23" s="232" t="s">
        <v>139</v>
      </c>
      <c r="BA23" s="233"/>
      <c r="BB23" s="233"/>
      <c r="BC23" s="233"/>
      <c r="BD23" s="244"/>
      <c r="BE23" s="277"/>
      <c r="BF23" s="233">
        <f>COUNTA('All Details for ACID Pastor'!$T23:$AB23)</f>
        <v>0</v>
      </c>
      <c r="BG23" s="249"/>
      <c r="BH23" s="249"/>
      <c r="BI23" s="249"/>
      <c r="BJ23" s="249"/>
      <c r="BK23" s="249"/>
      <c r="BL23" s="249"/>
      <c r="BM23" s="249"/>
      <c r="BN23" s="249"/>
      <c r="BO23" s="249"/>
      <c r="BP23" s="249"/>
      <c r="BQ23" s="249"/>
      <c r="BR23" s="249"/>
      <c r="BS23" s="249"/>
      <c r="BT23" s="249"/>
      <c r="BU23" s="249"/>
      <c r="BV23" s="249"/>
    </row>
    <row r="24" spans="1:74" s="174" customFormat="1" ht="70.150000000000006" customHeight="1">
      <c r="A24" s="103">
        <v>24</v>
      </c>
      <c r="B24" s="132" t="s">
        <v>249</v>
      </c>
      <c r="C24" s="101" t="s">
        <v>250</v>
      </c>
      <c r="D24" s="102" t="s">
        <v>53</v>
      </c>
      <c r="E24" s="102" t="s">
        <v>54</v>
      </c>
      <c r="F24" s="102"/>
      <c r="G24" s="102"/>
      <c r="H24" s="102"/>
      <c r="I24" s="102"/>
      <c r="J24" s="133" t="s">
        <v>103</v>
      </c>
      <c r="K24" s="256" t="s">
        <v>251</v>
      </c>
      <c r="L24" s="232" t="s">
        <v>4209</v>
      </c>
      <c r="M24" s="171"/>
      <c r="N24" s="104" t="s">
        <v>252</v>
      </c>
      <c r="O24" s="105" t="s">
        <v>253</v>
      </c>
      <c r="P24" s="106" t="s">
        <v>73</v>
      </c>
      <c r="Q24" s="106" t="s">
        <v>48</v>
      </c>
      <c r="R24" s="134" t="s">
        <v>254</v>
      </c>
      <c r="S24" s="106" t="s">
        <v>62</v>
      </c>
      <c r="T24" s="135"/>
      <c r="U24" s="135"/>
      <c r="V24" s="135"/>
      <c r="W24" s="135"/>
      <c r="X24" s="135"/>
      <c r="Y24" s="136"/>
      <c r="Z24" s="136"/>
      <c r="AA24" s="136"/>
      <c r="AB24" s="136"/>
      <c r="AC24" s="136"/>
      <c r="AD24" s="222"/>
      <c r="AE24" s="244"/>
      <c r="AF24" s="232">
        <f>COUNTA('All Details for ACID Pastor'!$T24:$AB24)</f>
        <v>0</v>
      </c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3"/>
      <c r="AX24" s="233"/>
      <c r="AY24" s="244"/>
      <c r="AZ24" s="232" t="s">
        <v>139</v>
      </c>
      <c r="BA24" s="233"/>
      <c r="BB24" s="233"/>
      <c r="BC24" s="233"/>
      <c r="BD24" s="244"/>
      <c r="BE24" s="277"/>
      <c r="BF24" s="233">
        <f>COUNTA('All Details for ACID Pastor'!$T24:$AB24)</f>
        <v>0</v>
      </c>
      <c r="BG24" s="249"/>
      <c r="BH24" s="249"/>
      <c r="BI24" s="249"/>
      <c r="BJ24" s="249"/>
      <c r="BK24" s="249"/>
      <c r="BL24" s="249"/>
      <c r="BM24" s="249"/>
      <c r="BN24" s="249"/>
      <c r="BO24" s="249"/>
      <c r="BP24" s="249"/>
      <c r="BQ24" s="249"/>
      <c r="BR24" s="249"/>
      <c r="BS24" s="249"/>
      <c r="BT24" s="249"/>
      <c r="BU24" s="249"/>
      <c r="BV24" s="249"/>
    </row>
    <row r="25" spans="1:74" s="174" customFormat="1" ht="70.150000000000006" customHeight="1">
      <c r="A25" s="103">
        <v>25</v>
      </c>
      <c r="B25" s="132" t="s">
        <v>255</v>
      </c>
      <c r="C25" s="101" t="s">
        <v>256</v>
      </c>
      <c r="D25" s="102" t="s">
        <v>53</v>
      </c>
      <c r="E25" s="102" t="s">
        <v>54</v>
      </c>
      <c r="F25" s="102"/>
      <c r="G25" s="102"/>
      <c r="H25" s="102"/>
      <c r="I25" s="102"/>
      <c r="J25" s="133" t="s">
        <v>103</v>
      </c>
      <c r="K25" s="256" t="s">
        <v>257</v>
      </c>
      <c r="L25" s="270" t="s">
        <v>4209</v>
      </c>
      <c r="M25" s="171"/>
      <c r="N25" s="104" t="s">
        <v>258</v>
      </c>
      <c r="O25" s="105" t="s">
        <v>253</v>
      </c>
      <c r="P25" s="106" t="s">
        <v>73</v>
      </c>
      <c r="Q25" s="106" t="s">
        <v>48</v>
      </c>
      <c r="R25" s="134" t="s">
        <v>259</v>
      </c>
      <c r="S25" s="106" t="s">
        <v>62</v>
      </c>
      <c r="T25" s="135"/>
      <c r="U25" s="135"/>
      <c r="V25" s="135"/>
      <c r="W25" s="135"/>
      <c r="X25" s="135"/>
      <c r="Y25" s="136"/>
      <c r="Z25" s="136"/>
      <c r="AA25" s="136"/>
      <c r="AB25" s="136"/>
      <c r="AC25" s="136"/>
      <c r="AD25" s="222"/>
      <c r="AE25" s="240"/>
      <c r="AF25" s="232">
        <f>COUNTA('All Details for ACID Pastor'!$T25:$AB25)</f>
        <v>0</v>
      </c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3"/>
      <c r="AX25" s="233"/>
      <c r="AY25" s="244"/>
      <c r="AZ25" s="232" t="s">
        <v>139</v>
      </c>
      <c r="BA25" s="233"/>
      <c r="BB25" s="233"/>
      <c r="BC25" s="233"/>
      <c r="BD25" s="244"/>
      <c r="BE25" s="277"/>
      <c r="BF25" s="233">
        <f>COUNTA('All Details for ACID Pastor'!$T25:$AB25)</f>
        <v>0</v>
      </c>
      <c r="BG25" s="249"/>
      <c r="BH25" s="249"/>
      <c r="BI25" s="249"/>
      <c r="BJ25" s="249"/>
      <c r="BK25" s="249"/>
      <c r="BL25" s="249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</row>
    <row r="26" spans="1:74" ht="70.150000000000006" customHeight="1">
      <c r="A26" s="107">
        <v>26</v>
      </c>
      <c r="B26" s="124" t="s">
        <v>260</v>
      </c>
      <c r="C26" s="90" t="s">
        <v>261</v>
      </c>
      <c r="D26" s="95" t="s">
        <v>53</v>
      </c>
      <c r="E26" s="95" t="s">
        <v>54</v>
      </c>
      <c r="F26" s="95"/>
      <c r="G26" s="95"/>
      <c r="H26" s="95"/>
      <c r="I26" s="95"/>
      <c r="J26" s="115" t="s">
        <v>103</v>
      </c>
      <c r="K26" s="193" t="s">
        <v>262</v>
      </c>
      <c r="L26" s="155" t="s">
        <v>4209</v>
      </c>
      <c r="M26" s="172"/>
      <c r="N26" s="93" t="s">
        <v>263</v>
      </c>
      <c r="O26" s="92" t="s">
        <v>264</v>
      </c>
      <c r="P26" s="88" t="s">
        <v>73</v>
      </c>
      <c r="Q26" s="88" t="s">
        <v>48</v>
      </c>
      <c r="R26" s="86" t="s">
        <v>265</v>
      </c>
      <c r="S26" s="88" t="s">
        <v>62</v>
      </c>
      <c r="T26" s="94" t="s">
        <v>119</v>
      </c>
      <c r="U26" s="94" t="s">
        <v>266</v>
      </c>
      <c r="V26" s="94" t="s">
        <v>149</v>
      </c>
      <c r="W26" s="94" t="s">
        <v>149</v>
      </c>
      <c r="X26" s="94" t="s">
        <v>149</v>
      </c>
      <c r="Y26" s="131"/>
      <c r="Z26" s="131"/>
      <c r="AA26" s="131"/>
      <c r="AB26" s="131"/>
      <c r="AC26" s="131"/>
      <c r="AD26" s="127"/>
      <c r="AF26" s="121">
        <f>COUNTA('All Details for ACID Pastor'!$T26:$AB26)</f>
        <v>5</v>
      </c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63"/>
      <c r="AX26" s="163"/>
      <c r="AZ26" s="121" t="s">
        <v>49</v>
      </c>
      <c r="BA26" s="163"/>
      <c r="BB26" s="163"/>
      <c r="BC26" s="163"/>
      <c r="BF26" s="163">
        <f>COUNTA('All Details for ACID Pastor'!$T26:$AB26)</f>
        <v>5</v>
      </c>
    </row>
    <row r="27" spans="1:74" ht="70.150000000000006" customHeight="1">
      <c r="A27" s="107">
        <v>27</v>
      </c>
      <c r="B27" s="124" t="s">
        <v>267</v>
      </c>
      <c r="C27" s="90" t="s">
        <v>268</v>
      </c>
      <c r="D27" s="95" t="s">
        <v>53</v>
      </c>
      <c r="E27" s="95" t="s">
        <v>54</v>
      </c>
      <c r="F27" s="95"/>
      <c r="G27" s="95"/>
      <c r="H27" s="95"/>
      <c r="I27" s="95"/>
      <c r="J27" s="115" t="s">
        <v>103</v>
      </c>
      <c r="K27" s="193" t="s">
        <v>269</v>
      </c>
      <c r="L27" s="155" t="s">
        <v>4209</v>
      </c>
      <c r="M27" s="172" t="s">
        <v>270</v>
      </c>
      <c r="N27" s="93" t="s">
        <v>271</v>
      </c>
      <c r="O27" s="92" t="s">
        <v>272</v>
      </c>
      <c r="P27" s="88" t="s">
        <v>73</v>
      </c>
      <c r="Q27" s="88" t="s">
        <v>48</v>
      </c>
      <c r="R27" s="86" t="s">
        <v>273</v>
      </c>
      <c r="S27" s="88" t="s">
        <v>62</v>
      </c>
      <c r="T27" s="94" t="s">
        <v>274</v>
      </c>
      <c r="U27" s="94" t="s">
        <v>119</v>
      </c>
      <c r="V27" s="94" t="s">
        <v>77</v>
      </c>
      <c r="W27" s="94" t="s">
        <v>98</v>
      </c>
      <c r="X27" s="94" t="s">
        <v>78</v>
      </c>
      <c r="Y27" s="127" t="s">
        <v>79</v>
      </c>
      <c r="Z27" s="131"/>
      <c r="AA27" s="127" t="s">
        <v>165</v>
      </c>
      <c r="AB27" s="127" t="s">
        <v>165</v>
      </c>
      <c r="AC27" s="131"/>
      <c r="AD27" s="127"/>
      <c r="AE27" s="244"/>
      <c r="AF27" s="121">
        <f>COUNTA('All Details for ACID Pastor'!$T27:$AB27)</f>
        <v>8</v>
      </c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63"/>
      <c r="AX27" s="163"/>
      <c r="AZ27" s="121" t="s">
        <v>49</v>
      </c>
      <c r="BA27" s="163"/>
      <c r="BB27" s="163"/>
      <c r="BC27" s="163"/>
      <c r="BF27" s="163">
        <f>COUNTA('All Details for ACID Pastor'!$T27:$AB27)</f>
        <v>8</v>
      </c>
    </row>
    <row r="28" spans="1:74" s="174" customFormat="1" ht="70.150000000000006" customHeight="1">
      <c r="A28" s="103">
        <v>28</v>
      </c>
      <c r="B28" s="132" t="s">
        <v>275</v>
      </c>
      <c r="C28" s="101" t="s">
        <v>276</v>
      </c>
      <c r="D28" s="102" t="s">
        <v>53</v>
      </c>
      <c r="E28" s="102" t="s">
        <v>54</v>
      </c>
      <c r="F28" s="102"/>
      <c r="G28" s="102"/>
      <c r="H28" s="102"/>
      <c r="I28" s="102"/>
      <c r="J28" s="133" t="s">
        <v>103</v>
      </c>
      <c r="K28" s="256" t="s">
        <v>277</v>
      </c>
      <c r="L28" s="232"/>
      <c r="M28" s="171" t="s">
        <v>278</v>
      </c>
      <c r="N28" s="104" t="s">
        <v>279</v>
      </c>
      <c r="O28" s="105" t="s">
        <v>280</v>
      </c>
      <c r="P28" s="106" t="s">
        <v>73</v>
      </c>
      <c r="Q28" s="106" t="s">
        <v>48</v>
      </c>
      <c r="R28" s="134">
        <v>9626135877</v>
      </c>
      <c r="S28" s="106" t="s">
        <v>62</v>
      </c>
      <c r="T28" s="135"/>
      <c r="U28" s="135"/>
      <c r="V28" s="135"/>
      <c r="W28" s="135"/>
      <c r="X28" s="135"/>
      <c r="Y28" s="136"/>
      <c r="Z28" s="136"/>
      <c r="AA28" s="136"/>
      <c r="AB28" s="136"/>
      <c r="AC28" s="136"/>
      <c r="AD28" s="222"/>
      <c r="AE28" s="244"/>
      <c r="AF28" s="232">
        <f>COUNTA('All Details for ACID Pastor'!$T28:$AB28)</f>
        <v>0</v>
      </c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33"/>
      <c r="AY28" s="244"/>
      <c r="AZ28" s="232" t="s">
        <v>139</v>
      </c>
      <c r="BA28" s="233"/>
      <c r="BB28" s="233"/>
      <c r="BC28" s="233"/>
      <c r="BD28" s="244"/>
      <c r="BE28" s="277"/>
      <c r="BF28" s="233">
        <f>COUNTA('All Details for ACID Pastor'!$T28:$AB28)</f>
        <v>0</v>
      </c>
      <c r="BG28" s="249"/>
      <c r="BH28" s="249"/>
      <c r="BI28" s="249"/>
      <c r="BJ28" s="249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</row>
    <row r="29" spans="1:74" s="174" customFormat="1" ht="70.150000000000006" customHeight="1">
      <c r="A29" s="103">
        <v>29</v>
      </c>
      <c r="B29" s="132" t="s">
        <v>281</v>
      </c>
      <c r="C29" s="101" t="s">
        <v>282</v>
      </c>
      <c r="D29" s="102" t="s">
        <v>53</v>
      </c>
      <c r="E29" s="102" t="s">
        <v>54</v>
      </c>
      <c r="F29" s="102"/>
      <c r="G29" s="102"/>
      <c r="H29" s="102"/>
      <c r="I29" s="102"/>
      <c r="J29" s="133" t="s">
        <v>283</v>
      </c>
      <c r="K29" s="256" t="s">
        <v>284</v>
      </c>
      <c r="L29" s="232"/>
      <c r="M29" s="171"/>
      <c r="N29" s="104" t="s">
        <v>285</v>
      </c>
      <c r="O29" s="105" t="s">
        <v>286</v>
      </c>
      <c r="P29" s="106" t="s">
        <v>94</v>
      </c>
      <c r="Q29" s="106" t="s">
        <v>48</v>
      </c>
      <c r="R29" s="134" t="s">
        <v>287</v>
      </c>
      <c r="S29" s="106" t="s">
        <v>62</v>
      </c>
      <c r="T29" s="135" t="s">
        <v>75</v>
      </c>
      <c r="U29" s="135"/>
      <c r="V29" s="135"/>
      <c r="W29" s="135"/>
      <c r="X29" s="135"/>
      <c r="Y29" s="136"/>
      <c r="Z29" s="136"/>
      <c r="AA29" s="136"/>
      <c r="AB29" s="136"/>
      <c r="AC29" s="136"/>
      <c r="AD29" s="222"/>
      <c r="AE29" s="240"/>
      <c r="AF29" s="232">
        <f>COUNTA('All Details for ACID Pastor'!$T29:$AB29)</f>
        <v>1</v>
      </c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3"/>
      <c r="AX29" s="233"/>
      <c r="AY29" s="244"/>
      <c r="AZ29" s="232" t="s">
        <v>100</v>
      </c>
      <c r="BA29" s="233"/>
      <c r="BB29" s="233"/>
      <c r="BC29" s="233"/>
      <c r="BD29" s="244"/>
      <c r="BE29" s="277"/>
      <c r="BF29" s="233">
        <f>COUNTA('All Details for ACID Pastor'!$T29:$AB29)</f>
        <v>1</v>
      </c>
      <c r="BG29" s="249"/>
      <c r="BH29" s="249"/>
      <c r="BI29" s="249"/>
      <c r="BJ29" s="249"/>
      <c r="BK29" s="249"/>
      <c r="BL29" s="249"/>
      <c r="BM29" s="249"/>
      <c r="BN29" s="249"/>
      <c r="BO29" s="249"/>
      <c r="BP29" s="249"/>
      <c r="BQ29" s="249"/>
      <c r="BR29" s="249"/>
      <c r="BS29" s="249"/>
      <c r="BT29" s="249"/>
      <c r="BU29" s="249"/>
      <c r="BV29" s="249"/>
    </row>
    <row r="30" spans="1:74" ht="70.150000000000006" customHeight="1">
      <c r="A30" s="107">
        <v>31</v>
      </c>
      <c r="B30" s="124" t="s">
        <v>289</v>
      </c>
      <c r="C30" s="90" t="s">
        <v>290</v>
      </c>
      <c r="D30" s="95" t="s">
        <v>53</v>
      </c>
      <c r="E30" s="95" t="s">
        <v>54</v>
      </c>
      <c r="F30" s="95"/>
      <c r="G30" s="95"/>
      <c r="H30" s="95"/>
      <c r="I30" s="95"/>
      <c r="J30" s="115" t="s">
        <v>283</v>
      </c>
      <c r="K30" s="193" t="s">
        <v>291</v>
      </c>
      <c r="L30" s="121"/>
      <c r="M30" s="172"/>
      <c r="N30" s="93" t="s">
        <v>292</v>
      </c>
      <c r="O30" s="92" t="s">
        <v>293</v>
      </c>
      <c r="P30" s="88" t="s">
        <v>47</v>
      </c>
      <c r="Q30" s="88" t="s">
        <v>48</v>
      </c>
      <c r="R30" s="86" t="s">
        <v>294</v>
      </c>
      <c r="S30" s="88" t="s">
        <v>62</v>
      </c>
      <c r="T30" s="94" t="s">
        <v>295</v>
      </c>
      <c r="U30" s="94"/>
      <c r="V30" s="94"/>
      <c r="W30" s="94"/>
      <c r="X30" s="94"/>
      <c r="Y30" s="131"/>
      <c r="Z30" s="131"/>
      <c r="AA30" s="131"/>
      <c r="AB30" s="131"/>
      <c r="AC30" s="131"/>
      <c r="AD30" s="127"/>
      <c r="AF30" s="121">
        <f>COUNTA('All Details for ACID Pastor'!$T30:$AB30)</f>
        <v>1</v>
      </c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63"/>
      <c r="AX30" s="163"/>
      <c r="AZ30" s="121" t="s">
        <v>139</v>
      </c>
      <c r="BA30" s="163"/>
      <c r="BB30" s="163"/>
      <c r="BC30" s="163"/>
      <c r="BF30" s="163">
        <f>COUNTA('All Details for ACID Pastor'!$T30:$AB30)</f>
        <v>1</v>
      </c>
    </row>
    <row r="31" spans="1:74" ht="70.150000000000006" customHeight="1">
      <c r="A31" s="107">
        <v>32</v>
      </c>
      <c r="B31" s="124" t="s">
        <v>296</v>
      </c>
      <c r="C31" s="90" t="s">
        <v>297</v>
      </c>
      <c r="D31" s="95" t="s">
        <v>53</v>
      </c>
      <c r="E31" s="95" t="s">
        <v>54</v>
      </c>
      <c r="F31" s="95"/>
      <c r="G31" s="95"/>
      <c r="H31" s="95"/>
      <c r="I31" s="95"/>
      <c r="J31" s="115" t="s">
        <v>283</v>
      </c>
      <c r="K31" s="193" t="s">
        <v>298</v>
      </c>
      <c r="L31" s="121"/>
      <c r="M31" s="172"/>
      <c r="N31" s="93" t="s">
        <v>299</v>
      </c>
      <c r="O31" s="92" t="s">
        <v>300</v>
      </c>
      <c r="P31" s="88" t="s">
        <v>198</v>
      </c>
      <c r="Q31" s="88" t="s">
        <v>48</v>
      </c>
      <c r="R31" s="86">
        <v>9597359703</v>
      </c>
      <c r="S31" s="88" t="s">
        <v>62</v>
      </c>
      <c r="T31" s="94"/>
      <c r="U31" s="94"/>
      <c r="V31" s="94"/>
      <c r="W31" s="94"/>
      <c r="X31" s="94"/>
      <c r="Y31" s="131"/>
      <c r="Z31" s="131"/>
      <c r="AA31" s="131"/>
      <c r="AB31" s="131"/>
      <c r="AC31" s="131"/>
      <c r="AD31" s="127"/>
      <c r="AF31" s="121">
        <f>COUNTA('All Details for ACID Pastor'!$T31:$AB31)</f>
        <v>0</v>
      </c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63"/>
      <c r="AX31" s="163"/>
      <c r="AZ31" s="121" t="s">
        <v>139</v>
      </c>
      <c r="BA31" s="163"/>
      <c r="BB31" s="163"/>
      <c r="BC31" s="163"/>
      <c r="BF31" s="163">
        <f>COUNTA('All Details for ACID Pastor'!$T31:$AB31)</f>
        <v>0</v>
      </c>
    </row>
    <row r="32" spans="1:74" ht="70.150000000000006" customHeight="1">
      <c r="A32" s="107">
        <v>33</v>
      </c>
      <c r="B32" s="124" t="s">
        <v>301</v>
      </c>
      <c r="C32" s="90" t="s">
        <v>302</v>
      </c>
      <c r="D32" s="95" t="s">
        <v>53</v>
      </c>
      <c r="E32" s="95"/>
      <c r="F32" s="95"/>
      <c r="G32" s="95"/>
      <c r="H32" s="95"/>
      <c r="I32" s="95"/>
      <c r="J32" s="115" t="s">
        <v>303</v>
      </c>
      <c r="K32" s="193" t="s">
        <v>304</v>
      </c>
      <c r="L32" s="121"/>
      <c r="M32" s="172"/>
      <c r="N32" s="93" t="s">
        <v>305</v>
      </c>
      <c r="O32" s="92" t="s">
        <v>306</v>
      </c>
      <c r="P32" s="88" t="s">
        <v>190</v>
      </c>
      <c r="Q32" s="88" t="s">
        <v>48</v>
      </c>
      <c r="R32" s="86" t="s">
        <v>307</v>
      </c>
      <c r="S32" s="88" t="s">
        <v>62</v>
      </c>
      <c r="T32" s="94" t="s">
        <v>308</v>
      </c>
      <c r="U32" s="94" t="s">
        <v>309</v>
      </c>
      <c r="V32" s="94" t="s">
        <v>309</v>
      </c>
      <c r="W32" s="94" t="s">
        <v>149</v>
      </c>
      <c r="X32" s="94" t="s">
        <v>149</v>
      </c>
      <c r="Y32" s="94" t="s">
        <v>149</v>
      </c>
      <c r="Z32" s="131"/>
      <c r="AA32" s="131"/>
      <c r="AB32" s="131"/>
      <c r="AC32" s="131"/>
      <c r="AD32" s="127"/>
      <c r="AF32" s="121">
        <f>COUNTA('All Details for ACID Pastor'!$T32:$AB32)</f>
        <v>6</v>
      </c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63"/>
      <c r="AX32" s="163"/>
      <c r="AZ32" s="121" t="s">
        <v>49</v>
      </c>
      <c r="BA32" s="163"/>
      <c r="BB32" s="163"/>
      <c r="BC32" s="163"/>
      <c r="BF32" s="163">
        <f>COUNTA('All Details for ACID Pastor'!$T32:$AB32)</f>
        <v>6</v>
      </c>
    </row>
    <row r="33" spans="1:58" ht="70.150000000000006" customHeight="1">
      <c r="A33" s="107">
        <v>34</v>
      </c>
      <c r="B33" s="124" t="s">
        <v>310</v>
      </c>
      <c r="C33" s="90" t="s">
        <v>311</v>
      </c>
      <c r="D33" s="95" t="s">
        <v>53</v>
      </c>
      <c r="E33" s="95" t="s">
        <v>54</v>
      </c>
      <c r="F33" s="95"/>
      <c r="G33" s="95"/>
      <c r="H33" s="95"/>
      <c r="I33" s="95"/>
      <c r="J33" s="115" t="s">
        <v>312</v>
      </c>
      <c r="K33" s="193" t="s">
        <v>313</v>
      </c>
      <c r="L33" s="121"/>
      <c r="M33" s="172"/>
      <c r="N33" s="93" t="s">
        <v>314</v>
      </c>
      <c r="O33" s="92" t="s">
        <v>315</v>
      </c>
      <c r="P33" s="88" t="s">
        <v>94</v>
      </c>
      <c r="Q33" s="88" t="s">
        <v>48</v>
      </c>
      <c r="R33" s="86">
        <v>9159703810</v>
      </c>
      <c r="S33" s="88" t="s">
        <v>62</v>
      </c>
      <c r="T33" s="94" t="s">
        <v>96</v>
      </c>
      <c r="U33" s="94" t="s">
        <v>149</v>
      </c>
      <c r="V33" s="94" t="s">
        <v>149</v>
      </c>
      <c r="W33" s="94" t="s">
        <v>149</v>
      </c>
      <c r="X33" s="94" t="s">
        <v>149</v>
      </c>
      <c r="Y33" s="94" t="s">
        <v>149</v>
      </c>
      <c r="Z33" s="94" t="s">
        <v>149</v>
      </c>
      <c r="AA33" s="131"/>
      <c r="AB33" s="131"/>
      <c r="AC33" s="131"/>
      <c r="AD33" s="127"/>
      <c r="AF33" s="121">
        <f>COUNTA('All Details for ACID Pastor'!$T33:$AB33)</f>
        <v>7</v>
      </c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63"/>
      <c r="AX33" s="163"/>
      <c r="AZ33" s="121" t="s">
        <v>150</v>
      </c>
      <c r="BA33" s="163"/>
      <c r="BB33" s="163"/>
      <c r="BC33" s="163"/>
      <c r="BF33" s="163">
        <f>COUNTA('All Details for ACID Pastor'!$T33:$AB33)</f>
        <v>7</v>
      </c>
    </row>
    <row r="34" spans="1:58" ht="70.150000000000006" customHeight="1">
      <c r="A34" s="107">
        <v>35</v>
      </c>
      <c r="B34" s="124" t="s">
        <v>316</v>
      </c>
      <c r="C34" s="90" t="s">
        <v>317</v>
      </c>
      <c r="D34" s="95" t="s">
        <v>53</v>
      </c>
      <c r="E34" s="95"/>
      <c r="F34" s="95"/>
      <c r="G34" s="95"/>
      <c r="H34" s="95"/>
      <c r="I34" s="95"/>
      <c r="J34" s="115" t="s">
        <v>303</v>
      </c>
      <c r="K34" s="193" t="s">
        <v>318</v>
      </c>
      <c r="L34" s="121"/>
      <c r="M34" s="172"/>
      <c r="N34" s="93" t="s">
        <v>319</v>
      </c>
      <c r="O34" s="92" t="s">
        <v>320</v>
      </c>
      <c r="P34" s="88" t="s">
        <v>190</v>
      </c>
      <c r="Q34" s="88" t="s">
        <v>48</v>
      </c>
      <c r="R34" s="86" t="s">
        <v>321</v>
      </c>
      <c r="S34" s="88" t="s">
        <v>62</v>
      </c>
      <c r="T34" s="94" t="s">
        <v>119</v>
      </c>
      <c r="U34" s="94"/>
      <c r="V34" s="94"/>
      <c r="W34" s="94"/>
      <c r="X34" s="94"/>
      <c r="Y34" s="131"/>
      <c r="Z34" s="131"/>
      <c r="AA34" s="131"/>
      <c r="AB34" s="131"/>
      <c r="AC34" s="131"/>
      <c r="AD34" s="127"/>
      <c r="AF34" s="121">
        <f>COUNTA('All Details for ACID Pastor'!$T34:$AB34)</f>
        <v>1</v>
      </c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63"/>
      <c r="AX34" s="163"/>
      <c r="AZ34" s="121" t="s">
        <v>139</v>
      </c>
      <c r="BA34" s="163"/>
      <c r="BB34" s="163"/>
      <c r="BC34" s="163"/>
      <c r="BF34" s="163">
        <f>COUNTA('All Details for ACID Pastor'!$T34:$AB34)</f>
        <v>1</v>
      </c>
    </row>
    <row r="35" spans="1:58" ht="70.150000000000006" customHeight="1">
      <c r="A35" s="107">
        <v>36</v>
      </c>
      <c r="B35" s="124" t="s">
        <v>322</v>
      </c>
      <c r="C35" s="90" t="s">
        <v>323</v>
      </c>
      <c r="D35" s="95" t="s">
        <v>53</v>
      </c>
      <c r="E35" s="95" t="s">
        <v>176</v>
      </c>
      <c r="F35" s="95"/>
      <c r="G35" s="95"/>
      <c r="H35" s="95"/>
      <c r="I35" s="95"/>
      <c r="J35" s="115" t="s">
        <v>303</v>
      </c>
      <c r="K35" s="193" t="s">
        <v>324</v>
      </c>
      <c r="L35" s="121"/>
      <c r="M35" s="172" t="s">
        <v>325</v>
      </c>
      <c r="N35" s="93" t="s">
        <v>326</v>
      </c>
      <c r="O35" s="92" t="s">
        <v>327</v>
      </c>
      <c r="P35" s="88" t="s">
        <v>190</v>
      </c>
      <c r="Q35" s="88" t="s">
        <v>48</v>
      </c>
      <c r="R35" s="86" t="s">
        <v>328</v>
      </c>
      <c r="S35" s="88" t="s">
        <v>62</v>
      </c>
      <c r="T35" s="94" t="s">
        <v>75</v>
      </c>
      <c r="U35" s="94"/>
      <c r="V35" s="94"/>
      <c r="W35" s="94"/>
      <c r="X35" s="94"/>
      <c r="Y35" s="131"/>
      <c r="Z35" s="131"/>
      <c r="AA35" s="131"/>
      <c r="AB35" s="131"/>
      <c r="AC35" s="131"/>
      <c r="AD35" s="127"/>
      <c r="AF35" s="121">
        <f>COUNTA('All Details for ACID Pastor'!$T35:$AB35)</f>
        <v>1</v>
      </c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63"/>
      <c r="AX35" s="163"/>
      <c r="AZ35" s="121" t="s">
        <v>139</v>
      </c>
      <c r="BA35" s="163"/>
      <c r="BB35" s="163"/>
      <c r="BC35" s="163"/>
      <c r="BF35" s="163">
        <f>COUNTA('All Details for ACID Pastor'!$T35:$AB35)</f>
        <v>1</v>
      </c>
    </row>
    <row r="36" spans="1:58" ht="70.150000000000006" customHeight="1">
      <c r="A36" s="107">
        <v>37</v>
      </c>
      <c r="B36" s="124" t="s">
        <v>329</v>
      </c>
      <c r="C36" s="90" t="s">
        <v>330</v>
      </c>
      <c r="D36" s="95" t="s">
        <v>53</v>
      </c>
      <c r="E36" s="95" t="s">
        <v>54</v>
      </c>
      <c r="F36" s="95"/>
      <c r="G36" s="95"/>
      <c r="H36" s="95"/>
      <c r="I36" s="95"/>
      <c r="J36" s="115" t="s">
        <v>216</v>
      </c>
      <c r="K36" s="193" t="s">
        <v>331</v>
      </c>
      <c r="L36" s="121"/>
      <c r="M36" s="172"/>
      <c r="N36" s="93" t="s">
        <v>332</v>
      </c>
      <c r="O36" s="92" t="s">
        <v>333</v>
      </c>
      <c r="P36" s="88" t="s">
        <v>94</v>
      </c>
      <c r="Q36" s="88" t="s">
        <v>48</v>
      </c>
      <c r="R36" s="86" t="s">
        <v>334</v>
      </c>
      <c r="S36" s="88" t="s">
        <v>62</v>
      </c>
      <c r="T36" s="94" t="s">
        <v>148</v>
      </c>
      <c r="U36" s="94" t="s">
        <v>119</v>
      </c>
      <c r="V36" s="94" t="s">
        <v>78</v>
      </c>
      <c r="W36" s="94" t="s">
        <v>78</v>
      </c>
      <c r="X36" s="94" t="s">
        <v>78</v>
      </c>
      <c r="Y36" s="131"/>
      <c r="Z36" s="131"/>
      <c r="AA36" s="131"/>
      <c r="AB36" s="131"/>
      <c r="AC36" s="131"/>
      <c r="AD36" s="127"/>
      <c r="AF36" s="121">
        <f>COUNTA('All Details for ACID Pastor'!$T36:$AB36)</f>
        <v>5</v>
      </c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63"/>
      <c r="AX36" s="163"/>
      <c r="AZ36" s="121" t="s">
        <v>335</v>
      </c>
      <c r="BA36" s="163"/>
      <c r="BB36" s="163"/>
      <c r="BC36" s="163"/>
      <c r="BF36" s="163">
        <f>COUNTA('All Details for ACID Pastor'!$T36:$AB36)</f>
        <v>5</v>
      </c>
    </row>
    <row r="37" spans="1:58" ht="70.150000000000006" customHeight="1">
      <c r="A37" s="107">
        <v>38</v>
      </c>
      <c r="B37" s="124" t="s">
        <v>336</v>
      </c>
      <c r="C37" s="90" t="s">
        <v>337</v>
      </c>
      <c r="D37" s="95" t="s">
        <v>53</v>
      </c>
      <c r="E37" s="95" t="s">
        <v>54</v>
      </c>
      <c r="F37" s="95"/>
      <c r="G37" s="95"/>
      <c r="H37" s="95"/>
      <c r="I37" s="95"/>
      <c r="J37" s="115" t="s">
        <v>216</v>
      </c>
      <c r="K37" s="193" t="s">
        <v>338</v>
      </c>
      <c r="L37" s="121"/>
      <c r="M37" s="172"/>
      <c r="N37" s="93" t="s">
        <v>339</v>
      </c>
      <c r="O37" s="92" t="s">
        <v>340</v>
      </c>
      <c r="P37" s="88" t="s">
        <v>94</v>
      </c>
      <c r="Q37" s="88" t="s">
        <v>48</v>
      </c>
      <c r="R37" s="86" t="s">
        <v>341</v>
      </c>
      <c r="S37" s="88" t="s">
        <v>62</v>
      </c>
      <c r="T37" s="94" t="s">
        <v>148</v>
      </c>
      <c r="U37" s="94"/>
      <c r="V37" s="94"/>
      <c r="W37" s="94"/>
      <c r="X37" s="94"/>
      <c r="Y37" s="131"/>
      <c r="Z37" s="131"/>
      <c r="AA37" s="131"/>
      <c r="AB37" s="131"/>
      <c r="AC37" s="131"/>
      <c r="AD37" s="127"/>
      <c r="AF37" s="121">
        <f>COUNTA('All Details for ACID Pastor'!$T37:$AB37)</f>
        <v>1</v>
      </c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63"/>
      <c r="AX37" s="163"/>
      <c r="AZ37" s="121" t="s">
        <v>342</v>
      </c>
      <c r="BA37" s="163"/>
      <c r="BB37" s="163"/>
      <c r="BC37" s="163"/>
      <c r="BF37" s="163">
        <f>COUNTA('All Details for ACID Pastor'!$T37:$AB37)</f>
        <v>1</v>
      </c>
    </row>
    <row r="38" spans="1:58" ht="70.150000000000006" customHeight="1">
      <c r="A38" s="107">
        <v>39</v>
      </c>
      <c r="B38" s="124" t="s">
        <v>343</v>
      </c>
      <c r="C38" s="90" t="s">
        <v>344</v>
      </c>
      <c r="D38" s="95" t="s">
        <v>132</v>
      </c>
      <c r="E38" s="95" t="s">
        <v>54</v>
      </c>
      <c r="F38" s="95"/>
      <c r="G38" s="95"/>
      <c r="H38" s="95"/>
      <c r="I38" s="95"/>
      <c r="J38" s="115" t="s">
        <v>216</v>
      </c>
      <c r="K38" s="193" t="s">
        <v>345</v>
      </c>
      <c r="L38" s="121" t="s">
        <v>4209</v>
      </c>
      <c r="M38" s="172" t="s">
        <v>346</v>
      </c>
      <c r="N38" s="93" t="s">
        <v>347</v>
      </c>
      <c r="O38" s="92" t="s">
        <v>348</v>
      </c>
      <c r="P38" s="88" t="s">
        <v>198</v>
      </c>
      <c r="Q38" s="88" t="s">
        <v>48</v>
      </c>
      <c r="R38" s="86" t="s">
        <v>349</v>
      </c>
      <c r="S38" s="88" t="s">
        <v>62</v>
      </c>
      <c r="T38" s="94" t="s">
        <v>148</v>
      </c>
      <c r="U38" s="94" t="s">
        <v>119</v>
      </c>
      <c r="V38" s="94" t="s">
        <v>350</v>
      </c>
      <c r="W38" s="94" t="s">
        <v>184</v>
      </c>
      <c r="X38" s="94" t="s">
        <v>78</v>
      </c>
      <c r="Y38" s="127" t="s">
        <v>351</v>
      </c>
      <c r="Z38" s="127" t="s">
        <v>99</v>
      </c>
      <c r="AA38" s="127" t="s">
        <v>99</v>
      </c>
      <c r="AB38" s="127" t="s">
        <v>99</v>
      </c>
      <c r="AC38" s="131"/>
      <c r="AD38" s="127" t="s">
        <v>4222</v>
      </c>
      <c r="AF38" s="121">
        <f>COUNTA('All Details for ACID Pastor'!$T38:$AB38)</f>
        <v>9</v>
      </c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63"/>
      <c r="AX38" s="163"/>
      <c r="AZ38" s="121" t="s">
        <v>49</v>
      </c>
      <c r="BA38" s="163"/>
      <c r="BB38" s="163"/>
      <c r="BC38" s="163"/>
      <c r="BE38" s="283">
        <v>1</v>
      </c>
      <c r="BF38" s="163">
        <v>10</v>
      </c>
    </row>
    <row r="39" spans="1:58" ht="70.150000000000006" customHeight="1">
      <c r="A39" s="107">
        <v>40</v>
      </c>
      <c r="B39" s="124" t="s">
        <v>352</v>
      </c>
      <c r="C39" s="90" t="s">
        <v>353</v>
      </c>
      <c r="D39" s="95" t="s">
        <v>53</v>
      </c>
      <c r="E39" s="95" t="s">
        <v>54</v>
      </c>
      <c r="F39" s="95"/>
      <c r="G39" s="95"/>
      <c r="H39" s="95"/>
      <c r="I39" s="95"/>
      <c r="J39" s="115" t="s">
        <v>216</v>
      </c>
      <c r="K39" s="193" t="s">
        <v>354</v>
      </c>
      <c r="L39" s="121"/>
      <c r="M39" s="172"/>
      <c r="N39" s="93" t="s">
        <v>355</v>
      </c>
      <c r="O39" s="92" t="s">
        <v>356</v>
      </c>
      <c r="P39" s="88" t="s">
        <v>94</v>
      </c>
      <c r="Q39" s="88" t="s">
        <v>48</v>
      </c>
      <c r="R39" s="86">
        <v>9843882971</v>
      </c>
      <c r="S39" s="88" t="s">
        <v>62</v>
      </c>
      <c r="T39" s="94" t="s">
        <v>75</v>
      </c>
      <c r="U39" s="94" t="s">
        <v>119</v>
      </c>
      <c r="V39" s="94"/>
      <c r="W39" s="94"/>
      <c r="X39" s="94"/>
      <c r="Y39" s="131"/>
      <c r="Z39" s="131"/>
      <c r="AA39" s="131"/>
      <c r="AB39" s="131"/>
      <c r="AC39" s="131"/>
      <c r="AD39" s="127"/>
      <c r="AF39" s="121">
        <f>COUNTA('All Details for ACID Pastor'!$T39:$AB39)</f>
        <v>2</v>
      </c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63"/>
      <c r="AX39" s="163"/>
      <c r="AZ39" s="121" t="s">
        <v>218</v>
      </c>
      <c r="BA39" s="163"/>
      <c r="BB39" s="163"/>
      <c r="BC39" s="163"/>
      <c r="BF39" s="163">
        <f>COUNTA('All Details for ACID Pastor'!$T39:$AB39)</f>
        <v>2</v>
      </c>
    </row>
    <row r="40" spans="1:58" ht="70.150000000000006" customHeight="1">
      <c r="A40" s="107">
        <v>41</v>
      </c>
      <c r="B40" s="124" t="s">
        <v>357</v>
      </c>
      <c r="C40" s="90" t="s">
        <v>358</v>
      </c>
      <c r="D40" s="95" t="s">
        <v>53</v>
      </c>
      <c r="E40" s="95" t="s">
        <v>54</v>
      </c>
      <c r="F40" s="95"/>
      <c r="G40" s="95"/>
      <c r="H40" s="95"/>
      <c r="I40" s="95"/>
      <c r="J40" s="115" t="s">
        <v>216</v>
      </c>
      <c r="K40" s="193" t="s">
        <v>359</v>
      </c>
      <c r="L40" s="121"/>
      <c r="M40" s="172"/>
      <c r="N40" s="93" t="s">
        <v>360</v>
      </c>
      <c r="O40" s="92" t="s">
        <v>361</v>
      </c>
      <c r="P40" s="88" t="s">
        <v>94</v>
      </c>
      <c r="Q40" s="88" t="s">
        <v>48</v>
      </c>
      <c r="R40" s="86" t="s">
        <v>362</v>
      </c>
      <c r="S40" s="88" t="s">
        <v>62</v>
      </c>
      <c r="T40" s="94" t="s">
        <v>75</v>
      </c>
      <c r="U40" s="94"/>
      <c r="V40" s="94"/>
      <c r="W40" s="94"/>
      <c r="X40" s="94"/>
      <c r="Y40" s="131"/>
      <c r="Z40" s="131"/>
      <c r="AA40" s="131"/>
      <c r="AB40" s="131"/>
      <c r="AC40" s="131"/>
      <c r="AD40" s="127"/>
      <c r="AF40" s="121">
        <f>COUNTA('All Details for ACID Pastor'!$T40:$AB40)</f>
        <v>1</v>
      </c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63"/>
      <c r="AX40" s="163"/>
      <c r="AZ40" s="121" t="s">
        <v>363</v>
      </c>
      <c r="BA40" s="163"/>
      <c r="BB40" s="163"/>
      <c r="BC40" s="163"/>
      <c r="BF40" s="163">
        <f>COUNTA('All Details for ACID Pastor'!$T40:$AB40)</f>
        <v>1</v>
      </c>
    </row>
    <row r="41" spans="1:58" ht="70.150000000000006" customHeight="1">
      <c r="A41" s="107">
        <v>42</v>
      </c>
      <c r="B41" s="124" t="s">
        <v>364</v>
      </c>
      <c r="C41" s="90" t="s">
        <v>365</v>
      </c>
      <c r="D41" s="95" t="s">
        <v>53</v>
      </c>
      <c r="E41" s="95" t="s">
        <v>54</v>
      </c>
      <c r="F41" s="95"/>
      <c r="G41" s="95"/>
      <c r="H41" s="95"/>
      <c r="I41" s="95"/>
      <c r="J41" s="115" t="s">
        <v>216</v>
      </c>
      <c r="K41" s="193" t="s">
        <v>366</v>
      </c>
      <c r="L41" s="121"/>
      <c r="M41" s="172" t="s">
        <v>367</v>
      </c>
      <c r="N41" s="93" t="s">
        <v>368</v>
      </c>
      <c r="O41" s="92" t="s">
        <v>369</v>
      </c>
      <c r="P41" s="88" t="s">
        <v>73</v>
      </c>
      <c r="Q41" s="88" t="s">
        <v>48</v>
      </c>
      <c r="R41" s="86">
        <v>9789689647</v>
      </c>
      <c r="S41" s="88" t="s">
        <v>62</v>
      </c>
      <c r="T41" s="94" t="s">
        <v>75</v>
      </c>
      <c r="U41" s="94" t="s">
        <v>370</v>
      </c>
      <c r="V41" s="94" t="s">
        <v>77</v>
      </c>
      <c r="W41" s="94"/>
      <c r="X41" s="94"/>
      <c r="Y41" s="131"/>
      <c r="Z41" s="131"/>
      <c r="AA41" s="131"/>
      <c r="AB41" s="131"/>
      <c r="AC41" s="131"/>
      <c r="AD41" s="127"/>
      <c r="AF41" s="121">
        <f>COUNTA('All Details for ACID Pastor'!$T41:$AB41)</f>
        <v>3</v>
      </c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63"/>
      <c r="AX41" s="163"/>
      <c r="AZ41" s="121" t="s">
        <v>139</v>
      </c>
      <c r="BA41" s="163"/>
      <c r="BB41" s="163"/>
      <c r="BC41" s="163"/>
      <c r="BF41" s="163">
        <f>COUNTA('All Details for ACID Pastor'!$T41:$AB41)</f>
        <v>3</v>
      </c>
    </row>
    <row r="42" spans="1:58" ht="70.150000000000006" customHeight="1">
      <c r="A42" s="107">
        <v>43</v>
      </c>
      <c r="B42" s="124" t="s">
        <v>371</v>
      </c>
      <c r="C42" s="90" t="s">
        <v>372</v>
      </c>
      <c r="D42" s="95" t="s">
        <v>53</v>
      </c>
      <c r="E42" s="95" t="s">
        <v>54</v>
      </c>
      <c r="F42" s="95"/>
      <c r="G42" s="95"/>
      <c r="H42" s="95"/>
      <c r="I42" s="95"/>
      <c r="J42" s="115" t="s">
        <v>103</v>
      </c>
      <c r="K42" s="193" t="s">
        <v>373</v>
      </c>
      <c r="L42" s="121"/>
      <c r="M42" s="172"/>
      <c r="N42" s="93" t="s">
        <v>374</v>
      </c>
      <c r="O42" s="92" t="s">
        <v>375</v>
      </c>
      <c r="P42" s="88" t="s">
        <v>73</v>
      </c>
      <c r="Q42" s="88" t="s">
        <v>48</v>
      </c>
      <c r="R42" s="86">
        <v>9363066544</v>
      </c>
      <c r="S42" s="88" t="s">
        <v>62</v>
      </c>
      <c r="T42" s="94" t="s">
        <v>75</v>
      </c>
      <c r="U42" s="94"/>
      <c r="V42" s="94"/>
      <c r="W42" s="94"/>
      <c r="X42" s="94"/>
      <c r="Y42" s="131"/>
      <c r="Z42" s="131"/>
      <c r="AA42" s="131"/>
      <c r="AB42" s="131"/>
      <c r="AC42" s="131"/>
      <c r="AD42" s="127"/>
      <c r="AF42" s="121">
        <f>COUNTA('All Details for ACID Pastor'!$T42:$AB42)</f>
        <v>1</v>
      </c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63"/>
      <c r="AX42" s="163"/>
      <c r="AZ42" s="121" t="s">
        <v>139</v>
      </c>
      <c r="BA42" s="163"/>
      <c r="BB42" s="163"/>
      <c r="BC42" s="163"/>
      <c r="BF42" s="163">
        <f>COUNTA('All Details for ACID Pastor'!$T42:$AB42)</f>
        <v>1</v>
      </c>
    </row>
    <row r="43" spans="1:58" ht="70.150000000000006" customHeight="1">
      <c r="A43" s="107">
        <v>44</v>
      </c>
      <c r="B43" s="124" t="s">
        <v>376</v>
      </c>
      <c r="C43" s="90" t="s">
        <v>377</v>
      </c>
      <c r="D43" s="95" t="s">
        <v>53</v>
      </c>
      <c r="E43" s="95" t="s">
        <v>54</v>
      </c>
      <c r="F43" s="95"/>
      <c r="G43" s="95"/>
      <c r="H43" s="95"/>
      <c r="I43" s="95"/>
      <c r="J43" s="115" t="s">
        <v>283</v>
      </c>
      <c r="K43" s="193" t="s">
        <v>378</v>
      </c>
      <c r="L43" s="121"/>
      <c r="M43" s="172"/>
      <c r="N43" s="93" t="s">
        <v>379</v>
      </c>
      <c r="O43" s="92" t="s">
        <v>380</v>
      </c>
      <c r="P43" s="88" t="s">
        <v>198</v>
      </c>
      <c r="Q43" s="88" t="s">
        <v>48</v>
      </c>
      <c r="R43" s="86">
        <v>9489028326</v>
      </c>
      <c r="S43" s="88" t="s">
        <v>62</v>
      </c>
      <c r="T43" s="94" t="s">
        <v>381</v>
      </c>
      <c r="U43" s="94" t="s">
        <v>381</v>
      </c>
      <c r="V43" s="94" t="s">
        <v>381</v>
      </c>
      <c r="W43" s="94"/>
      <c r="X43" s="94"/>
      <c r="Y43" s="131"/>
      <c r="Z43" s="131"/>
      <c r="AA43" s="131"/>
      <c r="AB43" s="131"/>
      <c r="AC43" s="131"/>
      <c r="AD43" s="127"/>
      <c r="AF43" s="121">
        <f>COUNTA('All Details for ACID Pastor'!$T43:$AB43)</f>
        <v>3</v>
      </c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63"/>
      <c r="AX43" s="163"/>
      <c r="AZ43" s="121" t="s">
        <v>139</v>
      </c>
      <c r="BA43" s="163"/>
      <c r="BB43" s="163"/>
      <c r="BC43" s="163"/>
      <c r="BF43" s="163">
        <f>COUNTA('All Details for ACID Pastor'!$T43:$AB43)</f>
        <v>3</v>
      </c>
    </row>
    <row r="44" spans="1:58" ht="70.150000000000006" customHeight="1">
      <c r="A44" s="107">
        <v>45</v>
      </c>
      <c r="B44" s="124" t="s">
        <v>382</v>
      </c>
      <c r="C44" s="90" t="s">
        <v>383</v>
      </c>
      <c r="D44" s="95" t="s">
        <v>53</v>
      </c>
      <c r="E44" s="95" t="s">
        <v>54</v>
      </c>
      <c r="F44" s="95"/>
      <c r="G44" s="95"/>
      <c r="H44" s="95"/>
      <c r="I44" s="95"/>
      <c r="J44" s="115" t="s">
        <v>103</v>
      </c>
      <c r="K44" s="193" t="s">
        <v>384</v>
      </c>
      <c r="L44" s="121"/>
      <c r="M44" s="172"/>
      <c r="N44" s="93" t="s">
        <v>385</v>
      </c>
      <c r="O44" s="92" t="s">
        <v>386</v>
      </c>
      <c r="P44" s="88" t="s">
        <v>73</v>
      </c>
      <c r="Q44" s="88" t="s">
        <v>48</v>
      </c>
      <c r="R44" s="86">
        <v>9344634226</v>
      </c>
      <c r="S44" s="88" t="s">
        <v>62</v>
      </c>
      <c r="T44" s="94"/>
      <c r="U44" s="94"/>
      <c r="V44" s="94"/>
      <c r="W44" s="94"/>
      <c r="X44" s="94"/>
      <c r="Y44" s="131"/>
      <c r="Z44" s="131"/>
      <c r="AA44" s="131"/>
      <c r="AB44" s="131"/>
      <c r="AC44" s="131"/>
      <c r="AD44" s="127"/>
      <c r="AF44" s="121">
        <f>COUNTA('All Details for ACID Pastor'!$T44:$AB44)</f>
        <v>0</v>
      </c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63"/>
      <c r="AX44" s="163"/>
      <c r="AZ44" s="121" t="s">
        <v>139</v>
      </c>
      <c r="BA44" s="163"/>
      <c r="BB44" s="163"/>
      <c r="BC44" s="163"/>
      <c r="BF44" s="163">
        <f>COUNTA('All Details for ACID Pastor'!$T44:$AB44)</f>
        <v>0</v>
      </c>
    </row>
    <row r="45" spans="1:58" ht="70.150000000000006" customHeight="1">
      <c r="A45" s="107">
        <v>46</v>
      </c>
      <c r="B45" s="124" t="s">
        <v>387</v>
      </c>
      <c r="C45" s="90" t="s">
        <v>388</v>
      </c>
      <c r="D45" s="95" t="s">
        <v>53</v>
      </c>
      <c r="E45" s="95" t="s">
        <v>54</v>
      </c>
      <c r="F45" s="95"/>
      <c r="G45" s="95"/>
      <c r="H45" s="95"/>
      <c r="I45" s="95"/>
      <c r="J45" s="115" t="s">
        <v>103</v>
      </c>
      <c r="K45" s="193" t="s">
        <v>389</v>
      </c>
      <c r="L45" s="121"/>
      <c r="M45" s="172" t="s">
        <v>390</v>
      </c>
      <c r="N45" s="93" t="s">
        <v>391</v>
      </c>
      <c r="O45" s="92" t="s">
        <v>392</v>
      </c>
      <c r="P45" s="88" t="s">
        <v>73</v>
      </c>
      <c r="Q45" s="88" t="s">
        <v>48</v>
      </c>
      <c r="R45" s="86">
        <v>9626569200</v>
      </c>
      <c r="S45" s="88" t="s">
        <v>62</v>
      </c>
      <c r="T45" s="94"/>
      <c r="U45" s="94"/>
      <c r="V45" s="94"/>
      <c r="W45" s="94"/>
      <c r="X45" s="94"/>
      <c r="Y45" s="131"/>
      <c r="Z45" s="131"/>
      <c r="AA45" s="131"/>
      <c r="AB45" s="131"/>
      <c r="AC45" s="131"/>
      <c r="AD45" s="127"/>
      <c r="AF45" s="121">
        <f>COUNTA('All Details for ACID Pastor'!$T45:$AB45)</f>
        <v>0</v>
      </c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63"/>
      <c r="AX45" s="163"/>
      <c r="AZ45" s="121" t="s">
        <v>139</v>
      </c>
      <c r="BA45" s="163"/>
      <c r="BB45" s="163"/>
      <c r="BC45" s="163"/>
      <c r="BF45" s="163">
        <f>COUNTA('All Details for ACID Pastor'!$T45:$AB45)</f>
        <v>0</v>
      </c>
    </row>
    <row r="46" spans="1:58" ht="70.150000000000006" customHeight="1">
      <c r="A46" s="107">
        <v>47</v>
      </c>
      <c r="B46" s="124" t="s">
        <v>393</v>
      </c>
      <c r="C46" s="90" t="s">
        <v>394</v>
      </c>
      <c r="D46" s="95" t="s">
        <v>53</v>
      </c>
      <c r="E46" s="95" t="s">
        <v>54</v>
      </c>
      <c r="F46" s="95"/>
      <c r="G46" s="95"/>
      <c r="H46" s="95"/>
      <c r="I46" s="95"/>
      <c r="J46" s="115" t="s">
        <v>283</v>
      </c>
      <c r="K46" s="193" t="s">
        <v>395</v>
      </c>
      <c r="L46" s="121"/>
      <c r="M46" s="172"/>
      <c r="N46" s="93" t="s">
        <v>396</v>
      </c>
      <c r="O46" s="92" t="s">
        <v>397</v>
      </c>
      <c r="P46" s="88" t="s">
        <v>94</v>
      </c>
      <c r="Q46" s="88" t="s">
        <v>48</v>
      </c>
      <c r="R46" s="86" t="s">
        <v>398</v>
      </c>
      <c r="S46" s="88" t="s">
        <v>62</v>
      </c>
      <c r="T46" s="94" t="s">
        <v>75</v>
      </c>
      <c r="U46" s="94" t="s">
        <v>119</v>
      </c>
      <c r="V46" s="94"/>
      <c r="W46" s="94"/>
      <c r="X46" s="94"/>
      <c r="Y46" s="131"/>
      <c r="Z46" s="131"/>
      <c r="AA46" s="131"/>
      <c r="AB46" s="131"/>
      <c r="AC46" s="131"/>
      <c r="AD46" s="127"/>
      <c r="AF46" s="121">
        <f>COUNTA('All Details for ACID Pastor'!$T46:$AB46)</f>
        <v>2</v>
      </c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63"/>
      <c r="AX46" s="163"/>
      <c r="AZ46" s="121" t="s">
        <v>399</v>
      </c>
      <c r="BA46" s="163"/>
      <c r="BB46" s="163"/>
      <c r="BC46" s="163"/>
      <c r="BF46" s="163">
        <f>COUNTA('All Details for ACID Pastor'!$T46:$AB46)</f>
        <v>2</v>
      </c>
    </row>
    <row r="47" spans="1:58" ht="70.150000000000006" customHeight="1">
      <c r="A47" s="107">
        <v>48</v>
      </c>
      <c r="B47" s="124" t="s">
        <v>400</v>
      </c>
      <c r="C47" s="90" t="s">
        <v>401</v>
      </c>
      <c r="D47" s="91" t="s">
        <v>4205</v>
      </c>
      <c r="E47" s="95" t="s">
        <v>54</v>
      </c>
      <c r="F47" s="95"/>
      <c r="G47" s="95"/>
      <c r="H47" s="95"/>
      <c r="I47" s="95"/>
      <c r="J47" s="115" t="s">
        <v>55</v>
      </c>
      <c r="K47" s="193" t="s">
        <v>402</v>
      </c>
      <c r="L47" s="121"/>
      <c r="M47" s="172"/>
      <c r="N47" s="93" t="s">
        <v>403</v>
      </c>
      <c r="O47" s="92" t="s">
        <v>46</v>
      </c>
      <c r="P47" s="88" t="s">
        <v>47</v>
      </c>
      <c r="Q47" s="88" t="s">
        <v>48</v>
      </c>
      <c r="R47" s="86">
        <v>9791749922</v>
      </c>
      <c r="S47" s="88" t="s">
        <v>62</v>
      </c>
      <c r="T47" s="94" t="s">
        <v>75</v>
      </c>
      <c r="U47" s="94"/>
      <c r="V47" s="94"/>
      <c r="W47" s="94"/>
      <c r="X47" s="94"/>
      <c r="Y47" s="127"/>
      <c r="Z47" s="127"/>
      <c r="AA47" s="127"/>
      <c r="AB47" s="127"/>
      <c r="AC47" s="131"/>
      <c r="AD47" s="127"/>
      <c r="AF47" s="121">
        <f>COUNTA('All Details for ACID Pastor'!$T47:$AB47)</f>
        <v>1</v>
      </c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63"/>
      <c r="AX47" s="163"/>
      <c r="AZ47" s="121" t="s">
        <v>49</v>
      </c>
      <c r="BA47" s="163"/>
      <c r="BB47" s="163"/>
      <c r="BC47" s="163"/>
      <c r="BF47" s="163">
        <f>COUNTA('All Details for ACID Pastor'!$T47:$AB47)</f>
        <v>1</v>
      </c>
    </row>
    <row r="48" spans="1:58" ht="70.150000000000006" customHeight="1">
      <c r="A48" s="107">
        <v>49</v>
      </c>
      <c r="B48" s="124" t="s">
        <v>404</v>
      </c>
      <c r="C48" s="90" t="s">
        <v>405</v>
      </c>
      <c r="D48" s="95" t="s">
        <v>53</v>
      </c>
      <c r="E48" s="95" t="s">
        <v>68</v>
      </c>
      <c r="F48" s="95"/>
      <c r="G48" s="95"/>
      <c r="H48" s="95"/>
      <c r="I48" s="95"/>
      <c r="J48" s="115" t="s">
        <v>406</v>
      </c>
      <c r="K48" s="193" t="s">
        <v>407</v>
      </c>
      <c r="L48" s="121"/>
      <c r="M48" s="172"/>
      <c r="N48" s="93" t="s">
        <v>408</v>
      </c>
      <c r="O48" s="92" t="s">
        <v>232</v>
      </c>
      <c r="P48" s="88" t="s">
        <v>233</v>
      </c>
      <c r="Q48" s="88" t="s">
        <v>48</v>
      </c>
      <c r="R48" s="86">
        <v>9787533021</v>
      </c>
      <c r="S48" s="88" t="s">
        <v>62</v>
      </c>
      <c r="T48" s="94"/>
      <c r="U48" s="94"/>
      <c r="V48" s="94"/>
      <c r="W48" s="94"/>
      <c r="X48" s="94"/>
      <c r="Y48" s="131"/>
      <c r="Z48" s="131"/>
      <c r="AA48" s="131"/>
      <c r="AB48" s="131"/>
      <c r="AC48" s="131"/>
      <c r="AD48" s="127"/>
      <c r="AF48" s="121">
        <f>COUNTA('All Details for ACID Pastor'!$T48:$AB48)</f>
        <v>0</v>
      </c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63"/>
      <c r="AX48" s="163"/>
      <c r="AZ48" s="121" t="s">
        <v>139</v>
      </c>
      <c r="BA48" s="163"/>
      <c r="BB48" s="163"/>
      <c r="BC48" s="163"/>
      <c r="BF48" s="163">
        <f>COUNTA('All Details for ACID Pastor'!$T48:$AB48)</f>
        <v>0</v>
      </c>
    </row>
    <row r="49" spans="1:58" ht="70.150000000000006" customHeight="1">
      <c r="A49" s="107">
        <v>50</v>
      </c>
      <c r="B49" s="124" t="s">
        <v>409</v>
      </c>
      <c r="C49" s="90" t="s">
        <v>410</v>
      </c>
      <c r="D49" s="95" t="s">
        <v>53</v>
      </c>
      <c r="E49" s="95" t="s">
        <v>68</v>
      </c>
      <c r="F49" s="95"/>
      <c r="G49" s="95"/>
      <c r="H49" s="95"/>
      <c r="I49" s="95"/>
      <c r="J49" s="115" t="s">
        <v>103</v>
      </c>
      <c r="K49" s="193" t="s">
        <v>411</v>
      </c>
      <c r="L49" s="121"/>
      <c r="M49" s="172"/>
      <c r="N49" s="93" t="s">
        <v>412</v>
      </c>
      <c r="O49" s="92" t="s">
        <v>413</v>
      </c>
      <c r="P49" s="88" t="s">
        <v>73</v>
      </c>
      <c r="Q49" s="88" t="s">
        <v>48</v>
      </c>
      <c r="R49" s="86">
        <v>9788770029</v>
      </c>
      <c r="S49" s="88" t="s">
        <v>62</v>
      </c>
      <c r="T49" s="94"/>
      <c r="U49" s="94"/>
      <c r="V49" s="94"/>
      <c r="W49" s="94"/>
      <c r="X49" s="94"/>
      <c r="Y49" s="131"/>
      <c r="Z49" s="131"/>
      <c r="AA49" s="131"/>
      <c r="AB49" s="131"/>
      <c r="AC49" s="131"/>
      <c r="AD49" s="127"/>
      <c r="AF49" s="121">
        <f>COUNTA('All Details for ACID Pastor'!$T49:$AB49)</f>
        <v>0</v>
      </c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63"/>
      <c r="AX49" s="163"/>
      <c r="AZ49" s="121" t="s">
        <v>139</v>
      </c>
      <c r="BA49" s="163"/>
      <c r="BB49" s="163"/>
      <c r="BC49" s="163"/>
      <c r="BF49" s="163">
        <f>COUNTA('All Details for ACID Pastor'!$T49:$AB49)</f>
        <v>0</v>
      </c>
    </row>
    <row r="50" spans="1:58" ht="70.150000000000006" customHeight="1">
      <c r="A50" s="107">
        <v>51</v>
      </c>
      <c r="B50" s="124" t="s">
        <v>414</v>
      </c>
      <c r="C50" s="90" t="s">
        <v>415</v>
      </c>
      <c r="D50" s="95" t="s">
        <v>53</v>
      </c>
      <c r="E50" s="95" t="s">
        <v>54</v>
      </c>
      <c r="F50" s="95"/>
      <c r="G50" s="95"/>
      <c r="H50" s="95"/>
      <c r="I50" s="95"/>
      <c r="J50" s="115" t="s">
        <v>103</v>
      </c>
      <c r="K50" s="193" t="s">
        <v>416</v>
      </c>
      <c r="L50" s="121"/>
      <c r="M50" s="172"/>
      <c r="N50" s="93" t="s">
        <v>417</v>
      </c>
      <c r="O50" s="92" t="s">
        <v>418</v>
      </c>
      <c r="P50" s="88" t="s">
        <v>73</v>
      </c>
      <c r="Q50" s="88" t="s">
        <v>48</v>
      </c>
      <c r="R50" s="86">
        <v>9345247227</v>
      </c>
      <c r="S50" s="88" t="s">
        <v>62</v>
      </c>
      <c r="T50" s="94"/>
      <c r="U50" s="94"/>
      <c r="V50" s="94"/>
      <c r="W50" s="94"/>
      <c r="X50" s="94"/>
      <c r="Y50" s="131"/>
      <c r="Z50" s="131"/>
      <c r="AA50" s="131"/>
      <c r="AB50" s="131"/>
      <c r="AC50" s="131"/>
      <c r="AD50" s="127"/>
      <c r="AF50" s="121">
        <f>COUNTA('All Details for ACID Pastor'!$T50:$AB50)</f>
        <v>0</v>
      </c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63"/>
      <c r="AX50" s="163"/>
      <c r="AZ50" s="121" t="s">
        <v>139</v>
      </c>
      <c r="BA50" s="163"/>
      <c r="BB50" s="163"/>
      <c r="BC50" s="163"/>
      <c r="BF50" s="163">
        <f>COUNTA('All Details for ACID Pastor'!$T50:$AB50)</f>
        <v>0</v>
      </c>
    </row>
    <row r="51" spans="1:58" ht="70.150000000000006" customHeight="1">
      <c r="A51" s="107">
        <v>52</v>
      </c>
      <c r="B51" s="124" t="s">
        <v>419</v>
      </c>
      <c r="C51" s="90" t="s">
        <v>420</v>
      </c>
      <c r="D51" s="95" t="s">
        <v>53</v>
      </c>
      <c r="E51" s="95" t="s">
        <v>54</v>
      </c>
      <c r="F51" s="95"/>
      <c r="G51" s="95"/>
      <c r="H51" s="95"/>
      <c r="I51" s="95"/>
      <c r="J51" s="115" t="s">
        <v>103</v>
      </c>
      <c r="K51" s="193" t="s">
        <v>421</v>
      </c>
      <c r="L51" s="121"/>
      <c r="M51" s="172"/>
      <c r="N51" s="93" t="s">
        <v>422</v>
      </c>
      <c r="O51" s="92" t="s">
        <v>423</v>
      </c>
      <c r="P51" s="88" t="s">
        <v>73</v>
      </c>
      <c r="Q51" s="88" t="s">
        <v>48</v>
      </c>
      <c r="R51" s="86">
        <v>9952187752</v>
      </c>
      <c r="S51" s="88" t="s">
        <v>62</v>
      </c>
      <c r="T51" s="94" t="s">
        <v>148</v>
      </c>
      <c r="U51" s="94"/>
      <c r="V51" s="94"/>
      <c r="W51" s="94"/>
      <c r="X51" s="94"/>
      <c r="Y51" s="131"/>
      <c r="Z51" s="131"/>
      <c r="AA51" s="131"/>
      <c r="AB51" s="131"/>
      <c r="AC51" s="131"/>
      <c r="AD51" s="127"/>
      <c r="AF51" s="121">
        <f>COUNTA('All Details for ACID Pastor'!$T51:$AB51)</f>
        <v>1</v>
      </c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63"/>
      <c r="AX51" s="163"/>
      <c r="AZ51" s="121" t="s">
        <v>139</v>
      </c>
      <c r="BA51" s="163"/>
      <c r="BB51" s="163"/>
      <c r="BC51" s="163"/>
      <c r="BF51" s="163">
        <f>COUNTA('All Details for ACID Pastor'!$T51:$AB51)</f>
        <v>1</v>
      </c>
    </row>
    <row r="52" spans="1:58" ht="70.150000000000006" customHeight="1">
      <c r="A52" s="107">
        <v>53</v>
      </c>
      <c r="B52" s="124" t="s">
        <v>424</v>
      </c>
      <c r="C52" s="90" t="s">
        <v>425</v>
      </c>
      <c r="D52" s="95" t="s">
        <v>53</v>
      </c>
      <c r="E52" s="95" t="s">
        <v>54</v>
      </c>
      <c r="F52" s="95"/>
      <c r="G52" s="95"/>
      <c r="H52" s="95"/>
      <c r="I52" s="95"/>
      <c r="J52" s="115" t="s">
        <v>103</v>
      </c>
      <c r="K52" s="193" t="s">
        <v>426</v>
      </c>
      <c r="L52" s="121"/>
      <c r="M52" s="172"/>
      <c r="N52" s="93" t="s">
        <v>427</v>
      </c>
      <c r="O52" s="92" t="s">
        <v>428</v>
      </c>
      <c r="P52" s="88" t="s">
        <v>73</v>
      </c>
      <c r="Q52" s="88" t="s">
        <v>48</v>
      </c>
      <c r="R52" s="86">
        <v>8098670196</v>
      </c>
      <c r="S52" s="88" t="s">
        <v>62</v>
      </c>
      <c r="T52" s="94"/>
      <c r="U52" s="94"/>
      <c r="V52" s="94"/>
      <c r="W52" s="94"/>
      <c r="X52" s="94"/>
      <c r="Y52" s="131"/>
      <c r="Z52" s="131"/>
      <c r="AA52" s="131"/>
      <c r="AB52" s="131"/>
      <c r="AC52" s="131"/>
      <c r="AD52" s="127"/>
      <c r="AF52" s="121">
        <f>COUNTA('All Details for ACID Pastor'!$T52:$AB52)</f>
        <v>0</v>
      </c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63"/>
      <c r="AX52" s="163"/>
      <c r="AZ52" s="121" t="s">
        <v>139</v>
      </c>
      <c r="BA52" s="163"/>
      <c r="BB52" s="163"/>
      <c r="BC52" s="163"/>
      <c r="BF52" s="163">
        <f>COUNTA('All Details for ACID Pastor'!$T52:$AB52)</f>
        <v>0</v>
      </c>
    </row>
    <row r="53" spans="1:58" ht="70.150000000000006" customHeight="1">
      <c r="A53" s="107">
        <v>54</v>
      </c>
      <c r="B53" s="124" t="s">
        <v>429</v>
      </c>
      <c r="C53" s="90" t="s">
        <v>430</v>
      </c>
      <c r="D53" s="95" t="s">
        <v>53</v>
      </c>
      <c r="E53" s="95" t="s">
        <v>54</v>
      </c>
      <c r="F53" s="95"/>
      <c r="G53" s="95"/>
      <c r="H53" s="95"/>
      <c r="I53" s="95"/>
      <c r="J53" s="115" t="s">
        <v>103</v>
      </c>
      <c r="K53" s="193" t="s">
        <v>431</v>
      </c>
      <c r="L53" s="121"/>
      <c r="M53" s="172" t="s">
        <v>432</v>
      </c>
      <c r="N53" s="93" t="s">
        <v>433</v>
      </c>
      <c r="O53" s="92" t="s">
        <v>434</v>
      </c>
      <c r="P53" s="88" t="s">
        <v>73</v>
      </c>
      <c r="Q53" s="88" t="s">
        <v>48</v>
      </c>
      <c r="R53" s="86">
        <v>7667330986</v>
      </c>
      <c r="S53" s="88" t="s">
        <v>435</v>
      </c>
      <c r="T53" s="94"/>
      <c r="U53" s="94"/>
      <c r="V53" s="94"/>
      <c r="W53" s="94"/>
      <c r="X53" s="94"/>
      <c r="Y53" s="131"/>
      <c r="Z53" s="131"/>
      <c r="AA53" s="131"/>
      <c r="AB53" s="131"/>
      <c r="AC53" s="131"/>
      <c r="AD53" s="127"/>
      <c r="AF53" s="121"/>
      <c r="AG53" s="121">
        <f>COUNTA('All Details for ACID Pastor'!$U53:$AB53)</f>
        <v>0</v>
      </c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63"/>
      <c r="AX53" s="163"/>
      <c r="AZ53" s="121" t="s">
        <v>139</v>
      </c>
      <c r="BA53" s="163"/>
      <c r="BB53" s="163"/>
      <c r="BC53" s="163"/>
      <c r="BF53" s="163">
        <f>COUNTA('All Details for ACID Pastor'!$T53:$AB53)</f>
        <v>0</v>
      </c>
    </row>
    <row r="54" spans="1:58" ht="70.150000000000006" customHeight="1">
      <c r="A54" s="107">
        <v>55</v>
      </c>
      <c r="B54" s="124" t="s">
        <v>436</v>
      </c>
      <c r="C54" s="90" t="s">
        <v>437</v>
      </c>
      <c r="D54" s="95" t="s">
        <v>53</v>
      </c>
      <c r="E54" s="95" t="s">
        <v>68</v>
      </c>
      <c r="F54" s="95"/>
      <c r="G54" s="95"/>
      <c r="H54" s="95"/>
      <c r="I54" s="95"/>
      <c r="J54" s="115" t="s">
        <v>103</v>
      </c>
      <c r="K54" s="193" t="s">
        <v>438</v>
      </c>
      <c r="L54" s="121"/>
      <c r="M54" s="172" t="s">
        <v>439</v>
      </c>
      <c r="N54" s="93" t="s">
        <v>440</v>
      </c>
      <c r="O54" s="92" t="s">
        <v>441</v>
      </c>
      <c r="P54" s="88" t="s">
        <v>73</v>
      </c>
      <c r="Q54" s="88" t="s">
        <v>48</v>
      </c>
      <c r="R54" s="86">
        <v>9994480343</v>
      </c>
      <c r="S54" s="88" t="s">
        <v>435</v>
      </c>
      <c r="T54" s="94"/>
      <c r="U54" s="94"/>
      <c r="V54" s="94"/>
      <c r="W54" s="94"/>
      <c r="X54" s="94"/>
      <c r="Y54" s="131"/>
      <c r="Z54" s="131"/>
      <c r="AA54" s="131"/>
      <c r="AB54" s="131"/>
      <c r="AC54" s="131"/>
      <c r="AD54" s="127"/>
      <c r="AF54" s="121"/>
      <c r="AG54" s="121">
        <f>COUNTA('All Details for ACID Pastor'!$U54:$AB54)</f>
        <v>0</v>
      </c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63"/>
      <c r="AX54" s="163"/>
      <c r="AZ54" s="121" t="s">
        <v>139</v>
      </c>
      <c r="BA54" s="163"/>
      <c r="BB54" s="163"/>
      <c r="BC54" s="163"/>
      <c r="BF54" s="163">
        <f>COUNTA('All Details for ACID Pastor'!$T54:$AB54)</f>
        <v>0</v>
      </c>
    </row>
    <row r="55" spans="1:58" ht="70.150000000000006" customHeight="1">
      <c r="A55" s="107">
        <v>56</v>
      </c>
      <c r="B55" s="124" t="s">
        <v>442</v>
      </c>
      <c r="C55" s="90" t="s">
        <v>443</v>
      </c>
      <c r="D55" s="95" t="s">
        <v>53</v>
      </c>
      <c r="E55" s="95" t="s">
        <v>54</v>
      </c>
      <c r="F55" s="95"/>
      <c r="G55" s="95"/>
      <c r="H55" s="95"/>
      <c r="I55" s="95"/>
      <c r="J55" s="115" t="s">
        <v>444</v>
      </c>
      <c r="K55" s="193" t="s">
        <v>445</v>
      </c>
      <c r="L55" s="121"/>
      <c r="M55" s="172" t="s">
        <v>446</v>
      </c>
      <c r="N55" s="93" t="s">
        <v>447</v>
      </c>
      <c r="O55" s="92" t="s">
        <v>448</v>
      </c>
      <c r="P55" s="88" t="s">
        <v>73</v>
      </c>
      <c r="Q55" s="88" t="s">
        <v>48</v>
      </c>
      <c r="R55" s="86">
        <v>9043080768</v>
      </c>
      <c r="S55" s="88" t="s">
        <v>435</v>
      </c>
      <c r="T55" s="94"/>
      <c r="U55" s="94"/>
      <c r="V55" s="94"/>
      <c r="W55" s="94"/>
      <c r="X55" s="94"/>
      <c r="Y55" s="131"/>
      <c r="Z55" s="131"/>
      <c r="AA55" s="131"/>
      <c r="AB55" s="131"/>
      <c r="AC55" s="131"/>
      <c r="AD55" s="127"/>
      <c r="AF55" s="121"/>
      <c r="AG55" s="121">
        <f>COUNTA('All Details for ACID Pastor'!$U55:$AB55)</f>
        <v>0</v>
      </c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63"/>
      <c r="AX55" s="163"/>
      <c r="AZ55" s="121" t="s">
        <v>139</v>
      </c>
      <c r="BA55" s="163"/>
      <c r="BB55" s="163"/>
      <c r="BC55" s="163"/>
      <c r="BF55" s="163">
        <f>COUNTA('All Details for ACID Pastor'!$T55:$AB55)</f>
        <v>0</v>
      </c>
    </row>
    <row r="56" spans="1:58" ht="70.150000000000006" customHeight="1">
      <c r="A56" s="107">
        <v>57</v>
      </c>
      <c r="B56" s="124" t="s">
        <v>449</v>
      </c>
      <c r="C56" s="90" t="s">
        <v>450</v>
      </c>
      <c r="D56" s="95" t="s">
        <v>53</v>
      </c>
      <c r="E56" s="95" t="s">
        <v>54</v>
      </c>
      <c r="F56" s="95"/>
      <c r="G56" s="95"/>
      <c r="H56" s="95"/>
      <c r="I56" s="95"/>
      <c r="J56" s="115" t="s">
        <v>103</v>
      </c>
      <c r="K56" s="193" t="s">
        <v>451</v>
      </c>
      <c r="L56" s="121"/>
      <c r="M56" s="172"/>
      <c r="N56" s="93" t="s">
        <v>452</v>
      </c>
      <c r="O56" s="92" t="s">
        <v>453</v>
      </c>
      <c r="P56" s="88" t="s">
        <v>73</v>
      </c>
      <c r="Q56" s="88" t="s">
        <v>48</v>
      </c>
      <c r="R56" s="86">
        <v>9790362253</v>
      </c>
      <c r="S56" s="88" t="s">
        <v>435</v>
      </c>
      <c r="T56" s="94"/>
      <c r="U56" s="94"/>
      <c r="V56" s="94"/>
      <c r="W56" s="94"/>
      <c r="X56" s="94"/>
      <c r="Y56" s="131"/>
      <c r="Z56" s="131"/>
      <c r="AA56" s="131"/>
      <c r="AB56" s="131"/>
      <c r="AC56" s="131"/>
      <c r="AD56" s="127"/>
      <c r="AF56" s="121"/>
      <c r="AG56" s="121">
        <f>COUNTA('All Details for ACID Pastor'!$U56:$AB56)</f>
        <v>0</v>
      </c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63"/>
      <c r="AX56" s="163"/>
      <c r="AZ56" s="121" t="s">
        <v>139</v>
      </c>
      <c r="BA56" s="163"/>
      <c r="BB56" s="163"/>
      <c r="BC56" s="163"/>
      <c r="BF56" s="163">
        <f>COUNTA('All Details for ACID Pastor'!$T56:$AB56)</f>
        <v>0</v>
      </c>
    </row>
    <row r="57" spans="1:58" ht="70.150000000000006" customHeight="1">
      <c r="A57" s="107">
        <v>58</v>
      </c>
      <c r="B57" s="124" t="s">
        <v>454</v>
      </c>
      <c r="C57" s="90" t="s">
        <v>455</v>
      </c>
      <c r="D57" s="95" t="s">
        <v>53</v>
      </c>
      <c r="E57" s="95" t="s">
        <v>54</v>
      </c>
      <c r="F57" s="95"/>
      <c r="G57" s="95"/>
      <c r="H57" s="95"/>
      <c r="I57" s="95"/>
      <c r="J57" s="115" t="s">
        <v>103</v>
      </c>
      <c r="K57" s="193" t="s">
        <v>456</v>
      </c>
      <c r="L57" s="121"/>
      <c r="M57" s="172"/>
      <c r="N57" s="93" t="s">
        <v>457</v>
      </c>
      <c r="O57" s="92" t="s">
        <v>458</v>
      </c>
      <c r="P57" s="88" t="s">
        <v>73</v>
      </c>
      <c r="Q57" s="88" t="s">
        <v>48</v>
      </c>
      <c r="R57" s="86">
        <v>9042255870</v>
      </c>
      <c r="S57" s="88" t="s">
        <v>435</v>
      </c>
      <c r="T57" s="94"/>
      <c r="U57" s="94"/>
      <c r="V57" s="94"/>
      <c r="W57" s="94"/>
      <c r="X57" s="94"/>
      <c r="Y57" s="131"/>
      <c r="Z57" s="131"/>
      <c r="AA57" s="131"/>
      <c r="AB57" s="131"/>
      <c r="AC57" s="131"/>
      <c r="AD57" s="127"/>
      <c r="AF57" s="121"/>
      <c r="AG57" s="121">
        <f>COUNTA('All Details for ACID Pastor'!$U57:$AB57)</f>
        <v>0</v>
      </c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63"/>
      <c r="AX57" s="163"/>
      <c r="AZ57" s="121" t="s">
        <v>139</v>
      </c>
      <c r="BA57" s="163"/>
      <c r="BB57" s="163"/>
      <c r="BC57" s="163"/>
      <c r="BF57" s="163">
        <f>COUNTA('All Details for ACID Pastor'!$T57:$AB57)</f>
        <v>0</v>
      </c>
    </row>
    <row r="58" spans="1:58" ht="70.150000000000006" customHeight="1">
      <c r="A58" s="107">
        <v>59</v>
      </c>
      <c r="B58" s="124" t="s">
        <v>459</v>
      </c>
      <c r="C58" s="90" t="s">
        <v>460</v>
      </c>
      <c r="D58" s="95" t="s">
        <v>53</v>
      </c>
      <c r="E58" s="95" t="s">
        <v>54</v>
      </c>
      <c r="F58" s="95"/>
      <c r="G58" s="95"/>
      <c r="H58" s="95"/>
      <c r="I58" s="95"/>
      <c r="J58" s="115" t="s">
        <v>103</v>
      </c>
      <c r="K58" s="193" t="s">
        <v>461</v>
      </c>
      <c r="L58" s="121"/>
      <c r="M58" s="172"/>
      <c r="N58" s="93" t="s">
        <v>462</v>
      </c>
      <c r="O58" s="92" t="s">
        <v>463</v>
      </c>
      <c r="P58" s="88" t="s">
        <v>73</v>
      </c>
      <c r="Q58" s="88" t="s">
        <v>48</v>
      </c>
      <c r="R58" s="86">
        <v>8124242495</v>
      </c>
      <c r="S58" s="88" t="s">
        <v>435</v>
      </c>
      <c r="T58" s="94"/>
      <c r="U58" s="94"/>
      <c r="V58" s="94"/>
      <c r="W58" s="94"/>
      <c r="X58" s="94"/>
      <c r="Y58" s="131"/>
      <c r="Z58" s="131"/>
      <c r="AA58" s="131"/>
      <c r="AB58" s="131"/>
      <c r="AC58" s="131"/>
      <c r="AD58" s="127"/>
      <c r="AF58" s="121"/>
      <c r="AG58" s="121">
        <f>COUNTA('All Details for ACID Pastor'!$U58:$AB58)</f>
        <v>0</v>
      </c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63"/>
      <c r="AX58" s="163"/>
      <c r="AZ58" s="121" t="s">
        <v>139</v>
      </c>
      <c r="BA58" s="163"/>
      <c r="BB58" s="163"/>
      <c r="BC58" s="163"/>
      <c r="BF58" s="163">
        <f>COUNTA('All Details for ACID Pastor'!$T58:$AB58)</f>
        <v>0</v>
      </c>
    </row>
    <row r="59" spans="1:58" ht="70.150000000000006" customHeight="1">
      <c r="A59" s="107">
        <v>60</v>
      </c>
      <c r="B59" s="124" t="s">
        <v>464</v>
      </c>
      <c r="C59" s="90" t="s">
        <v>465</v>
      </c>
      <c r="D59" s="95" t="s">
        <v>53</v>
      </c>
      <c r="E59" s="95" t="s">
        <v>54</v>
      </c>
      <c r="F59" s="95"/>
      <c r="G59" s="95"/>
      <c r="H59" s="95"/>
      <c r="I59" s="95"/>
      <c r="J59" s="115" t="s">
        <v>444</v>
      </c>
      <c r="K59" s="193" t="s">
        <v>466</v>
      </c>
      <c r="L59" s="121"/>
      <c r="M59" s="172"/>
      <c r="N59" s="93" t="s">
        <v>467</v>
      </c>
      <c r="O59" s="92" t="s">
        <v>468</v>
      </c>
      <c r="P59" s="88" t="s">
        <v>73</v>
      </c>
      <c r="Q59" s="88" t="s">
        <v>48</v>
      </c>
      <c r="R59" s="86">
        <v>9840593639</v>
      </c>
      <c r="S59" s="88" t="s">
        <v>435</v>
      </c>
      <c r="T59" s="94"/>
      <c r="U59" s="94" t="s">
        <v>266</v>
      </c>
      <c r="V59" s="94" t="s">
        <v>266</v>
      </c>
      <c r="W59" s="94" t="s">
        <v>149</v>
      </c>
      <c r="X59" s="94" t="s">
        <v>149</v>
      </c>
      <c r="Y59" s="94" t="s">
        <v>149</v>
      </c>
      <c r="Z59" s="131"/>
      <c r="AA59" s="131"/>
      <c r="AB59" s="131"/>
      <c r="AC59" s="131"/>
      <c r="AD59" s="127"/>
      <c r="AF59" s="121"/>
      <c r="AG59" s="121">
        <f>COUNTA('All Details for ACID Pastor'!$U59:$AB59)</f>
        <v>5</v>
      </c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63"/>
      <c r="AX59" s="163"/>
      <c r="AZ59" s="121" t="s">
        <v>49</v>
      </c>
      <c r="BA59" s="163"/>
      <c r="BB59" s="163"/>
      <c r="BC59" s="163"/>
      <c r="BF59" s="163">
        <f>COUNTA('All Details for ACID Pastor'!$T59:$AB59)</f>
        <v>5</v>
      </c>
    </row>
    <row r="60" spans="1:58" ht="70.150000000000006" customHeight="1">
      <c r="A60" s="107">
        <v>61</v>
      </c>
      <c r="B60" s="124" t="s">
        <v>469</v>
      </c>
      <c r="C60" s="90" t="s">
        <v>470</v>
      </c>
      <c r="D60" s="95" t="s">
        <v>53</v>
      </c>
      <c r="E60" s="95" t="s">
        <v>54</v>
      </c>
      <c r="F60" s="95"/>
      <c r="G60" s="95"/>
      <c r="H60" s="95"/>
      <c r="I60" s="95"/>
      <c r="J60" s="115" t="s">
        <v>103</v>
      </c>
      <c r="K60" s="193" t="s">
        <v>471</v>
      </c>
      <c r="L60" s="121"/>
      <c r="M60" s="172"/>
      <c r="N60" s="93" t="s">
        <v>472</v>
      </c>
      <c r="O60" s="92" t="s">
        <v>473</v>
      </c>
      <c r="P60" s="88" t="s">
        <v>73</v>
      </c>
      <c r="Q60" s="88" t="s">
        <v>48</v>
      </c>
      <c r="R60" s="86">
        <v>9524742258</v>
      </c>
      <c r="S60" s="88" t="s">
        <v>435</v>
      </c>
      <c r="T60" s="94"/>
      <c r="U60" s="94"/>
      <c r="V60" s="94"/>
      <c r="W60" s="94"/>
      <c r="X60" s="94"/>
      <c r="Y60" s="131"/>
      <c r="Z60" s="131"/>
      <c r="AA60" s="131"/>
      <c r="AB60" s="131"/>
      <c r="AC60" s="131"/>
      <c r="AD60" s="127"/>
      <c r="AF60" s="121"/>
      <c r="AG60" s="121">
        <f>COUNTA('All Details for ACID Pastor'!$U60:$AB60)</f>
        <v>0</v>
      </c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63"/>
      <c r="AX60" s="163"/>
      <c r="AZ60" s="121" t="s">
        <v>139</v>
      </c>
      <c r="BA60" s="163"/>
      <c r="BB60" s="163"/>
      <c r="BC60" s="163"/>
      <c r="BF60" s="163">
        <f>COUNTA('All Details for ACID Pastor'!$T60:$AB60)</f>
        <v>0</v>
      </c>
    </row>
    <row r="61" spans="1:58" ht="70.150000000000006" customHeight="1">
      <c r="A61" s="107">
        <v>62</v>
      </c>
      <c r="B61" s="124" t="s">
        <v>474</v>
      </c>
      <c r="C61" s="90" t="s">
        <v>475</v>
      </c>
      <c r="D61" s="95" t="s">
        <v>53</v>
      </c>
      <c r="E61" s="95" t="s">
        <v>54</v>
      </c>
      <c r="F61" s="95"/>
      <c r="G61" s="95"/>
      <c r="H61" s="95"/>
      <c r="I61" s="95"/>
      <c r="J61" s="115" t="s">
        <v>103</v>
      </c>
      <c r="K61" s="193" t="s">
        <v>476</v>
      </c>
      <c r="L61" s="121"/>
      <c r="M61" s="172"/>
      <c r="N61" s="93" t="s">
        <v>477</v>
      </c>
      <c r="O61" s="92" t="s">
        <v>478</v>
      </c>
      <c r="P61" s="88" t="s">
        <v>73</v>
      </c>
      <c r="Q61" s="88" t="s">
        <v>48</v>
      </c>
      <c r="R61" s="86">
        <v>9688376056</v>
      </c>
      <c r="S61" s="88" t="s">
        <v>435</v>
      </c>
      <c r="T61" s="94"/>
      <c r="U61" s="94"/>
      <c r="V61" s="94"/>
      <c r="W61" s="94"/>
      <c r="X61" s="94"/>
      <c r="Y61" s="131"/>
      <c r="Z61" s="131"/>
      <c r="AA61" s="131"/>
      <c r="AB61" s="131"/>
      <c r="AC61" s="131"/>
      <c r="AD61" s="127"/>
      <c r="AF61" s="121"/>
      <c r="AG61" s="121">
        <f>COUNTA('All Details for ACID Pastor'!$U61:$AB61)</f>
        <v>0</v>
      </c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63"/>
      <c r="AX61" s="163"/>
      <c r="AZ61" s="121" t="s">
        <v>139</v>
      </c>
      <c r="BA61" s="163"/>
      <c r="BB61" s="163"/>
      <c r="BC61" s="163"/>
      <c r="BF61" s="163">
        <f>COUNTA('All Details for ACID Pastor'!$T61:$AB61)</f>
        <v>0</v>
      </c>
    </row>
    <row r="62" spans="1:58" ht="70.150000000000006" customHeight="1">
      <c r="A62" s="107">
        <v>63</v>
      </c>
      <c r="B62" s="124" t="s">
        <v>479</v>
      </c>
      <c r="C62" s="90" t="s">
        <v>480</v>
      </c>
      <c r="D62" s="95" t="s">
        <v>53</v>
      </c>
      <c r="E62" s="95" t="s">
        <v>54</v>
      </c>
      <c r="F62" s="95"/>
      <c r="G62" s="95"/>
      <c r="H62" s="95"/>
      <c r="I62" s="95"/>
      <c r="J62" s="115" t="s">
        <v>103</v>
      </c>
      <c r="K62" s="193" t="s">
        <v>481</v>
      </c>
      <c r="L62" s="121"/>
      <c r="M62" s="172" t="s">
        <v>482</v>
      </c>
      <c r="N62" s="93" t="s">
        <v>483</v>
      </c>
      <c r="O62" s="92" t="s">
        <v>484</v>
      </c>
      <c r="P62" s="88" t="s">
        <v>73</v>
      </c>
      <c r="Q62" s="88" t="s">
        <v>48</v>
      </c>
      <c r="R62" s="86">
        <v>7708070008</v>
      </c>
      <c r="S62" s="88" t="s">
        <v>435</v>
      </c>
      <c r="T62" s="94"/>
      <c r="U62" s="94" t="s">
        <v>96</v>
      </c>
      <c r="V62" s="94" t="s">
        <v>184</v>
      </c>
      <c r="W62" s="94" t="s">
        <v>184</v>
      </c>
      <c r="X62" s="94" t="s">
        <v>184</v>
      </c>
      <c r="Y62" s="131"/>
      <c r="Z62" s="131"/>
      <c r="AA62" s="131"/>
      <c r="AB62" s="131"/>
      <c r="AC62" s="131"/>
      <c r="AD62" s="127"/>
      <c r="AF62" s="121"/>
      <c r="AG62" s="121">
        <f>COUNTA('All Details for ACID Pastor'!$U62:$AB62)</f>
        <v>4</v>
      </c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63"/>
      <c r="AX62" s="163"/>
      <c r="AZ62" s="121" t="s">
        <v>139</v>
      </c>
      <c r="BA62" s="163"/>
      <c r="BB62" s="163"/>
      <c r="BC62" s="163"/>
      <c r="BF62" s="163">
        <f>COUNTA('All Details for ACID Pastor'!$T62:$AB62)</f>
        <v>4</v>
      </c>
    </row>
    <row r="63" spans="1:58" ht="70.150000000000006" customHeight="1">
      <c r="A63" s="107">
        <v>64</v>
      </c>
      <c r="B63" s="124" t="s">
        <v>485</v>
      </c>
      <c r="C63" s="90" t="s">
        <v>486</v>
      </c>
      <c r="D63" s="95" t="s">
        <v>53</v>
      </c>
      <c r="E63" s="95" t="s">
        <v>54</v>
      </c>
      <c r="F63" s="95"/>
      <c r="G63" s="95"/>
      <c r="H63" s="95"/>
      <c r="I63" s="95"/>
      <c r="J63" s="115" t="s">
        <v>103</v>
      </c>
      <c r="K63" s="193" t="s">
        <v>487</v>
      </c>
      <c r="L63" s="121"/>
      <c r="M63" s="172"/>
      <c r="N63" s="93" t="s">
        <v>488</v>
      </c>
      <c r="O63" s="92" t="s">
        <v>489</v>
      </c>
      <c r="P63" s="88" t="s">
        <v>73</v>
      </c>
      <c r="Q63" s="88" t="s">
        <v>48</v>
      </c>
      <c r="R63" s="86">
        <v>9952465691</v>
      </c>
      <c r="S63" s="88" t="s">
        <v>435</v>
      </c>
      <c r="T63" s="94"/>
      <c r="U63" s="94"/>
      <c r="V63" s="94"/>
      <c r="W63" s="94"/>
      <c r="X63" s="94"/>
      <c r="Y63" s="131"/>
      <c r="Z63" s="131"/>
      <c r="AA63" s="131"/>
      <c r="AB63" s="131"/>
      <c r="AC63" s="131"/>
      <c r="AD63" s="127"/>
      <c r="AF63" s="121"/>
      <c r="AG63" s="121">
        <f>COUNTA('All Details for ACID Pastor'!$U63:$AB63)</f>
        <v>0</v>
      </c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63"/>
      <c r="AX63" s="163"/>
      <c r="AZ63" s="121" t="s">
        <v>139</v>
      </c>
      <c r="BA63" s="163"/>
      <c r="BB63" s="163"/>
      <c r="BC63" s="163"/>
      <c r="BF63" s="163">
        <f>COUNTA('All Details for ACID Pastor'!$T63:$AB63)</f>
        <v>0</v>
      </c>
    </row>
    <row r="64" spans="1:58" ht="70.150000000000006" customHeight="1">
      <c r="A64" s="107">
        <v>65</v>
      </c>
      <c r="B64" s="124" t="s">
        <v>490</v>
      </c>
      <c r="C64" s="90" t="s">
        <v>491</v>
      </c>
      <c r="D64" s="95" t="s">
        <v>53</v>
      </c>
      <c r="E64" s="95" t="s">
        <v>54</v>
      </c>
      <c r="F64" s="95"/>
      <c r="G64" s="95"/>
      <c r="H64" s="95"/>
      <c r="I64" s="95"/>
      <c r="J64" s="115" t="s">
        <v>492</v>
      </c>
      <c r="K64" s="193" t="s">
        <v>493</v>
      </c>
      <c r="L64" s="121"/>
      <c r="M64" s="172"/>
      <c r="N64" s="93" t="s">
        <v>494</v>
      </c>
      <c r="O64" s="92" t="s">
        <v>495</v>
      </c>
      <c r="P64" s="88" t="s">
        <v>198</v>
      </c>
      <c r="Q64" s="88" t="s">
        <v>48</v>
      </c>
      <c r="R64" s="86">
        <v>9751788300</v>
      </c>
      <c r="S64" s="88" t="s">
        <v>435</v>
      </c>
      <c r="T64" s="94"/>
      <c r="U64" s="94" t="s">
        <v>77</v>
      </c>
      <c r="V64" s="94" t="s">
        <v>77</v>
      </c>
      <c r="W64" s="94" t="s">
        <v>79</v>
      </c>
      <c r="X64" s="94" t="s">
        <v>79</v>
      </c>
      <c r="Y64" s="127" t="s">
        <v>79</v>
      </c>
      <c r="Z64" s="131"/>
      <c r="AA64" s="131"/>
      <c r="AB64" s="127" t="s">
        <v>165</v>
      </c>
      <c r="AC64" s="131" t="s">
        <v>4220</v>
      </c>
      <c r="AD64" s="127" t="s">
        <v>4220</v>
      </c>
      <c r="AF64" s="121"/>
      <c r="AG64" s="121">
        <f>COUNTA('All Details for ACID Pastor'!$U64:$AB64)</f>
        <v>6</v>
      </c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63"/>
      <c r="AX64" s="163"/>
      <c r="AZ64" s="121" t="s">
        <v>49</v>
      </c>
      <c r="BA64" s="163"/>
      <c r="BB64" s="163"/>
      <c r="BC64" s="163">
        <v>2</v>
      </c>
      <c r="BF64" s="163">
        <v>8</v>
      </c>
    </row>
    <row r="65" spans="1:74" ht="70.150000000000006" customHeight="1">
      <c r="A65" s="107">
        <v>66</v>
      </c>
      <c r="B65" s="124" t="s">
        <v>496</v>
      </c>
      <c r="C65" s="90" t="s">
        <v>497</v>
      </c>
      <c r="D65" s="95" t="s">
        <v>53</v>
      </c>
      <c r="E65" s="95" t="s">
        <v>54</v>
      </c>
      <c r="F65" s="95"/>
      <c r="G65" s="95"/>
      <c r="H65" s="95"/>
      <c r="I65" s="95"/>
      <c r="J65" s="115" t="s">
        <v>498</v>
      </c>
      <c r="K65" s="193" t="s">
        <v>499</v>
      </c>
      <c r="L65" s="121"/>
      <c r="M65" s="172" t="s">
        <v>500</v>
      </c>
      <c r="N65" s="93" t="s">
        <v>501</v>
      </c>
      <c r="O65" s="92" t="s">
        <v>502</v>
      </c>
      <c r="P65" s="88" t="s">
        <v>503</v>
      </c>
      <c r="Q65" s="88" t="s">
        <v>48</v>
      </c>
      <c r="R65" s="86">
        <v>9843057399</v>
      </c>
      <c r="S65" s="88" t="s">
        <v>435</v>
      </c>
      <c r="T65" s="94"/>
      <c r="U65" s="94" t="s">
        <v>504</v>
      </c>
      <c r="V65" s="94" t="s">
        <v>295</v>
      </c>
      <c r="W65" s="94" t="s">
        <v>215</v>
      </c>
      <c r="X65" s="94" t="s">
        <v>505</v>
      </c>
      <c r="Y65" s="131"/>
      <c r="Z65" s="131"/>
      <c r="AA65" s="131"/>
      <c r="AB65" s="131"/>
      <c r="AC65" s="131"/>
      <c r="AD65" s="127"/>
      <c r="AF65" s="121"/>
      <c r="AG65" s="121">
        <f>COUNTA('All Details for ACID Pastor'!$U65:$AB65)</f>
        <v>4</v>
      </c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63"/>
      <c r="AX65" s="163"/>
      <c r="AZ65" s="121" t="s">
        <v>139</v>
      </c>
      <c r="BA65" s="163"/>
      <c r="BB65" s="163"/>
      <c r="BC65" s="163"/>
      <c r="BF65" s="163">
        <f>COUNTA('All Details for ACID Pastor'!$T65:$AB65)</f>
        <v>4</v>
      </c>
    </row>
    <row r="66" spans="1:74" ht="70.150000000000006" customHeight="1">
      <c r="A66" s="107">
        <v>67</v>
      </c>
      <c r="B66" s="124" t="s">
        <v>506</v>
      </c>
      <c r="C66" s="90" t="s">
        <v>507</v>
      </c>
      <c r="D66" s="95" t="s">
        <v>53</v>
      </c>
      <c r="E66" s="95" t="s">
        <v>54</v>
      </c>
      <c r="F66" s="95"/>
      <c r="G66" s="95"/>
      <c r="H66" s="95"/>
      <c r="I66" s="95"/>
      <c r="J66" s="115" t="s">
        <v>492</v>
      </c>
      <c r="K66" s="193" t="s">
        <v>508</v>
      </c>
      <c r="L66" s="121"/>
      <c r="M66" s="172"/>
      <c r="N66" s="93" t="s">
        <v>509</v>
      </c>
      <c r="O66" s="92" t="s">
        <v>510</v>
      </c>
      <c r="P66" s="88" t="s">
        <v>198</v>
      </c>
      <c r="Q66" s="88" t="s">
        <v>48</v>
      </c>
      <c r="R66" s="86">
        <v>9942807581</v>
      </c>
      <c r="S66" s="88" t="s">
        <v>435</v>
      </c>
      <c r="T66" s="94"/>
      <c r="U66" s="94"/>
      <c r="V66" s="94"/>
      <c r="W66" s="94"/>
      <c r="X66" s="94"/>
      <c r="Y66" s="131"/>
      <c r="Z66" s="131"/>
      <c r="AA66" s="131"/>
      <c r="AB66" s="131"/>
      <c r="AC66" s="131"/>
      <c r="AD66" s="127"/>
      <c r="AE66" s="244"/>
      <c r="AF66" s="121"/>
      <c r="AG66" s="121">
        <f>COUNTA('All Details for ACID Pastor'!$U66:$AB66)</f>
        <v>0</v>
      </c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63"/>
      <c r="AX66" s="163"/>
      <c r="AZ66" s="121" t="s">
        <v>139</v>
      </c>
      <c r="BA66" s="163"/>
      <c r="BB66" s="163"/>
      <c r="BC66" s="163"/>
      <c r="BF66" s="163">
        <f>COUNTA('All Details for ACID Pastor'!$T66:$AB66)</f>
        <v>0</v>
      </c>
    </row>
    <row r="67" spans="1:74" s="174" customFormat="1" ht="70.150000000000006" customHeight="1">
      <c r="A67" s="103">
        <v>68</v>
      </c>
      <c r="B67" s="132" t="s">
        <v>511</v>
      </c>
      <c r="C67" s="101" t="s">
        <v>512</v>
      </c>
      <c r="D67" s="102" t="s">
        <v>53</v>
      </c>
      <c r="E67" s="102" t="s">
        <v>160</v>
      </c>
      <c r="F67" s="95"/>
      <c r="G67" s="95"/>
      <c r="H67" s="95"/>
      <c r="I67" s="95"/>
      <c r="J67" s="133" t="s">
        <v>312</v>
      </c>
      <c r="K67" s="256" t="s">
        <v>513</v>
      </c>
      <c r="L67" s="232" t="s">
        <v>4209</v>
      </c>
      <c r="M67" s="171"/>
      <c r="N67" s="104" t="s">
        <v>514</v>
      </c>
      <c r="O67" s="105" t="s">
        <v>515</v>
      </c>
      <c r="P67" s="106" t="s">
        <v>516</v>
      </c>
      <c r="Q67" s="106" t="s">
        <v>517</v>
      </c>
      <c r="R67" s="134">
        <v>8086394382</v>
      </c>
      <c r="S67" s="106" t="s">
        <v>435</v>
      </c>
      <c r="T67" s="135"/>
      <c r="U67" s="135"/>
      <c r="V67" s="135"/>
      <c r="W67" s="135"/>
      <c r="X67" s="135"/>
      <c r="Y67" s="136"/>
      <c r="Z67" s="136"/>
      <c r="AA67" s="136"/>
      <c r="AB67" s="136"/>
      <c r="AC67" s="136"/>
      <c r="AD67" s="222"/>
      <c r="AE67" s="240"/>
      <c r="AF67" s="232"/>
      <c r="AG67" s="232">
        <f>COUNTA('All Details for ACID Pastor'!$U67:$AB67)</f>
        <v>0</v>
      </c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3"/>
      <c r="AX67" s="233"/>
      <c r="AY67" s="244"/>
      <c r="AZ67" s="232" t="s">
        <v>139</v>
      </c>
      <c r="BA67" s="233"/>
      <c r="BB67" s="233"/>
      <c r="BC67" s="233"/>
      <c r="BD67" s="244"/>
      <c r="BE67" s="277"/>
      <c r="BF67" s="233">
        <f>COUNTA('All Details for ACID Pastor'!$T67:$AB67)</f>
        <v>0</v>
      </c>
      <c r="BG67" s="249"/>
      <c r="BH67" s="249"/>
      <c r="BI67" s="249"/>
      <c r="BJ67" s="249"/>
      <c r="BK67" s="249"/>
      <c r="BL67" s="249"/>
      <c r="BM67" s="249"/>
      <c r="BN67" s="249"/>
      <c r="BO67" s="249"/>
      <c r="BP67" s="249"/>
      <c r="BQ67" s="249"/>
      <c r="BR67" s="249"/>
      <c r="BS67" s="249"/>
      <c r="BT67" s="249"/>
      <c r="BU67" s="249"/>
      <c r="BV67" s="249"/>
    </row>
    <row r="68" spans="1:74" ht="70.150000000000006" customHeight="1">
      <c r="A68" s="107">
        <v>69</v>
      </c>
      <c r="B68" s="124" t="s">
        <v>518</v>
      </c>
      <c r="C68" s="90" t="s">
        <v>519</v>
      </c>
      <c r="D68" s="95" t="s">
        <v>132</v>
      </c>
      <c r="E68" s="95" t="s">
        <v>54</v>
      </c>
      <c r="F68" s="95"/>
      <c r="G68" s="95"/>
      <c r="H68" s="95"/>
      <c r="I68" s="95"/>
      <c r="J68" s="115" t="s">
        <v>312</v>
      </c>
      <c r="K68" s="193" t="s">
        <v>520</v>
      </c>
      <c r="L68" s="121" t="s">
        <v>4209</v>
      </c>
      <c r="M68" s="172" t="s">
        <v>521</v>
      </c>
      <c r="N68" s="93" t="s">
        <v>522</v>
      </c>
      <c r="O68" s="92" t="s">
        <v>523</v>
      </c>
      <c r="P68" s="88" t="s">
        <v>516</v>
      </c>
      <c r="Q68" s="88" t="s">
        <v>517</v>
      </c>
      <c r="R68" s="86">
        <v>9645478988</v>
      </c>
      <c r="S68" s="88" t="s">
        <v>435</v>
      </c>
      <c r="T68" s="94"/>
      <c r="U68" s="94" t="s">
        <v>119</v>
      </c>
      <c r="V68" s="94" t="s">
        <v>524</v>
      </c>
      <c r="W68" s="94" t="s">
        <v>524</v>
      </c>
      <c r="X68" s="94" t="s">
        <v>524</v>
      </c>
      <c r="Y68" s="127" t="s">
        <v>78</v>
      </c>
      <c r="Z68" s="127" t="s">
        <v>149</v>
      </c>
      <c r="AA68" s="127" t="s">
        <v>165</v>
      </c>
      <c r="AB68" s="127" t="s">
        <v>165</v>
      </c>
      <c r="AC68" s="131" t="s">
        <v>129</v>
      </c>
      <c r="AD68" s="127"/>
      <c r="AE68" s="244"/>
      <c r="AF68" s="121"/>
      <c r="AG68" s="121">
        <f>COUNTA('All Details for ACID Pastor'!$U68:$AB68)</f>
        <v>8</v>
      </c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63"/>
      <c r="AX68" s="163"/>
      <c r="AZ68" s="121" t="s">
        <v>49</v>
      </c>
      <c r="BA68" s="163"/>
      <c r="BB68" s="163">
        <v>1</v>
      </c>
      <c r="BC68" s="163"/>
      <c r="BF68" s="163">
        <v>9</v>
      </c>
    </row>
    <row r="69" spans="1:74" s="174" customFormat="1" ht="70.150000000000006" customHeight="1">
      <c r="A69" s="103">
        <v>70</v>
      </c>
      <c r="B69" s="132" t="s">
        <v>525</v>
      </c>
      <c r="C69" s="101" t="s">
        <v>526</v>
      </c>
      <c r="D69" s="102" t="s">
        <v>53</v>
      </c>
      <c r="E69" s="102" t="s">
        <v>54</v>
      </c>
      <c r="F69" s="95"/>
      <c r="G69" s="95"/>
      <c r="H69" s="95"/>
      <c r="I69" s="95"/>
      <c r="J69" s="133" t="s">
        <v>312</v>
      </c>
      <c r="K69" s="256" t="s">
        <v>527</v>
      </c>
      <c r="L69" s="232" t="s">
        <v>4209</v>
      </c>
      <c r="M69" s="171" t="s">
        <v>528</v>
      </c>
      <c r="N69" s="104" t="s">
        <v>529</v>
      </c>
      <c r="O69" s="105" t="s">
        <v>530</v>
      </c>
      <c r="P69" s="106" t="s">
        <v>516</v>
      </c>
      <c r="Q69" s="106" t="s">
        <v>517</v>
      </c>
      <c r="R69" s="134">
        <v>9526837095</v>
      </c>
      <c r="S69" s="106" t="s">
        <v>435</v>
      </c>
      <c r="T69" s="135"/>
      <c r="U69" s="135"/>
      <c r="V69" s="135"/>
      <c r="W69" s="135"/>
      <c r="X69" s="135"/>
      <c r="Y69" s="136"/>
      <c r="Z69" s="136"/>
      <c r="AA69" s="136"/>
      <c r="AB69" s="136"/>
      <c r="AC69" s="136"/>
      <c r="AD69" s="222"/>
      <c r="AE69" s="240"/>
      <c r="AF69" s="232"/>
      <c r="AG69" s="232">
        <f>COUNTA('All Details for ACID Pastor'!$U69:$AB69)</f>
        <v>0</v>
      </c>
      <c r="AH69" s="232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3"/>
      <c r="AX69" s="233"/>
      <c r="AY69" s="244"/>
      <c r="AZ69" s="232" t="s">
        <v>139</v>
      </c>
      <c r="BA69" s="233"/>
      <c r="BB69" s="233"/>
      <c r="BC69" s="233"/>
      <c r="BD69" s="244"/>
      <c r="BE69" s="277"/>
      <c r="BF69" s="233">
        <f>COUNTA('All Details for ACID Pastor'!$T69:$AB69)</f>
        <v>0</v>
      </c>
      <c r="BG69" s="249"/>
      <c r="BH69" s="249"/>
      <c r="BI69" s="249"/>
      <c r="BJ69" s="249"/>
      <c r="BK69" s="249"/>
      <c r="BL69" s="249"/>
      <c r="BM69" s="249"/>
      <c r="BN69" s="249"/>
      <c r="BO69" s="249"/>
      <c r="BP69" s="249"/>
      <c r="BQ69" s="249"/>
      <c r="BR69" s="249"/>
      <c r="BS69" s="249"/>
      <c r="BT69" s="249"/>
      <c r="BU69" s="249"/>
      <c r="BV69" s="249"/>
    </row>
    <row r="70" spans="1:74" ht="70.150000000000006" customHeight="1">
      <c r="A70" s="107">
        <v>71</v>
      </c>
      <c r="B70" s="124" t="s">
        <v>531</v>
      </c>
      <c r="C70" s="90" t="s">
        <v>532</v>
      </c>
      <c r="D70" s="95" t="s">
        <v>53</v>
      </c>
      <c r="E70" s="95" t="s">
        <v>54</v>
      </c>
      <c r="F70" s="95"/>
      <c r="G70" s="95"/>
      <c r="H70" s="95"/>
      <c r="I70" s="95"/>
      <c r="J70" s="115" t="s">
        <v>283</v>
      </c>
      <c r="K70" s="193" t="s">
        <v>533</v>
      </c>
      <c r="L70" s="121"/>
      <c r="M70" s="172"/>
      <c r="N70" s="93" t="s">
        <v>534</v>
      </c>
      <c r="O70" s="92" t="s">
        <v>535</v>
      </c>
      <c r="P70" s="88" t="s">
        <v>47</v>
      </c>
      <c r="Q70" s="88" t="s">
        <v>48</v>
      </c>
      <c r="R70" s="86">
        <v>9488955627</v>
      </c>
      <c r="S70" s="88" t="s">
        <v>435</v>
      </c>
      <c r="T70" s="94"/>
      <c r="U70" s="94"/>
      <c r="V70" s="94"/>
      <c r="W70" s="94"/>
      <c r="X70" s="94"/>
      <c r="Y70" s="131"/>
      <c r="Z70" s="131"/>
      <c r="AA70" s="131"/>
      <c r="AB70" s="131"/>
      <c r="AC70" s="131"/>
      <c r="AD70" s="127"/>
      <c r="AE70" s="244"/>
      <c r="AF70" s="121"/>
      <c r="AG70" s="121">
        <f>COUNTA('All Details for ACID Pastor'!$U70:$AB70)</f>
        <v>0</v>
      </c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63"/>
      <c r="AX70" s="163"/>
      <c r="AZ70" s="121" t="s">
        <v>139</v>
      </c>
      <c r="BA70" s="163"/>
      <c r="BB70" s="163"/>
      <c r="BC70" s="163"/>
      <c r="BF70" s="163">
        <f>COUNTA('All Details for ACID Pastor'!$T70:$AB70)</f>
        <v>0</v>
      </c>
    </row>
    <row r="71" spans="1:74" s="174" customFormat="1" ht="70.150000000000006" customHeight="1">
      <c r="A71" s="103">
        <v>72</v>
      </c>
      <c r="B71" s="132" t="s">
        <v>536</v>
      </c>
      <c r="C71" s="101" t="s">
        <v>537</v>
      </c>
      <c r="D71" s="102" t="s">
        <v>53</v>
      </c>
      <c r="E71" s="102" t="s">
        <v>54</v>
      </c>
      <c r="F71" s="95"/>
      <c r="G71" s="95"/>
      <c r="H71" s="95"/>
      <c r="I71" s="95"/>
      <c r="J71" s="133" t="s">
        <v>312</v>
      </c>
      <c r="K71" s="256" t="s">
        <v>538</v>
      </c>
      <c r="L71" s="232" t="s">
        <v>4209</v>
      </c>
      <c r="M71" s="171"/>
      <c r="N71" s="104" t="s">
        <v>539</v>
      </c>
      <c r="O71" s="105" t="s">
        <v>540</v>
      </c>
      <c r="P71" s="106" t="s">
        <v>516</v>
      </c>
      <c r="Q71" s="106" t="s">
        <v>517</v>
      </c>
      <c r="R71" s="134">
        <v>9048828969</v>
      </c>
      <c r="S71" s="106" t="s">
        <v>435</v>
      </c>
      <c r="T71" s="135"/>
      <c r="U71" s="135" t="s">
        <v>110</v>
      </c>
      <c r="V71" s="135"/>
      <c r="W71" s="135"/>
      <c r="X71" s="135"/>
      <c r="Y71" s="136"/>
      <c r="Z71" s="136"/>
      <c r="AA71" s="136"/>
      <c r="AB71" s="136"/>
      <c r="AC71" s="136"/>
      <c r="AD71" s="222"/>
      <c r="AE71" s="240"/>
      <c r="AF71" s="232"/>
      <c r="AG71" s="232">
        <f>COUNTA('All Details for ACID Pastor'!$U71:$AB71)</f>
        <v>1</v>
      </c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3"/>
      <c r="AX71" s="233"/>
      <c r="AY71" s="244"/>
      <c r="AZ71" s="232" t="s">
        <v>139</v>
      </c>
      <c r="BA71" s="233"/>
      <c r="BB71" s="233"/>
      <c r="BC71" s="233"/>
      <c r="BD71" s="244"/>
      <c r="BE71" s="277"/>
      <c r="BF71" s="233">
        <f>COUNTA('All Details for ACID Pastor'!$T71:$AB71)</f>
        <v>1</v>
      </c>
      <c r="BG71" s="249"/>
      <c r="BH71" s="249"/>
      <c r="BI71" s="249"/>
      <c r="BJ71" s="249"/>
      <c r="BK71" s="249"/>
      <c r="BL71" s="249"/>
      <c r="BM71" s="249"/>
      <c r="BN71" s="249"/>
      <c r="BO71" s="249"/>
      <c r="BP71" s="249"/>
      <c r="BQ71" s="249"/>
      <c r="BR71" s="249"/>
      <c r="BS71" s="249"/>
      <c r="BT71" s="249"/>
      <c r="BU71" s="249"/>
      <c r="BV71" s="249"/>
    </row>
    <row r="72" spans="1:74" ht="70.150000000000006" customHeight="1">
      <c r="A72" s="107">
        <v>73</v>
      </c>
      <c r="B72" s="124" t="s">
        <v>541</v>
      </c>
      <c r="C72" s="90" t="s">
        <v>542</v>
      </c>
      <c r="D72" s="95" t="s">
        <v>53</v>
      </c>
      <c r="E72" s="95" t="s">
        <v>54</v>
      </c>
      <c r="F72" s="95"/>
      <c r="G72" s="95"/>
      <c r="H72" s="95"/>
      <c r="I72" s="95"/>
      <c r="J72" s="115" t="s">
        <v>492</v>
      </c>
      <c r="K72" s="193" t="s">
        <v>543</v>
      </c>
      <c r="L72" s="121"/>
      <c r="M72" s="172"/>
      <c r="N72" s="93" t="s">
        <v>544</v>
      </c>
      <c r="O72" s="92" t="s">
        <v>545</v>
      </c>
      <c r="P72" s="88" t="s">
        <v>198</v>
      </c>
      <c r="Q72" s="88" t="s">
        <v>48</v>
      </c>
      <c r="R72" s="86">
        <v>9842072628</v>
      </c>
      <c r="S72" s="88" t="s">
        <v>435</v>
      </c>
      <c r="T72" s="94"/>
      <c r="U72" s="94"/>
      <c r="V72" s="94"/>
      <c r="W72" s="94"/>
      <c r="X72" s="94"/>
      <c r="Y72" s="131"/>
      <c r="Z72" s="131"/>
      <c r="AA72" s="131"/>
      <c r="AB72" s="131"/>
      <c r="AC72" s="131"/>
      <c r="AD72" s="127"/>
      <c r="AF72" s="121"/>
      <c r="AG72" s="121">
        <f>COUNTA('All Details for ACID Pastor'!$U72:$AB72)</f>
        <v>0</v>
      </c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63"/>
      <c r="AX72" s="163"/>
      <c r="AZ72" s="121" t="s">
        <v>139</v>
      </c>
      <c r="BA72" s="163"/>
      <c r="BB72" s="163"/>
      <c r="BC72" s="163"/>
      <c r="BF72" s="163">
        <f>COUNTA('All Details for ACID Pastor'!$T72:$AB72)</f>
        <v>0</v>
      </c>
    </row>
    <row r="73" spans="1:74" ht="70.150000000000006" customHeight="1">
      <c r="A73" s="107">
        <v>74</v>
      </c>
      <c r="B73" s="124" t="s">
        <v>546</v>
      </c>
      <c r="C73" s="90" t="s">
        <v>547</v>
      </c>
      <c r="D73" s="95" t="s">
        <v>53</v>
      </c>
      <c r="E73" s="95" t="s">
        <v>54</v>
      </c>
      <c r="F73" s="95"/>
      <c r="G73" s="95"/>
      <c r="H73" s="95"/>
      <c r="I73" s="95"/>
      <c r="J73" s="115" t="s">
        <v>548</v>
      </c>
      <c r="K73" s="193" t="s">
        <v>549</v>
      </c>
      <c r="L73" s="121"/>
      <c r="M73" s="172" t="s">
        <v>550</v>
      </c>
      <c r="N73" s="93" t="s">
        <v>551</v>
      </c>
      <c r="O73" s="92" t="s">
        <v>552</v>
      </c>
      <c r="P73" s="88" t="s">
        <v>94</v>
      </c>
      <c r="Q73" s="88" t="s">
        <v>48</v>
      </c>
      <c r="R73" s="86">
        <v>9942466587</v>
      </c>
      <c r="S73" s="88" t="s">
        <v>435</v>
      </c>
      <c r="T73" s="94"/>
      <c r="U73" s="94" t="s">
        <v>96</v>
      </c>
      <c r="V73" s="94" t="s">
        <v>295</v>
      </c>
      <c r="W73" s="94"/>
      <c r="X73" s="94"/>
      <c r="Y73" s="131"/>
      <c r="Z73" s="131"/>
      <c r="AA73" s="131" t="s">
        <v>4389</v>
      </c>
      <c r="AB73" s="131" t="s">
        <v>4389</v>
      </c>
      <c r="AC73" s="131" t="s">
        <v>4389</v>
      </c>
      <c r="AD73" s="131" t="s">
        <v>4389</v>
      </c>
      <c r="AE73" s="131" t="s">
        <v>4389</v>
      </c>
      <c r="AF73" s="121"/>
      <c r="AG73" s="121">
        <v>2</v>
      </c>
      <c r="AH73" s="121"/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  <c r="AV73" s="121"/>
      <c r="AW73" s="163"/>
      <c r="AX73" s="163"/>
      <c r="AZ73" s="121" t="s">
        <v>49</v>
      </c>
      <c r="BA73" s="163"/>
      <c r="BB73" s="163"/>
      <c r="BC73" s="163"/>
      <c r="BD73" s="275">
        <v>5</v>
      </c>
      <c r="BE73" s="285">
        <v>5</v>
      </c>
      <c r="BF73" s="163">
        <v>9</v>
      </c>
    </row>
    <row r="74" spans="1:74" ht="70.150000000000006" customHeight="1">
      <c r="A74" s="107">
        <v>75</v>
      </c>
      <c r="B74" s="124" t="s">
        <v>553</v>
      </c>
      <c r="C74" s="90" t="s">
        <v>554</v>
      </c>
      <c r="D74" s="95" t="s">
        <v>53</v>
      </c>
      <c r="E74" s="95" t="s">
        <v>54</v>
      </c>
      <c r="F74" s="95"/>
      <c r="G74" s="95"/>
      <c r="H74" s="95"/>
      <c r="I74" s="95"/>
      <c r="J74" s="115" t="s">
        <v>283</v>
      </c>
      <c r="K74" s="193" t="s">
        <v>555</v>
      </c>
      <c r="L74" s="121"/>
      <c r="M74" s="172"/>
      <c r="N74" s="93" t="s">
        <v>556</v>
      </c>
      <c r="O74" s="92" t="s">
        <v>557</v>
      </c>
      <c r="P74" s="88" t="s">
        <v>94</v>
      </c>
      <c r="Q74" s="88" t="s">
        <v>48</v>
      </c>
      <c r="R74" s="86">
        <v>9659555100</v>
      </c>
      <c r="S74" s="88" t="s">
        <v>435</v>
      </c>
      <c r="T74" s="94"/>
      <c r="U74" s="94"/>
      <c r="V74" s="94"/>
      <c r="W74" s="94"/>
      <c r="X74" s="94"/>
      <c r="Y74" s="131"/>
      <c r="Z74" s="131"/>
      <c r="AA74" s="131"/>
      <c r="AB74" s="131"/>
      <c r="AC74" s="131"/>
      <c r="AD74" s="127"/>
      <c r="AF74" s="121"/>
      <c r="AG74" s="121">
        <f>COUNTA('All Details for ACID Pastor'!$U74:$AB74)</f>
        <v>0</v>
      </c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63"/>
      <c r="AX74" s="163"/>
      <c r="AZ74" s="121" t="s">
        <v>100</v>
      </c>
      <c r="BA74" s="163"/>
      <c r="BB74" s="163"/>
      <c r="BC74" s="163"/>
      <c r="BF74" s="163">
        <f>COUNTA('All Details for ACID Pastor'!$T74:$AB74)</f>
        <v>0</v>
      </c>
    </row>
    <row r="75" spans="1:74" ht="70.150000000000006" customHeight="1">
      <c r="A75" s="107">
        <v>76</v>
      </c>
      <c r="B75" s="124" t="s">
        <v>558</v>
      </c>
      <c r="C75" s="90" t="s">
        <v>559</v>
      </c>
      <c r="D75" s="95" t="s">
        <v>53</v>
      </c>
      <c r="E75" s="95" t="s">
        <v>54</v>
      </c>
      <c r="F75" s="95"/>
      <c r="G75" s="95"/>
      <c r="H75" s="95"/>
      <c r="I75" s="95"/>
      <c r="J75" s="118"/>
      <c r="K75" s="193" t="s">
        <v>560</v>
      </c>
      <c r="L75" s="121"/>
      <c r="M75" s="172" t="s">
        <v>561</v>
      </c>
      <c r="N75" s="93" t="s">
        <v>562</v>
      </c>
      <c r="O75" s="92" t="s">
        <v>563</v>
      </c>
      <c r="P75" s="88" t="s">
        <v>564</v>
      </c>
      <c r="Q75" s="88" t="s">
        <v>48</v>
      </c>
      <c r="R75" s="86">
        <v>9345745708</v>
      </c>
      <c r="S75" s="88" t="s">
        <v>435</v>
      </c>
      <c r="T75" s="94"/>
      <c r="U75" s="94" t="s">
        <v>381</v>
      </c>
      <c r="V75" s="94" t="s">
        <v>381</v>
      </c>
      <c r="W75" s="94" t="s">
        <v>381</v>
      </c>
      <c r="X75" s="94"/>
      <c r="Y75" s="131"/>
      <c r="Z75" s="131"/>
      <c r="AA75" s="131"/>
      <c r="AB75" s="131"/>
      <c r="AC75" s="131"/>
      <c r="AD75" s="127"/>
      <c r="AF75" s="121"/>
      <c r="AG75" s="121">
        <f>COUNTA('All Details for ACID Pastor'!$U75:$AB75)</f>
        <v>3</v>
      </c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63"/>
      <c r="AX75" s="163"/>
      <c r="AZ75" s="121" t="s">
        <v>139</v>
      </c>
      <c r="BA75" s="163"/>
      <c r="BB75" s="163"/>
      <c r="BC75" s="163"/>
      <c r="BF75" s="163">
        <f>COUNTA('All Details for ACID Pastor'!$T75:$AB75)</f>
        <v>3</v>
      </c>
    </row>
    <row r="76" spans="1:74" ht="70.150000000000006" customHeight="1">
      <c r="A76" s="107">
        <v>77</v>
      </c>
      <c r="B76" s="124" t="s">
        <v>565</v>
      </c>
      <c r="C76" s="90" t="s">
        <v>566</v>
      </c>
      <c r="D76" s="95" t="s">
        <v>53</v>
      </c>
      <c r="E76" s="95" t="s">
        <v>54</v>
      </c>
      <c r="F76" s="95"/>
      <c r="G76" s="95"/>
      <c r="H76" s="95"/>
      <c r="I76" s="95"/>
      <c r="J76" s="115" t="s">
        <v>548</v>
      </c>
      <c r="K76" s="193" t="s">
        <v>567</v>
      </c>
      <c r="L76" s="121"/>
      <c r="M76" s="172"/>
      <c r="N76" s="93" t="s">
        <v>568</v>
      </c>
      <c r="O76" s="92" t="s">
        <v>569</v>
      </c>
      <c r="P76" s="88" t="s">
        <v>94</v>
      </c>
      <c r="Q76" s="88" t="s">
        <v>48</v>
      </c>
      <c r="R76" s="86">
        <v>9597609250</v>
      </c>
      <c r="S76" s="88" t="s">
        <v>435</v>
      </c>
      <c r="T76" s="94"/>
      <c r="U76" s="94"/>
      <c r="V76" s="94"/>
      <c r="W76" s="94"/>
      <c r="X76" s="94"/>
      <c r="Y76" s="131"/>
      <c r="Z76" s="131"/>
      <c r="AA76" s="131"/>
      <c r="AB76" s="131"/>
      <c r="AC76" s="131"/>
      <c r="AD76" s="127"/>
      <c r="AF76" s="121"/>
      <c r="AG76" s="121">
        <f>COUNTA('All Details for ACID Pastor'!$U76:$AB76)</f>
        <v>0</v>
      </c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63"/>
      <c r="AX76" s="163"/>
      <c r="AZ76" s="121" t="s">
        <v>100</v>
      </c>
      <c r="BA76" s="163"/>
      <c r="BB76" s="163"/>
      <c r="BC76" s="163"/>
      <c r="BF76" s="163">
        <f>COUNTA('All Details for ACID Pastor'!$T76:$AB76)</f>
        <v>0</v>
      </c>
    </row>
    <row r="77" spans="1:74" ht="70.150000000000006" customHeight="1">
      <c r="A77" s="107">
        <v>78</v>
      </c>
      <c r="B77" s="124" t="s">
        <v>570</v>
      </c>
      <c r="C77" s="90" t="s">
        <v>571</v>
      </c>
      <c r="D77" s="95" t="s">
        <v>53</v>
      </c>
      <c r="E77" s="95" t="s">
        <v>54</v>
      </c>
      <c r="F77" s="95"/>
      <c r="G77" s="95"/>
      <c r="H77" s="95"/>
      <c r="I77" s="95"/>
      <c r="J77" s="115" t="s">
        <v>498</v>
      </c>
      <c r="K77" s="193" t="s">
        <v>572</v>
      </c>
      <c r="L77" s="121"/>
      <c r="M77" s="172" t="s">
        <v>573</v>
      </c>
      <c r="N77" s="93" t="s">
        <v>574</v>
      </c>
      <c r="O77" s="92" t="s">
        <v>575</v>
      </c>
      <c r="P77" s="88" t="s">
        <v>576</v>
      </c>
      <c r="Q77" s="88" t="s">
        <v>48</v>
      </c>
      <c r="R77" s="86">
        <v>8760240669</v>
      </c>
      <c r="S77" s="88" t="s">
        <v>435</v>
      </c>
      <c r="T77" s="94"/>
      <c r="U77" s="94" t="s">
        <v>96</v>
      </c>
      <c r="V77" s="94" t="s">
        <v>577</v>
      </c>
      <c r="W77" s="94" t="s">
        <v>577</v>
      </c>
      <c r="X77" s="94" t="s">
        <v>149</v>
      </c>
      <c r="Y77" s="94" t="s">
        <v>149</v>
      </c>
      <c r="Z77" s="94" t="s">
        <v>149</v>
      </c>
      <c r="AA77" s="131"/>
      <c r="AB77" s="131"/>
      <c r="AC77" s="131"/>
      <c r="AD77" s="127"/>
      <c r="AF77" s="121"/>
      <c r="AG77" s="121">
        <f>COUNTA('All Details for ACID Pastor'!$U77:$AB77)</f>
        <v>6</v>
      </c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63"/>
      <c r="AX77" s="163"/>
      <c r="AZ77" s="121" t="s">
        <v>49</v>
      </c>
      <c r="BA77" s="163"/>
      <c r="BB77" s="163"/>
      <c r="BC77" s="163"/>
      <c r="BF77" s="163">
        <f>COUNTA('All Details for ACID Pastor'!$T77:$AB77)</f>
        <v>6</v>
      </c>
    </row>
    <row r="78" spans="1:74" ht="70.150000000000006" customHeight="1">
      <c r="A78" s="107">
        <v>79</v>
      </c>
      <c r="B78" s="124" t="s">
        <v>578</v>
      </c>
      <c r="C78" s="90" t="s">
        <v>579</v>
      </c>
      <c r="D78" s="95" t="s">
        <v>53</v>
      </c>
      <c r="E78" s="95" t="s">
        <v>160</v>
      </c>
      <c r="F78" s="95"/>
      <c r="G78" s="95"/>
      <c r="H78" s="95"/>
      <c r="I78" s="95"/>
      <c r="J78" s="115" t="s">
        <v>312</v>
      </c>
      <c r="K78" s="193" t="s">
        <v>580</v>
      </c>
      <c r="L78" s="121"/>
      <c r="M78" s="172"/>
      <c r="N78" s="93" t="s">
        <v>581</v>
      </c>
      <c r="O78" s="92" t="s">
        <v>582</v>
      </c>
      <c r="P78" s="88" t="s">
        <v>583</v>
      </c>
      <c r="Q78" s="88" t="s">
        <v>517</v>
      </c>
      <c r="R78" s="86">
        <v>9562109002</v>
      </c>
      <c r="S78" s="88" t="s">
        <v>435</v>
      </c>
      <c r="T78" s="94"/>
      <c r="U78" s="94"/>
      <c r="V78" s="94"/>
      <c r="W78" s="94"/>
      <c r="X78" s="94"/>
      <c r="Y78" s="131"/>
      <c r="Z78" s="131"/>
      <c r="AA78" s="131"/>
      <c r="AB78" s="131"/>
      <c r="AC78" s="131"/>
      <c r="AD78" s="127"/>
      <c r="AF78" s="121"/>
      <c r="AG78" s="121">
        <f>COUNTA('All Details for ACID Pastor'!$U78:$AB78)</f>
        <v>0</v>
      </c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63"/>
      <c r="AX78" s="163"/>
      <c r="AZ78" s="121" t="s">
        <v>139</v>
      </c>
      <c r="BA78" s="163"/>
      <c r="BB78" s="163"/>
      <c r="BC78" s="163"/>
      <c r="BF78" s="163">
        <f>COUNTA('All Details for ACID Pastor'!$T78:$AB78)</f>
        <v>0</v>
      </c>
    </row>
    <row r="79" spans="1:74" ht="70.150000000000006" customHeight="1">
      <c r="A79" s="107">
        <v>80</v>
      </c>
      <c r="B79" s="124" t="s">
        <v>584</v>
      </c>
      <c r="C79" s="90" t="s">
        <v>585</v>
      </c>
      <c r="D79" s="91" t="s">
        <v>4205</v>
      </c>
      <c r="E79" s="95" t="s">
        <v>54</v>
      </c>
      <c r="F79" s="95"/>
      <c r="G79" s="95"/>
      <c r="H79" s="95"/>
      <c r="I79" s="95"/>
      <c r="J79" s="115" t="s">
        <v>103</v>
      </c>
      <c r="K79" s="193" t="s">
        <v>586</v>
      </c>
      <c r="L79" s="121"/>
      <c r="M79" s="172" t="s">
        <v>587</v>
      </c>
      <c r="N79" s="93" t="s">
        <v>588</v>
      </c>
      <c r="O79" s="92" t="s">
        <v>589</v>
      </c>
      <c r="P79" s="88" t="s">
        <v>73</v>
      </c>
      <c r="Q79" s="88" t="s">
        <v>48</v>
      </c>
      <c r="R79" s="86">
        <v>8760718137</v>
      </c>
      <c r="S79" s="88" t="s">
        <v>435</v>
      </c>
      <c r="T79" s="94"/>
      <c r="U79" s="94" t="s">
        <v>119</v>
      </c>
      <c r="V79" s="94" t="s">
        <v>149</v>
      </c>
      <c r="W79" s="94" t="s">
        <v>149</v>
      </c>
      <c r="X79" s="94" t="s">
        <v>149</v>
      </c>
      <c r="Y79" s="94" t="s">
        <v>149</v>
      </c>
      <c r="Z79" s="131"/>
      <c r="AA79" s="131"/>
      <c r="AB79" s="131"/>
      <c r="AC79" s="131"/>
      <c r="AD79" s="127"/>
      <c r="AF79" s="121"/>
      <c r="AG79" s="121">
        <f>COUNTA('All Details for ACID Pastor'!$U79:$AB79)</f>
        <v>5</v>
      </c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63"/>
      <c r="AX79" s="163"/>
      <c r="AZ79" s="121" t="s">
        <v>49</v>
      </c>
      <c r="BA79" s="163"/>
      <c r="BB79" s="163"/>
      <c r="BC79" s="163"/>
      <c r="BF79" s="163">
        <f>COUNTA('All Details for ACID Pastor'!$T79:$AB79)</f>
        <v>5</v>
      </c>
    </row>
    <row r="80" spans="1:74" ht="70.150000000000006" customHeight="1">
      <c r="A80" s="107">
        <v>81</v>
      </c>
      <c r="B80" s="124" t="s">
        <v>590</v>
      </c>
      <c r="C80" s="90" t="s">
        <v>591</v>
      </c>
      <c r="D80" s="95" t="s">
        <v>53</v>
      </c>
      <c r="E80" s="95" t="s">
        <v>54</v>
      </c>
      <c r="F80" s="95"/>
      <c r="G80" s="95"/>
      <c r="H80" s="95"/>
      <c r="I80" s="95"/>
      <c r="J80" s="115" t="s">
        <v>592</v>
      </c>
      <c r="K80" s="193" t="s">
        <v>593</v>
      </c>
      <c r="L80" s="121"/>
      <c r="M80" s="172"/>
      <c r="N80" s="93" t="s">
        <v>594</v>
      </c>
      <c r="O80" s="92" t="s">
        <v>595</v>
      </c>
      <c r="P80" s="88" t="s">
        <v>198</v>
      </c>
      <c r="Q80" s="88" t="s">
        <v>48</v>
      </c>
      <c r="R80" s="86">
        <v>9626259388</v>
      </c>
      <c r="S80" s="88" t="s">
        <v>435</v>
      </c>
      <c r="T80" s="94"/>
      <c r="U80" s="94"/>
      <c r="V80" s="94"/>
      <c r="W80" s="94"/>
      <c r="X80" s="94"/>
      <c r="Y80" s="131"/>
      <c r="Z80" s="131"/>
      <c r="AA80" s="131"/>
      <c r="AB80" s="131"/>
      <c r="AC80" s="131"/>
      <c r="AD80" s="127"/>
      <c r="AF80" s="121"/>
      <c r="AG80" s="121">
        <f>COUNTA('All Details for ACID Pastor'!$U80:$AB80)</f>
        <v>0</v>
      </c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63"/>
      <c r="AX80" s="163"/>
      <c r="AZ80" s="121" t="s">
        <v>139</v>
      </c>
      <c r="BA80" s="163"/>
      <c r="BB80" s="163"/>
      <c r="BC80" s="163"/>
      <c r="BF80" s="163">
        <f>COUNTA('All Details for ACID Pastor'!$T80:$AB80)</f>
        <v>0</v>
      </c>
    </row>
    <row r="81" spans="1:74" ht="70.150000000000006" customHeight="1">
      <c r="A81" s="107">
        <v>82</v>
      </c>
      <c r="B81" s="124" t="s">
        <v>596</v>
      </c>
      <c r="C81" s="90" t="s">
        <v>597</v>
      </c>
      <c r="D81" s="95" t="s">
        <v>53</v>
      </c>
      <c r="E81" s="95" t="s">
        <v>54</v>
      </c>
      <c r="F81" s="95"/>
      <c r="G81" s="95"/>
      <c r="H81" s="95"/>
      <c r="I81" s="95"/>
      <c r="J81" s="115" t="s">
        <v>598</v>
      </c>
      <c r="K81" s="193" t="s">
        <v>599</v>
      </c>
      <c r="L81" s="121"/>
      <c r="M81" s="172" t="s">
        <v>600</v>
      </c>
      <c r="N81" s="93" t="s">
        <v>601</v>
      </c>
      <c r="O81" s="92" t="s">
        <v>602</v>
      </c>
      <c r="P81" s="88" t="s">
        <v>94</v>
      </c>
      <c r="Q81" s="88" t="s">
        <v>48</v>
      </c>
      <c r="R81" s="86">
        <v>9344540705</v>
      </c>
      <c r="S81" s="88" t="s">
        <v>435</v>
      </c>
      <c r="T81" s="94"/>
      <c r="U81" s="94"/>
      <c r="V81" s="94"/>
      <c r="W81" s="94"/>
      <c r="X81" s="94"/>
      <c r="Y81" s="131"/>
      <c r="Z81" s="131"/>
      <c r="AA81" s="131"/>
      <c r="AB81" s="131"/>
      <c r="AC81" s="131"/>
      <c r="AD81" s="127"/>
      <c r="AF81" s="121"/>
      <c r="AG81" s="121">
        <f>COUNTA('All Details for ACID Pastor'!$U81:$AB81)</f>
        <v>0</v>
      </c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63"/>
      <c r="AX81" s="163"/>
      <c r="AZ81" s="121" t="s">
        <v>288</v>
      </c>
      <c r="BA81" s="163"/>
      <c r="BB81" s="163"/>
      <c r="BC81" s="163"/>
      <c r="BF81" s="163">
        <f>COUNTA('All Details for ACID Pastor'!$T81:$AB81)</f>
        <v>0</v>
      </c>
    </row>
    <row r="82" spans="1:74" ht="70.150000000000006" customHeight="1">
      <c r="A82" s="107">
        <v>83</v>
      </c>
      <c r="B82" s="124" t="s">
        <v>603</v>
      </c>
      <c r="C82" s="90" t="s">
        <v>604</v>
      </c>
      <c r="D82" s="95" t="s">
        <v>53</v>
      </c>
      <c r="E82" s="95" t="s">
        <v>54</v>
      </c>
      <c r="F82" s="95"/>
      <c r="G82" s="95"/>
      <c r="H82" s="95"/>
      <c r="I82" s="95"/>
      <c r="J82" s="115" t="s">
        <v>216</v>
      </c>
      <c r="K82" s="193" t="s">
        <v>605</v>
      </c>
      <c r="L82" s="121"/>
      <c r="M82" s="172"/>
      <c r="N82" s="93" t="s">
        <v>606</v>
      </c>
      <c r="O82" s="92" t="s">
        <v>607</v>
      </c>
      <c r="P82" s="88" t="s">
        <v>94</v>
      </c>
      <c r="Q82" s="88" t="s">
        <v>48</v>
      </c>
      <c r="R82" s="86">
        <v>9790293100</v>
      </c>
      <c r="S82" s="88" t="s">
        <v>435</v>
      </c>
      <c r="T82" s="94"/>
      <c r="U82" s="94"/>
      <c r="V82" s="94"/>
      <c r="W82" s="94"/>
      <c r="X82" s="94"/>
      <c r="Y82" s="131"/>
      <c r="Z82" s="131"/>
      <c r="AA82" s="131"/>
      <c r="AB82" s="131"/>
      <c r="AC82" s="131"/>
      <c r="AD82" s="127"/>
      <c r="AF82" s="121"/>
      <c r="AG82" s="121">
        <f>COUNTA('All Details for ACID Pastor'!$U82:$AB82)</f>
        <v>0</v>
      </c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63"/>
      <c r="AX82" s="163"/>
      <c r="AZ82" s="121" t="s">
        <v>608</v>
      </c>
      <c r="BA82" s="163"/>
      <c r="BB82" s="163"/>
      <c r="BC82" s="163"/>
      <c r="BF82" s="163">
        <f>COUNTA('All Details for ACID Pastor'!$T82:$AB82)</f>
        <v>0</v>
      </c>
    </row>
    <row r="83" spans="1:74" ht="70.150000000000006" customHeight="1">
      <c r="A83" s="107">
        <v>84</v>
      </c>
      <c r="B83" s="124" t="s">
        <v>609</v>
      </c>
      <c r="C83" s="90" t="s">
        <v>610</v>
      </c>
      <c r="D83" s="95" t="s">
        <v>53</v>
      </c>
      <c r="E83" s="95" t="s">
        <v>54</v>
      </c>
      <c r="F83" s="95"/>
      <c r="G83" s="95"/>
      <c r="H83" s="95"/>
      <c r="I83" s="95"/>
      <c r="J83" s="115" t="s">
        <v>216</v>
      </c>
      <c r="K83" s="193" t="s">
        <v>611</v>
      </c>
      <c r="L83" s="121"/>
      <c r="M83" s="172" t="s">
        <v>612</v>
      </c>
      <c r="N83" s="93" t="s">
        <v>613</v>
      </c>
      <c r="O83" s="92" t="s">
        <v>614</v>
      </c>
      <c r="P83" s="88" t="s">
        <v>94</v>
      </c>
      <c r="Q83" s="88" t="s">
        <v>48</v>
      </c>
      <c r="R83" s="86">
        <v>9865836423</v>
      </c>
      <c r="S83" s="88" t="s">
        <v>435</v>
      </c>
      <c r="T83" s="94"/>
      <c r="U83" s="94"/>
      <c r="V83" s="94"/>
      <c r="W83" s="94"/>
      <c r="X83" s="94"/>
      <c r="Y83" s="131"/>
      <c r="Z83" s="131"/>
      <c r="AA83" s="131"/>
      <c r="AB83" s="131"/>
      <c r="AC83" s="131"/>
      <c r="AD83" s="127"/>
      <c r="AF83" s="121"/>
      <c r="AG83" s="121">
        <f>COUNTA('All Details for ACID Pastor'!$U83:$AB83)</f>
        <v>0</v>
      </c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63"/>
      <c r="AX83" s="163"/>
      <c r="AZ83" s="121" t="s">
        <v>100</v>
      </c>
      <c r="BA83" s="163"/>
      <c r="BB83" s="163"/>
      <c r="BC83" s="163"/>
      <c r="BF83" s="163">
        <f>COUNTA('All Details for ACID Pastor'!$T83:$AB83)</f>
        <v>0</v>
      </c>
    </row>
    <row r="84" spans="1:74" ht="70.150000000000006" customHeight="1">
      <c r="A84" s="107">
        <v>85</v>
      </c>
      <c r="B84" s="124" t="s">
        <v>615</v>
      </c>
      <c r="C84" s="90" t="s">
        <v>616</v>
      </c>
      <c r="D84" s="95" t="s">
        <v>53</v>
      </c>
      <c r="E84" s="95" t="s">
        <v>54</v>
      </c>
      <c r="F84" s="95"/>
      <c r="G84" s="95"/>
      <c r="H84" s="95"/>
      <c r="I84" s="95"/>
      <c r="J84" s="115" t="s">
        <v>312</v>
      </c>
      <c r="K84" s="193" t="s">
        <v>617</v>
      </c>
      <c r="L84" s="121"/>
      <c r="M84" s="172"/>
      <c r="N84" s="93" t="s">
        <v>618</v>
      </c>
      <c r="O84" s="92" t="s">
        <v>540</v>
      </c>
      <c r="P84" s="88" t="s">
        <v>94</v>
      </c>
      <c r="Q84" s="88" t="s">
        <v>48</v>
      </c>
      <c r="R84" s="86">
        <v>9159664989</v>
      </c>
      <c r="S84" s="88" t="s">
        <v>435</v>
      </c>
      <c r="T84" s="94"/>
      <c r="U84" s="94" t="s">
        <v>96</v>
      </c>
      <c r="V84" s="94" t="s">
        <v>295</v>
      </c>
      <c r="W84" s="94"/>
      <c r="X84" s="94"/>
      <c r="Y84" s="131"/>
      <c r="Z84" s="131"/>
      <c r="AA84" s="131"/>
      <c r="AB84" s="131"/>
      <c r="AC84" s="131"/>
      <c r="AD84" s="127"/>
      <c r="AF84" s="121"/>
      <c r="AG84" s="121">
        <f>COUNTA('All Details for ACID Pastor'!$U84:$AB84)</f>
        <v>2</v>
      </c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63"/>
      <c r="AX84" s="163"/>
      <c r="AZ84" s="121" t="s">
        <v>100</v>
      </c>
      <c r="BA84" s="163"/>
      <c r="BB84" s="163"/>
      <c r="BC84" s="163"/>
      <c r="BF84" s="163">
        <f>COUNTA('All Details for ACID Pastor'!$T84:$AB84)</f>
        <v>2</v>
      </c>
    </row>
    <row r="85" spans="1:74" ht="70.150000000000006" customHeight="1">
      <c r="A85" s="107">
        <v>86</v>
      </c>
      <c r="B85" s="124" t="s">
        <v>619</v>
      </c>
      <c r="C85" s="90" t="s">
        <v>620</v>
      </c>
      <c r="D85" s="91" t="s">
        <v>53</v>
      </c>
      <c r="E85" s="95" t="s">
        <v>54</v>
      </c>
      <c r="F85" s="95"/>
      <c r="G85" s="95"/>
      <c r="H85" s="95"/>
      <c r="I85" s="95"/>
      <c r="J85" s="115" t="s">
        <v>621</v>
      </c>
      <c r="K85" s="193" t="s">
        <v>622</v>
      </c>
      <c r="L85" s="121"/>
      <c r="M85" s="172" t="s">
        <v>623</v>
      </c>
      <c r="N85" s="93" t="s">
        <v>624</v>
      </c>
      <c r="O85" s="92" t="s">
        <v>625</v>
      </c>
      <c r="P85" s="88" t="s">
        <v>626</v>
      </c>
      <c r="Q85" s="88" t="s">
        <v>626</v>
      </c>
      <c r="R85" s="86">
        <v>9345421267</v>
      </c>
      <c r="S85" s="88" t="s">
        <v>435</v>
      </c>
      <c r="T85" s="94"/>
      <c r="U85" s="94" t="s">
        <v>504</v>
      </c>
      <c r="V85" s="94" t="s">
        <v>627</v>
      </c>
      <c r="W85" s="94" t="s">
        <v>184</v>
      </c>
      <c r="X85" s="94" t="s">
        <v>184</v>
      </c>
      <c r="Y85" s="94" t="s">
        <v>628</v>
      </c>
      <c r="Z85" s="94" t="s">
        <v>628</v>
      </c>
      <c r="AA85" s="131"/>
      <c r="AB85" s="131"/>
      <c r="AC85" s="131"/>
      <c r="AD85" s="127"/>
      <c r="AF85" s="121"/>
      <c r="AG85" s="121">
        <f>COUNTA('All Details for ACID Pastor'!$U85:$AB85)</f>
        <v>6</v>
      </c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63"/>
      <c r="AX85" s="163"/>
      <c r="AZ85" s="121" t="s">
        <v>49</v>
      </c>
      <c r="BA85" s="163"/>
      <c r="BB85" s="163"/>
      <c r="BC85" s="163"/>
      <c r="BF85" s="163">
        <f>COUNTA('All Details for ACID Pastor'!$T85:$AB85)</f>
        <v>6</v>
      </c>
    </row>
    <row r="86" spans="1:74" ht="70.150000000000006" customHeight="1">
      <c r="A86" s="107">
        <v>87</v>
      </c>
      <c r="B86" s="124" t="s">
        <v>629</v>
      </c>
      <c r="C86" s="90" t="s">
        <v>630</v>
      </c>
      <c r="D86" s="95" t="s">
        <v>53</v>
      </c>
      <c r="E86" s="95" t="s">
        <v>54</v>
      </c>
      <c r="F86" s="95"/>
      <c r="G86" s="95"/>
      <c r="H86" s="95"/>
      <c r="I86" s="95"/>
      <c r="J86" s="115" t="s">
        <v>103</v>
      </c>
      <c r="K86" s="193" t="s">
        <v>631</v>
      </c>
      <c r="L86" s="121"/>
      <c r="M86" s="172"/>
      <c r="N86" s="93" t="s">
        <v>632</v>
      </c>
      <c r="O86" s="92" t="s">
        <v>633</v>
      </c>
      <c r="P86" s="88" t="s">
        <v>60</v>
      </c>
      <c r="Q86" s="88" t="s">
        <v>48</v>
      </c>
      <c r="R86" s="86">
        <v>9994407001</v>
      </c>
      <c r="S86" s="88" t="s">
        <v>435</v>
      </c>
      <c r="T86" s="94"/>
      <c r="U86" s="94" t="s">
        <v>634</v>
      </c>
      <c r="V86" s="94" t="s">
        <v>77</v>
      </c>
      <c r="W86" s="94" t="s">
        <v>635</v>
      </c>
      <c r="X86" s="94"/>
      <c r="Y86" s="131"/>
      <c r="Z86" s="131"/>
      <c r="AA86" s="131"/>
      <c r="AB86" s="131"/>
      <c r="AC86" s="131"/>
      <c r="AD86" s="127"/>
      <c r="AF86" s="121"/>
      <c r="AG86" s="121">
        <f>COUNTA('All Details for ACID Pastor'!$U86:$AB86)</f>
        <v>3</v>
      </c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63"/>
      <c r="AX86" s="163"/>
      <c r="AZ86" s="121" t="s">
        <v>139</v>
      </c>
      <c r="BA86" s="163"/>
      <c r="BB86" s="163"/>
      <c r="BC86" s="163"/>
      <c r="BF86" s="163">
        <f>COUNTA('All Details for ACID Pastor'!$T86:$AB86)</f>
        <v>3</v>
      </c>
    </row>
    <row r="87" spans="1:74" ht="70.150000000000006" customHeight="1">
      <c r="A87" s="107">
        <v>88</v>
      </c>
      <c r="B87" s="124" t="s">
        <v>636</v>
      </c>
      <c r="C87" s="90" t="s">
        <v>637</v>
      </c>
      <c r="D87" s="91" t="s">
        <v>132</v>
      </c>
      <c r="E87" s="95" t="s">
        <v>54</v>
      </c>
      <c r="F87" s="95"/>
      <c r="G87" s="95"/>
      <c r="H87" s="95"/>
      <c r="I87" s="95"/>
      <c r="J87" s="115" t="s">
        <v>638</v>
      </c>
      <c r="K87" s="193" t="s">
        <v>639</v>
      </c>
      <c r="L87" s="121" t="s">
        <v>4209</v>
      </c>
      <c r="M87" s="172"/>
      <c r="N87" s="93" t="s">
        <v>640</v>
      </c>
      <c r="O87" s="92" t="s">
        <v>641</v>
      </c>
      <c r="P87" s="88" t="s">
        <v>642</v>
      </c>
      <c r="Q87" s="88" t="s">
        <v>517</v>
      </c>
      <c r="R87" s="86">
        <v>9495838152</v>
      </c>
      <c r="S87" s="88" t="s">
        <v>435</v>
      </c>
      <c r="T87" s="94"/>
      <c r="U87" s="94" t="s">
        <v>96</v>
      </c>
      <c r="V87" s="94" t="s">
        <v>295</v>
      </c>
      <c r="W87" s="94" t="s">
        <v>215</v>
      </c>
      <c r="X87" s="94" t="s">
        <v>110</v>
      </c>
      <c r="Y87" s="131"/>
      <c r="Z87" s="127" t="s">
        <v>165</v>
      </c>
      <c r="AA87" s="127" t="s">
        <v>165</v>
      </c>
      <c r="AB87" s="127" t="s">
        <v>165</v>
      </c>
      <c r="AC87" s="131" t="s">
        <v>129</v>
      </c>
      <c r="AD87" s="127" t="s">
        <v>4222</v>
      </c>
      <c r="AF87" s="121"/>
      <c r="AG87" s="121">
        <f>COUNTA('All Details for ACID Pastor'!$U87:$AB87)</f>
        <v>7</v>
      </c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63"/>
      <c r="AX87" s="163"/>
      <c r="AZ87" s="121" t="s">
        <v>49</v>
      </c>
      <c r="BA87" s="163"/>
      <c r="BB87" s="163">
        <v>1</v>
      </c>
      <c r="BC87" s="163"/>
      <c r="BE87" s="283">
        <v>1</v>
      </c>
      <c r="BF87" s="163">
        <v>8</v>
      </c>
    </row>
    <row r="88" spans="1:74" ht="70.150000000000006" customHeight="1">
      <c r="A88" s="107">
        <v>89</v>
      </c>
      <c r="B88" s="124" t="s">
        <v>643</v>
      </c>
      <c r="C88" s="90" t="s">
        <v>644</v>
      </c>
      <c r="D88" s="95" t="s">
        <v>53</v>
      </c>
      <c r="E88" s="95" t="s">
        <v>54</v>
      </c>
      <c r="F88" s="95"/>
      <c r="G88" s="95"/>
      <c r="H88" s="95"/>
      <c r="I88" s="95"/>
      <c r="J88" s="115" t="s">
        <v>592</v>
      </c>
      <c r="K88" s="193" t="s">
        <v>645</v>
      </c>
      <c r="L88" s="121"/>
      <c r="M88" s="172" t="s">
        <v>646</v>
      </c>
      <c r="N88" s="93" t="s">
        <v>647</v>
      </c>
      <c r="O88" s="92" t="s">
        <v>648</v>
      </c>
      <c r="P88" s="88" t="s">
        <v>94</v>
      </c>
      <c r="Q88" s="88" t="s">
        <v>48</v>
      </c>
      <c r="R88" s="86">
        <v>9787907796</v>
      </c>
      <c r="S88" s="88" t="s">
        <v>435</v>
      </c>
      <c r="T88" s="94"/>
      <c r="U88" s="94" t="s">
        <v>96</v>
      </c>
      <c r="V88" s="94" t="s">
        <v>120</v>
      </c>
      <c r="W88" s="94"/>
      <c r="X88" s="94"/>
      <c r="Y88" s="131"/>
      <c r="Z88" s="131"/>
      <c r="AA88" s="131"/>
      <c r="AB88" s="131"/>
      <c r="AC88" s="131"/>
      <c r="AD88" s="127"/>
      <c r="AF88" s="121"/>
      <c r="AG88" s="121">
        <f>COUNTA('All Details for ACID Pastor'!$U88:$AB88)</f>
        <v>2</v>
      </c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63"/>
      <c r="AX88" s="163"/>
      <c r="AZ88" s="121" t="s">
        <v>100</v>
      </c>
      <c r="BA88" s="163"/>
      <c r="BB88" s="163"/>
      <c r="BC88" s="163"/>
      <c r="BF88" s="163">
        <f>COUNTA('All Details for ACID Pastor'!$T88:$AB88)</f>
        <v>2</v>
      </c>
    </row>
    <row r="89" spans="1:74" ht="70.150000000000006" customHeight="1">
      <c r="A89" s="107">
        <v>90</v>
      </c>
      <c r="B89" s="124" t="s">
        <v>649</v>
      </c>
      <c r="C89" s="90" t="s">
        <v>650</v>
      </c>
      <c r="D89" s="95" t="s">
        <v>53</v>
      </c>
      <c r="E89" s="95" t="s">
        <v>54</v>
      </c>
      <c r="F89" s="95"/>
      <c r="G89" s="95"/>
      <c r="H89" s="95"/>
      <c r="I89" s="95"/>
      <c r="J89" s="118"/>
      <c r="K89" s="193" t="s">
        <v>651</v>
      </c>
      <c r="L89" s="121"/>
      <c r="M89" s="172" t="s">
        <v>652</v>
      </c>
      <c r="N89" s="93" t="s">
        <v>653</v>
      </c>
      <c r="O89" s="92" t="s">
        <v>654</v>
      </c>
      <c r="P89" s="88" t="s">
        <v>73</v>
      </c>
      <c r="Q89" s="88" t="s">
        <v>48</v>
      </c>
      <c r="R89" s="86">
        <v>9487870997</v>
      </c>
      <c r="S89" s="88" t="s">
        <v>435</v>
      </c>
      <c r="T89" s="94"/>
      <c r="U89" s="94"/>
      <c r="V89" s="94"/>
      <c r="W89" s="94"/>
      <c r="X89" s="94"/>
      <c r="Y89" s="131"/>
      <c r="Z89" s="131"/>
      <c r="AA89" s="131"/>
      <c r="AB89" s="131"/>
      <c r="AC89" s="131"/>
      <c r="AD89" s="127"/>
      <c r="AF89" s="121"/>
      <c r="AG89" s="121">
        <f>COUNTA('All Details for ACID Pastor'!$U89:$AB89)</f>
        <v>0</v>
      </c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63"/>
      <c r="AX89" s="163"/>
      <c r="AZ89" s="121" t="s">
        <v>49</v>
      </c>
      <c r="BA89" s="163"/>
      <c r="BB89" s="163"/>
      <c r="BC89" s="163"/>
      <c r="BF89" s="163">
        <f>COUNTA('All Details for ACID Pastor'!$T89:$AB89)</f>
        <v>0</v>
      </c>
    </row>
    <row r="90" spans="1:74" ht="70.150000000000006" customHeight="1">
      <c r="A90" s="107">
        <v>91</v>
      </c>
      <c r="B90" s="124" t="s">
        <v>655</v>
      </c>
      <c r="C90" s="90" t="s">
        <v>656</v>
      </c>
      <c r="D90" s="95" t="s">
        <v>53</v>
      </c>
      <c r="E90" s="95" t="s">
        <v>54</v>
      </c>
      <c r="F90" s="95"/>
      <c r="G90" s="95"/>
      <c r="H90" s="95"/>
      <c r="I90" s="95"/>
      <c r="J90" s="115" t="s">
        <v>283</v>
      </c>
      <c r="K90" s="193" t="s">
        <v>657</v>
      </c>
      <c r="L90" s="121"/>
      <c r="M90" s="172"/>
      <c r="N90" s="93" t="s">
        <v>658</v>
      </c>
      <c r="O90" s="92" t="s">
        <v>659</v>
      </c>
      <c r="P90" s="88" t="s">
        <v>94</v>
      </c>
      <c r="Q90" s="88" t="s">
        <v>48</v>
      </c>
      <c r="R90" s="86">
        <v>9790593533</v>
      </c>
      <c r="S90" s="88" t="s">
        <v>435</v>
      </c>
      <c r="T90" s="94"/>
      <c r="U90" s="94"/>
      <c r="V90" s="94"/>
      <c r="W90" s="94"/>
      <c r="X90" s="94"/>
      <c r="Y90" s="131"/>
      <c r="Z90" s="131"/>
      <c r="AA90" s="131"/>
      <c r="AB90" s="131"/>
      <c r="AC90" s="131"/>
      <c r="AD90" s="127"/>
      <c r="AE90" s="246"/>
      <c r="AF90" s="121"/>
      <c r="AG90" s="121">
        <f>COUNTA('All Details for ACID Pastor'!$U90:$AB90)</f>
        <v>0</v>
      </c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63"/>
      <c r="AX90" s="163"/>
      <c r="AZ90" s="121" t="s">
        <v>335</v>
      </c>
      <c r="BA90" s="163"/>
      <c r="BB90" s="163"/>
      <c r="BC90" s="163"/>
      <c r="BF90" s="163">
        <f>COUNTA('All Details for ACID Pastor'!$T90:$AB90)</f>
        <v>0</v>
      </c>
    </row>
    <row r="91" spans="1:74" s="190" customFormat="1" ht="70.150000000000006" customHeight="1">
      <c r="A91" s="178">
        <v>92</v>
      </c>
      <c r="B91" s="179" t="s">
        <v>660</v>
      </c>
      <c r="C91" s="180" t="s">
        <v>661</v>
      </c>
      <c r="D91" s="181" t="s">
        <v>132</v>
      </c>
      <c r="E91" s="181" t="s">
        <v>54</v>
      </c>
      <c r="F91" s="95"/>
      <c r="G91" s="95"/>
      <c r="H91" s="95"/>
      <c r="I91" s="95"/>
      <c r="J91" s="182" t="s">
        <v>103</v>
      </c>
      <c r="K91" s="258" t="s">
        <v>662</v>
      </c>
      <c r="L91" s="236" t="s">
        <v>4209</v>
      </c>
      <c r="M91" s="183" t="s">
        <v>663</v>
      </c>
      <c r="N91" s="184" t="s">
        <v>664</v>
      </c>
      <c r="O91" s="185" t="s">
        <v>665</v>
      </c>
      <c r="P91" s="186" t="s">
        <v>666</v>
      </c>
      <c r="Q91" s="186" t="s">
        <v>667</v>
      </c>
      <c r="R91" s="187">
        <v>9036979301</v>
      </c>
      <c r="S91" s="186" t="s">
        <v>435</v>
      </c>
      <c r="T91" s="188"/>
      <c r="U91" s="188" t="s">
        <v>96</v>
      </c>
      <c r="V91" s="188" t="s">
        <v>295</v>
      </c>
      <c r="W91" s="188"/>
      <c r="X91" s="188"/>
      <c r="Y91" s="189"/>
      <c r="Z91" s="189"/>
      <c r="AA91" s="189"/>
      <c r="AB91" s="189"/>
      <c r="AC91" s="189"/>
      <c r="AD91" s="224"/>
      <c r="AE91" s="244"/>
      <c r="AF91" s="236"/>
      <c r="AG91" s="236">
        <f>COUNTA('All Details for ACID Pastor'!$U91:$AB91)</f>
        <v>2</v>
      </c>
      <c r="AH91" s="236"/>
      <c r="AI91" s="236"/>
      <c r="AJ91" s="236"/>
      <c r="AK91" s="236"/>
      <c r="AL91" s="236"/>
      <c r="AM91" s="236"/>
      <c r="AN91" s="236"/>
      <c r="AO91" s="236"/>
      <c r="AP91" s="236"/>
      <c r="AQ91" s="236"/>
      <c r="AR91" s="236"/>
      <c r="AS91" s="236"/>
      <c r="AT91" s="236"/>
      <c r="AU91" s="236"/>
      <c r="AV91" s="236"/>
      <c r="AW91" s="237"/>
      <c r="AX91" s="237"/>
      <c r="AY91" s="246"/>
      <c r="AZ91" s="236" t="s">
        <v>139</v>
      </c>
      <c r="BA91" s="237"/>
      <c r="BB91" s="237"/>
      <c r="BC91" s="237"/>
      <c r="BD91" s="246"/>
      <c r="BE91" s="279"/>
      <c r="BF91" s="237">
        <f>COUNTA('All Details for ACID Pastor'!$T91:$AB91)</f>
        <v>2</v>
      </c>
      <c r="BG91" s="251"/>
      <c r="BH91" s="251"/>
      <c r="BI91" s="251"/>
      <c r="BJ91" s="251"/>
      <c r="BK91" s="251"/>
      <c r="BL91" s="251"/>
      <c r="BM91" s="251"/>
      <c r="BN91" s="251"/>
      <c r="BO91" s="251"/>
      <c r="BP91" s="251"/>
      <c r="BQ91" s="251"/>
      <c r="BR91" s="251"/>
      <c r="BS91" s="251"/>
      <c r="BT91" s="251"/>
      <c r="BU91" s="251"/>
      <c r="BV91" s="251"/>
    </row>
    <row r="92" spans="1:74" s="174" customFormat="1" ht="70.150000000000006" customHeight="1">
      <c r="A92" s="103">
        <v>93</v>
      </c>
      <c r="B92" s="132" t="s">
        <v>668</v>
      </c>
      <c r="C92" s="101" t="s">
        <v>669</v>
      </c>
      <c r="D92" s="102" t="s">
        <v>53</v>
      </c>
      <c r="E92" s="102" t="s">
        <v>54</v>
      </c>
      <c r="F92" s="95"/>
      <c r="G92" s="95"/>
      <c r="H92" s="95"/>
      <c r="I92" s="95"/>
      <c r="J92" s="133" t="s">
        <v>670</v>
      </c>
      <c r="K92" s="256" t="s">
        <v>671</v>
      </c>
      <c r="L92" s="232" t="s">
        <v>4209</v>
      </c>
      <c r="M92" s="171" t="s">
        <v>672</v>
      </c>
      <c r="N92" s="104" t="s">
        <v>673</v>
      </c>
      <c r="O92" s="105" t="s">
        <v>674</v>
      </c>
      <c r="P92" s="106" t="s">
        <v>642</v>
      </c>
      <c r="Q92" s="106" t="s">
        <v>517</v>
      </c>
      <c r="R92" s="134">
        <v>9400236791</v>
      </c>
      <c r="S92" s="106" t="s">
        <v>435</v>
      </c>
      <c r="T92" s="135"/>
      <c r="U92" s="135"/>
      <c r="V92" s="135"/>
      <c r="W92" s="135"/>
      <c r="X92" s="135"/>
      <c r="Y92" s="136"/>
      <c r="Z92" s="136"/>
      <c r="AA92" s="136"/>
      <c r="AB92" s="136"/>
      <c r="AC92" s="136"/>
      <c r="AD92" s="222"/>
      <c r="AE92" s="240"/>
      <c r="AF92" s="232"/>
      <c r="AG92" s="232">
        <f>COUNTA('All Details for ACID Pastor'!$U92:$AB92)</f>
        <v>0</v>
      </c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3"/>
      <c r="AX92" s="233"/>
      <c r="AY92" s="244"/>
      <c r="AZ92" s="232" t="s">
        <v>139</v>
      </c>
      <c r="BA92" s="233"/>
      <c r="BB92" s="233"/>
      <c r="BC92" s="233"/>
      <c r="BD92" s="244"/>
      <c r="BE92" s="277"/>
      <c r="BF92" s="233">
        <f>COUNTA('All Details for ACID Pastor'!$T92:$AB92)</f>
        <v>0</v>
      </c>
      <c r="BG92" s="249"/>
      <c r="BH92" s="249"/>
      <c r="BI92" s="249"/>
      <c r="BJ92" s="249"/>
      <c r="BK92" s="249"/>
      <c r="BL92" s="249"/>
      <c r="BM92" s="249"/>
      <c r="BN92" s="249"/>
      <c r="BO92" s="249"/>
      <c r="BP92" s="249"/>
      <c r="BQ92" s="249"/>
      <c r="BR92" s="249"/>
      <c r="BS92" s="249"/>
      <c r="BT92" s="249"/>
      <c r="BU92" s="249"/>
      <c r="BV92" s="249"/>
    </row>
    <row r="93" spans="1:74" ht="70.150000000000006" customHeight="1">
      <c r="A93" s="107">
        <v>94</v>
      </c>
      <c r="B93" s="124" t="s">
        <v>675</v>
      </c>
      <c r="C93" s="90" t="s">
        <v>676</v>
      </c>
      <c r="D93" s="95" t="s">
        <v>53</v>
      </c>
      <c r="E93" s="95" t="s">
        <v>54</v>
      </c>
      <c r="F93" s="95"/>
      <c r="G93" s="95"/>
      <c r="H93" s="95"/>
      <c r="I93" s="95"/>
      <c r="J93" s="115" t="s">
        <v>283</v>
      </c>
      <c r="K93" s="193" t="s">
        <v>677</v>
      </c>
      <c r="L93" s="121"/>
      <c r="M93" s="172"/>
      <c r="N93" s="93" t="s">
        <v>678</v>
      </c>
      <c r="O93" s="92" t="s">
        <v>679</v>
      </c>
      <c r="P93" s="88" t="s">
        <v>680</v>
      </c>
      <c r="Q93" s="88" t="s">
        <v>517</v>
      </c>
      <c r="R93" s="86">
        <v>9787042192</v>
      </c>
      <c r="S93" s="88" t="s">
        <v>435</v>
      </c>
      <c r="T93" s="94"/>
      <c r="U93" s="94" t="s">
        <v>681</v>
      </c>
      <c r="V93" s="94" t="s">
        <v>681</v>
      </c>
      <c r="W93" s="94" t="s">
        <v>681</v>
      </c>
      <c r="X93" s="94" t="s">
        <v>524</v>
      </c>
      <c r="Y93" s="127" t="s">
        <v>682</v>
      </c>
      <c r="Z93" s="127" t="s">
        <v>682</v>
      </c>
      <c r="AA93" s="127" t="s">
        <v>682</v>
      </c>
      <c r="AB93" s="127">
        <v>12.042021999999999</v>
      </c>
      <c r="AC93" s="131"/>
      <c r="AD93" s="127"/>
      <c r="AF93" s="121"/>
      <c r="AG93" s="121">
        <f>COUNTA('All Details for ACID Pastor'!$U93:$AB93)</f>
        <v>8</v>
      </c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63"/>
      <c r="AX93" s="163"/>
      <c r="AZ93" s="121" t="s">
        <v>49</v>
      </c>
      <c r="BA93" s="163"/>
      <c r="BB93" s="163"/>
      <c r="BC93" s="163"/>
      <c r="BF93" s="163">
        <f>COUNTA('All Details for ACID Pastor'!$T93:$AB93)</f>
        <v>8</v>
      </c>
    </row>
    <row r="94" spans="1:74" ht="70.150000000000006" customHeight="1">
      <c r="A94" s="107">
        <v>95</v>
      </c>
      <c r="B94" s="137" t="s">
        <v>683</v>
      </c>
      <c r="C94" s="90" t="s">
        <v>684</v>
      </c>
      <c r="D94" s="95" t="s">
        <v>53</v>
      </c>
      <c r="E94" s="108" t="s">
        <v>54</v>
      </c>
      <c r="F94" s="108"/>
      <c r="G94" s="108"/>
      <c r="H94" s="108"/>
      <c r="I94" s="108"/>
      <c r="J94" s="138" t="s">
        <v>216</v>
      </c>
      <c r="K94" s="194" t="s">
        <v>685</v>
      </c>
      <c r="L94" s="121"/>
      <c r="M94" s="109"/>
      <c r="N94" s="110" t="s">
        <v>686</v>
      </c>
      <c r="O94" s="111" t="s">
        <v>217</v>
      </c>
      <c r="P94" s="112" t="s">
        <v>94</v>
      </c>
      <c r="Q94" s="112" t="s">
        <v>48</v>
      </c>
      <c r="R94" s="139">
        <v>9790687023</v>
      </c>
      <c r="S94" s="88" t="s">
        <v>435</v>
      </c>
      <c r="T94" s="140"/>
      <c r="U94" s="140"/>
      <c r="V94" s="140"/>
      <c r="W94" s="140"/>
      <c r="X94" s="140"/>
      <c r="Y94" s="141"/>
      <c r="Z94" s="131"/>
      <c r="AA94" s="131"/>
      <c r="AB94" s="131"/>
      <c r="AC94" s="131"/>
      <c r="AD94" s="127"/>
      <c r="AF94" s="121"/>
      <c r="AG94" s="121">
        <f>COUNTA('All Details for ACID Pastor'!$U94:$AB94)</f>
        <v>0</v>
      </c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63"/>
      <c r="AX94" s="163"/>
      <c r="AZ94" s="121" t="s">
        <v>100</v>
      </c>
      <c r="BA94" s="163"/>
      <c r="BB94" s="163"/>
      <c r="BC94" s="163"/>
      <c r="BF94" s="163">
        <f>COUNTA('All Details for ACID Pastor'!$T94:$AB94)</f>
        <v>0</v>
      </c>
    </row>
    <row r="95" spans="1:74" ht="70.150000000000006" customHeight="1">
      <c r="A95" s="107">
        <v>96</v>
      </c>
      <c r="B95" s="124" t="s">
        <v>687</v>
      </c>
      <c r="C95" s="90" t="s">
        <v>688</v>
      </c>
      <c r="D95" s="95" t="s">
        <v>53</v>
      </c>
      <c r="E95" s="95" t="s">
        <v>54</v>
      </c>
      <c r="F95" s="95"/>
      <c r="G95" s="95"/>
      <c r="H95" s="95"/>
      <c r="I95" s="95"/>
      <c r="J95" s="115" t="s">
        <v>592</v>
      </c>
      <c r="K95" s="193" t="s">
        <v>689</v>
      </c>
      <c r="L95" s="121"/>
      <c r="M95" s="172" t="s">
        <v>690</v>
      </c>
      <c r="N95" s="93" t="s">
        <v>691</v>
      </c>
      <c r="O95" s="92" t="s">
        <v>692</v>
      </c>
      <c r="P95" s="88" t="s">
        <v>47</v>
      </c>
      <c r="Q95" s="88" t="s">
        <v>48</v>
      </c>
      <c r="R95" s="86">
        <v>9659716166</v>
      </c>
      <c r="S95" s="88" t="s">
        <v>435</v>
      </c>
      <c r="T95" s="94"/>
      <c r="U95" s="94" t="s">
        <v>96</v>
      </c>
      <c r="V95" s="94"/>
      <c r="W95" s="94"/>
      <c r="X95" s="94"/>
      <c r="Y95" s="131"/>
      <c r="Z95" s="131"/>
      <c r="AA95" s="131"/>
      <c r="AB95" s="131"/>
      <c r="AC95" s="131"/>
      <c r="AD95" s="127"/>
      <c r="AF95" s="121"/>
      <c r="AG95" s="121">
        <f>COUNTA('All Details for ACID Pastor'!$U95:$AB95)</f>
        <v>1</v>
      </c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63"/>
      <c r="AX95" s="163"/>
      <c r="AZ95" s="121" t="s">
        <v>49</v>
      </c>
      <c r="BA95" s="163"/>
      <c r="BB95" s="163"/>
      <c r="BC95" s="163"/>
      <c r="BF95" s="163">
        <f>COUNTA('All Details for ACID Pastor'!$T95:$AB95)</f>
        <v>1</v>
      </c>
    </row>
    <row r="96" spans="1:74" ht="70.150000000000006" customHeight="1">
      <c r="A96" s="107">
        <v>97</v>
      </c>
      <c r="B96" s="124" t="s">
        <v>693</v>
      </c>
      <c r="C96" s="90" t="s">
        <v>694</v>
      </c>
      <c r="D96" s="95" t="s">
        <v>53</v>
      </c>
      <c r="E96" s="95" t="s">
        <v>54</v>
      </c>
      <c r="F96" s="95"/>
      <c r="G96" s="95"/>
      <c r="H96" s="95"/>
      <c r="I96" s="95"/>
      <c r="J96" s="115" t="s">
        <v>638</v>
      </c>
      <c r="K96" s="193" t="s">
        <v>695</v>
      </c>
      <c r="L96" s="121"/>
      <c r="M96" s="172" t="s">
        <v>696</v>
      </c>
      <c r="N96" s="93" t="s">
        <v>697</v>
      </c>
      <c r="O96" s="92" t="s">
        <v>698</v>
      </c>
      <c r="P96" s="88" t="s">
        <v>94</v>
      </c>
      <c r="Q96" s="88" t="s">
        <v>48</v>
      </c>
      <c r="R96" s="86">
        <v>8608348894</v>
      </c>
      <c r="S96" s="88" t="s">
        <v>435</v>
      </c>
      <c r="T96" s="94"/>
      <c r="U96" s="94"/>
      <c r="V96" s="94"/>
      <c r="W96" s="94"/>
      <c r="X96" s="94"/>
      <c r="Y96" s="131"/>
      <c r="Z96" s="131"/>
      <c r="AA96" s="131"/>
      <c r="AB96" s="131"/>
      <c r="AC96" s="131"/>
      <c r="AD96" s="127"/>
      <c r="AF96" s="121"/>
      <c r="AG96" s="121">
        <f>COUNTA('All Details for ACID Pastor'!$U96:$AB96)</f>
        <v>0</v>
      </c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63"/>
      <c r="AX96" s="163"/>
      <c r="AZ96" s="121" t="s">
        <v>100</v>
      </c>
      <c r="BA96" s="163"/>
      <c r="BB96" s="163"/>
      <c r="BC96" s="163"/>
      <c r="BF96" s="163">
        <f>COUNTA('All Details for ACID Pastor'!$T96:$AB96)</f>
        <v>0</v>
      </c>
    </row>
    <row r="97" spans="1:74" ht="70.150000000000006" customHeight="1">
      <c r="A97" s="107">
        <v>98</v>
      </c>
      <c r="B97" s="124" t="s">
        <v>699</v>
      </c>
      <c r="C97" s="90" t="s">
        <v>700</v>
      </c>
      <c r="D97" s="95" t="s">
        <v>53</v>
      </c>
      <c r="E97" s="95" t="s">
        <v>54</v>
      </c>
      <c r="F97" s="95"/>
      <c r="G97" s="95"/>
      <c r="H97" s="95"/>
      <c r="I97" s="95"/>
      <c r="J97" s="115" t="s">
        <v>701</v>
      </c>
      <c r="K97" s="193" t="s">
        <v>702</v>
      </c>
      <c r="L97" s="121"/>
      <c r="M97" s="172" t="s">
        <v>703</v>
      </c>
      <c r="N97" s="93" t="s">
        <v>704</v>
      </c>
      <c r="O97" s="92" t="s">
        <v>705</v>
      </c>
      <c r="P97" s="88" t="s">
        <v>198</v>
      </c>
      <c r="Q97" s="88" t="s">
        <v>48</v>
      </c>
      <c r="R97" s="86">
        <v>9843508906</v>
      </c>
      <c r="S97" s="88" t="s">
        <v>435</v>
      </c>
      <c r="T97" s="94"/>
      <c r="U97" s="94"/>
      <c r="V97" s="94"/>
      <c r="W97" s="94"/>
      <c r="X97" s="94"/>
      <c r="Y97" s="131"/>
      <c r="Z97" s="131"/>
      <c r="AA97" s="131"/>
      <c r="AB97" s="131"/>
      <c r="AC97" s="131"/>
      <c r="AD97" s="127"/>
      <c r="AF97" s="121"/>
      <c r="AG97" s="121">
        <f>COUNTA('All Details for ACID Pastor'!$U97:$AB97)</f>
        <v>0</v>
      </c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63"/>
      <c r="AX97" s="163"/>
      <c r="AZ97" s="121" t="s">
        <v>139</v>
      </c>
      <c r="BA97" s="163"/>
      <c r="BB97" s="163"/>
      <c r="BC97" s="163"/>
      <c r="BF97" s="163">
        <f>COUNTA('All Details for ACID Pastor'!$T97:$AB97)</f>
        <v>0</v>
      </c>
    </row>
    <row r="98" spans="1:74" ht="70.150000000000006" customHeight="1">
      <c r="A98" s="107">
        <v>99</v>
      </c>
      <c r="B98" s="124" t="s">
        <v>706</v>
      </c>
      <c r="C98" s="90" t="s">
        <v>707</v>
      </c>
      <c r="D98" s="95" t="s">
        <v>53</v>
      </c>
      <c r="E98" s="95" t="s">
        <v>54</v>
      </c>
      <c r="F98" s="95"/>
      <c r="G98" s="95"/>
      <c r="H98" s="95"/>
      <c r="I98" s="95"/>
      <c r="J98" s="115" t="s">
        <v>103</v>
      </c>
      <c r="K98" s="193" t="s">
        <v>708</v>
      </c>
      <c r="L98" s="121"/>
      <c r="M98" s="172"/>
      <c r="N98" s="93" t="s">
        <v>709</v>
      </c>
      <c r="O98" s="92" t="s">
        <v>239</v>
      </c>
      <c r="P98" s="88" t="s">
        <v>73</v>
      </c>
      <c r="Q98" s="88" t="s">
        <v>48</v>
      </c>
      <c r="R98" s="86">
        <v>8098753420</v>
      </c>
      <c r="S98" s="88" t="s">
        <v>435</v>
      </c>
      <c r="T98" s="94"/>
      <c r="U98" s="94"/>
      <c r="V98" s="94"/>
      <c r="W98" s="94"/>
      <c r="X98" s="94"/>
      <c r="Y98" s="131"/>
      <c r="Z98" s="131"/>
      <c r="AA98" s="131"/>
      <c r="AB98" s="131"/>
      <c r="AC98" s="131"/>
      <c r="AD98" s="127"/>
      <c r="AE98" s="244"/>
      <c r="AF98" s="121"/>
      <c r="AG98" s="121">
        <f>COUNTA('All Details for ACID Pastor'!$U98:$AB98)</f>
        <v>0</v>
      </c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63"/>
      <c r="AX98" s="163"/>
      <c r="AZ98" s="121" t="s">
        <v>139</v>
      </c>
      <c r="BA98" s="163"/>
      <c r="BB98" s="163"/>
      <c r="BC98" s="163"/>
      <c r="BF98" s="163">
        <f>COUNTA('All Details for ACID Pastor'!$T98:$AB98)</f>
        <v>0</v>
      </c>
    </row>
    <row r="99" spans="1:74" s="174" customFormat="1" ht="70.150000000000006" customHeight="1">
      <c r="A99" s="103">
        <v>100</v>
      </c>
      <c r="B99" s="132" t="s">
        <v>710</v>
      </c>
      <c r="C99" s="101" t="s">
        <v>711</v>
      </c>
      <c r="D99" s="102" t="s">
        <v>53</v>
      </c>
      <c r="E99" s="102" t="s">
        <v>54</v>
      </c>
      <c r="F99" s="95"/>
      <c r="G99" s="95"/>
      <c r="H99" s="95"/>
      <c r="I99" s="95"/>
      <c r="J99" s="133" t="s">
        <v>103</v>
      </c>
      <c r="K99" s="256" t="s">
        <v>712</v>
      </c>
      <c r="L99" s="232" t="s">
        <v>4209</v>
      </c>
      <c r="M99" s="171" t="s">
        <v>278</v>
      </c>
      <c r="N99" s="104" t="s">
        <v>713</v>
      </c>
      <c r="O99" s="105" t="s">
        <v>280</v>
      </c>
      <c r="P99" s="106" t="s">
        <v>516</v>
      </c>
      <c r="Q99" s="106" t="s">
        <v>517</v>
      </c>
      <c r="R99" s="134">
        <v>9595814331</v>
      </c>
      <c r="S99" s="106" t="s">
        <v>435</v>
      </c>
      <c r="T99" s="135"/>
      <c r="U99" s="135"/>
      <c r="V99" s="135"/>
      <c r="W99" s="135"/>
      <c r="X99" s="135"/>
      <c r="Y99" s="136"/>
      <c r="Z99" s="136"/>
      <c r="AA99" s="136"/>
      <c r="AB99" s="136"/>
      <c r="AC99" s="136"/>
      <c r="AD99" s="222"/>
      <c r="AE99" s="240"/>
      <c r="AF99" s="232"/>
      <c r="AG99" s="232">
        <f>COUNTA('All Details for ACID Pastor'!$U99:$AB99)</f>
        <v>0</v>
      </c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3"/>
      <c r="AX99" s="233"/>
      <c r="AY99" s="244"/>
      <c r="AZ99" s="232" t="s">
        <v>139</v>
      </c>
      <c r="BA99" s="233"/>
      <c r="BB99" s="233"/>
      <c r="BC99" s="233"/>
      <c r="BD99" s="244"/>
      <c r="BE99" s="277"/>
      <c r="BF99" s="233">
        <f>COUNTA('All Details for ACID Pastor'!$T99:$AB99)</f>
        <v>0</v>
      </c>
      <c r="BG99" s="249"/>
      <c r="BH99" s="249"/>
      <c r="BI99" s="249"/>
      <c r="BJ99" s="249"/>
      <c r="BK99" s="249"/>
      <c r="BL99" s="249"/>
      <c r="BM99" s="249"/>
      <c r="BN99" s="249"/>
      <c r="BO99" s="249"/>
      <c r="BP99" s="249"/>
      <c r="BQ99" s="249"/>
      <c r="BR99" s="249"/>
      <c r="BS99" s="249"/>
      <c r="BT99" s="249"/>
      <c r="BU99" s="249"/>
      <c r="BV99" s="249"/>
    </row>
    <row r="100" spans="1:74" ht="70.150000000000006" customHeight="1">
      <c r="A100" s="107">
        <v>101</v>
      </c>
      <c r="B100" s="124" t="s">
        <v>714</v>
      </c>
      <c r="C100" s="90" t="s">
        <v>715</v>
      </c>
      <c r="D100" s="95" t="s">
        <v>53</v>
      </c>
      <c r="E100" s="95" t="s">
        <v>54</v>
      </c>
      <c r="F100" s="95"/>
      <c r="G100" s="95"/>
      <c r="H100" s="95"/>
      <c r="I100" s="95"/>
      <c r="J100" s="115" t="s">
        <v>492</v>
      </c>
      <c r="K100" s="193" t="s">
        <v>716</v>
      </c>
      <c r="L100" s="121"/>
      <c r="M100" s="172"/>
      <c r="N100" s="93" t="s">
        <v>717</v>
      </c>
      <c r="O100" s="92" t="s">
        <v>718</v>
      </c>
      <c r="P100" s="88" t="s">
        <v>503</v>
      </c>
      <c r="Q100" s="88" t="s">
        <v>48</v>
      </c>
      <c r="R100" s="86">
        <v>9487346564</v>
      </c>
      <c r="S100" s="88" t="s">
        <v>435</v>
      </c>
      <c r="T100" s="94"/>
      <c r="U100" s="94"/>
      <c r="V100" s="94"/>
      <c r="W100" s="94"/>
      <c r="X100" s="94"/>
      <c r="Y100" s="131"/>
      <c r="Z100" s="131"/>
      <c r="AA100" s="131"/>
      <c r="AB100" s="131"/>
      <c r="AC100" s="131"/>
      <c r="AD100" s="127"/>
      <c r="AF100" s="121"/>
      <c r="AG100" s="121">
        <f>COUNTA('All Details for ACID Pastor'!$U100:$AB100)</f>
        <v>0</v>
      </c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63"/>
      <c r="AX100" s="163"/>
      <c r="AZ100" s="121" t="s">
        <v>139</v>
      </c>
      <c r="BA100" s="163"/>
      <c r="BB100" s="163"/>
      <c r="BC100" s="163"/>
      <c r="BF100" s="163">
        <f>COUNTA('All Details for ACID Pastor'!$T100:$AB100)</f>
        <v>0</v>
      </c>
    </row>
    <row r="101" spans="1:74" ht="70.150000000000006" customHeight="1">
      <c r="A101" s="107">
        <v>102</v>
      </c>
      <c r="B101" s="124" t="s">
        <v>719</v>
      </c>
      <c r="C101" s="90" t="s">
        <v>720</v>
      </c>
      <c r="D101" s="95" t="s">
        <v>53</v>
      </c>
      <c r="E101" s="95" t="s">
        <v>54</v>
      </c>
      <c r="F101" s="95"/>
      <c r="G101" s="95"/>
      <c r="H101" s="95"/>
      <c r="I101" s="95"/>
      <c r="J101" s="115" t="s">
        <v>721</v>
      </c>
      <c r="K101" s="193" t="s">
        <v>722</v>
      </c>
      <c r="L101" s="121"/>
      <c r="M101" s="172"/>
      <c r="N101" s="93" t="s">
        <v>723</v>
      </c>
      <c r="O101" s="92" t="s">
        <v>724</v>
      </c>
      <c r="P101" s="88" t="s">
        <v>233</v>
      </c>
      <c r="Q101" s="88" t="s">
        <v>48</v>
      </c>
      <c r="R101" s="86">
        <v>9566824006</v>
      </c>
      <c r="S101" s="88" t="s">
        <v>435</v>
      </c>
      <c r="T101" s="94"/>
      <c r="U101" s="94" t="s">
        <v>725</v>
      </c>
      <c r="V101" s="94" t="s">
        <v>726</v>
      </c>
      <c r="W101" s="94" t="s">
        <v>98</v>
      </c>
      <c r="X101" s="94" t="s">
        <v>727</v>
      </c>
      <c r="Y101" s="127" t="s">
        <v>727</v>
      </c>
      <c r="Z101" s="127" t="s">
        <v>727</v>
      </c>
      <c r="AA101" s="131"/>
      <c r="AB101" s="131"/>
      <c r="AC101" s="131"/>
      <c r="AD101" s="127"/>
      <c r="AF101" s="121"/>
      <c r="AG101" s="121">
        <f>COUNTA('All Details for ACID Pastor'!$U101:$AB101)</f>
        <v>6</v>
      </c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63"/>
      <c r="AX101" s="163"/>
      <c r="AZ101" s="121" t="s">
        <v>49</v>
      </c>
      <c r="BA101" s="163"/>
      <c r="BB101" s="163"/>
      <c r="BC101" s="163"/>
      <c r="BF101" s="163">
        <f>COUNTA('All Details for ACID Pastor'!$T101:$AB101)</f>
        <v>6</v>
      </c>
    </row>
    <row r="102" spans="1:74" ht="70.150000000000006" customHeight="1">
      <c r="A102" s="107">
        <v>103</v>
      </c>
      <c r="B102" s="124" t="s">
        <v>728</v>
      </c>
      <c r="C102" s="90" t="s">
        <v>729</v>
      </c>
      <c r="D102" s="95" t="s">
        <v>53</v>
      </c>
      <c r="E102" s="95" t="s">
        <v>54</v>
      </c>
      <c r="F102" s="95"/>
      <c r="G102" s="95"/>
      <c r="H102" s="95"/>
      <c r="I102" s="95"/>
      <c r="J102" s="115" t="s">
        <v>720</v>
      </c>
      <c r="K102" s="193" t="s">
        <v>730</v>
      </c>
      <c r="L102" s="121"/>
      <c r="M102" s="172"/>
      <c r="N102" s="93" t="s">
        <v>731</v>
      </c>
      <c r="O102" s="92" t="s">
        <v>732</v>
      </c>
      <c r="P102" s="88" t="s">
        <v>233</v>
      </c>
      <c r="Q102" s="88" t="s">
        <v>48</v>
      </c>
      <c r="R102" s="86">
        <v>9442453574</v>
      </c>
      <c r="S102" s="88" t="s">
        <v>435</v>
      </c>
      <c r="T102" s="94"/>
      <c r="U102" s="94" t="s">
        <v>725</v>
      </c>
      <c r="V102" s="94"/>
      <c r="W102" s="94"/>
      <c r="X102" s="94"/>
      <c r="Y102" s="131"/>
      <c r="Z102" s="131"/>
      <c r="AA102" s="131"/>
      <c r="AB102" s="131"/>
      <c r="AC102" s="131"/>
      <c r="AD102" s="127"/>
      <c r="AF102" s="121"/>
      <c r="AG102" s="121">
        <f>COUNTA('All Details for ACID Pastor'!$U102:$AB102)</f>
        <v>1</v>
      </c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63"/>
      <c r="AX102" s="163"/>
      <c r="AZ102" s="121" t="s">
        <v>139</v>
      </c>
      <c r="BA102" s="163"/>
      <c r="BB102" s="163"/>
      <c r="BC102" s="163"/>
      <c r="BF102" s="163">
        <f>COUNTA('All Details for ACID Pastor'!$T102:$AB102)</f>
        <v>1</v>
      </c>
    </row>
    <row r="103" spans="1:74" ht="70.150000000000006" customHeight="1">
      <c r="A103" s="107">
        <v>104</v>
      </c>
      <c r="B103" s="124" t="s">
        <v>733</v>
      </c>
      <c r="C103" s="90" t="s">
        <v>734</v>
      </c>
      <c r="D103" s="95" t="s">
        <v>53</v>
      </c>
      <c r="E103" s="95" t="s">
        <v>54</v>
      </c>
      <c r="F103" s="95"/>
      <c r="G103" s="95"/>
      <c r="H103" s="95"/>
      <c r="I103" s="95"/>
      <c r="J103" s="115" t="s">
        <v>735</v>
      </c>
      <c r="K103" s="193" t="s">
        <v>736</v>
      </c>
      <c r="L103" s="121"/>
      <c r="M103" s="172"/>
      <c r="N103" s="93" t="s">
        <v>737</v>
      </c>
      <c r="O103" s="92" t="s">
        <v>738</v>
      </c>
      <c r="P103" s="88" t="s">
        <v>233</v>
      </c>
      <c r="Q103" s="88" t="s">
        <v>48</v>
      </c>
      <c r="R103" s="86">
        <v>9677785095</v>
      </c>
      <c r="S103" s="88" t="s">
        <v>435</v>
      </c>
      <c r="T103" s="94"/>
      <c r="U103" s="94"/>
      <c r="V103" s="94"/>
      <c r="W103" s="94"/>
      <c r="X103" s="94"/>
      <c r="Y103" s="131"/>
      <c r="Z103" s="131"/>
      <c r="AA103" s="131"/>
      <c r="AB103" s="131"/>
      <c r="AC103" s="131"/>
      <c r="AD103" s="127"/>
      <c r="AF103" s="121"/>
      <c r="AG103" s="121">
        <f>COUNTA('All Details for ACID Pastor'!$U103:$AB103)</f>
        <v>0</v>
      </c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63"/>
      <c r="AX103" s="163"/>
      <c r="AZ103" s="121" t="s">
        <v>139</v>
      </c>
      <c r="BA103" s="163"/>
      <c r="BB103" s="163"/>
      <c r="BC103" s="163"/>
      <c r="BF103" s="163">
        <f>COUNTA('All Details for ACID Pastor'!$T103:$AB103)</f>
        <v>0</v>
      </c>
    </row>
    <row r="104" spans="1:74" ht="70.150000000000006" customHeight="1">
      <c r="A104" s="107">
        <v>105</v>
      </c>
      <c r="B104" s="124" t="s">
        <v>739</v>
      </c>
      <c r="C104" s="90" t="s">
        <v>740</v>
      </c>
      <c r="D104" s="95" t="s">
        <v>53</v>
      </c>
      <c r="E104" s="95" t="s">
        <v>54</v>
      </c>
      <c r="F104" s="95"/>
      <c r="G104" s="95"/>
      <c r="H104" s="95"/>
      <c r="I104" s="95"/>
      <c r="J104" s="115" t="s">
        <v>720</v>
      </c>
      <c r="K104" s="193" t="s">
        <v>741</v>
      </c>
      <c r="L104" s="121"/>
      <c r="M104" s="172"/>
      <c r="N104" s="93" t="s">
        <v>742</v>
      </c>
      <c r="O104" s="92" t="s">
        <v>743</v>
      </c>
      <c r="P104" s="88" t="s">
        <v>233</v>
      </c>
      <c r="Q104" s="88" t="s">
        <v>48</v>
      </c>
      <c r="R104" s="86">
        <v>9865415498</v>
      </c>
      <c r="S104" s="88" t="s">
        <v>435</v>
      </c>
      <c r="T104" s="94"/>
      <c r="U104" s="94"/>
      <c r="V104" s="94"/>
      <c r="W104" s="94"/>
      <c r="X104" s="94"/>
      <c r="Y104" s="131"/>
      <c r="Z104" s="131"/>
      <c r="AA104" s="131"/>
      <c r="AB104" s="131"/>
      <c r="AC104" s="131"/>
      <c r="AD104" s="127"/>
      <c r="AF104" s="121"/>
      <c r="AG104" s="121">
        <f>COUNTA('All Details for ACID Pastor'!$U104:$AB104)</f>
        <v>0</v>
      </c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63"/>
      <c r="AX104" s="163"/>
      <c r="AZ104" s="121" t="s">
        <v>139</v>
      </c>
      <c r="BA104" s="163"/>
      <c r="BB104" s="163"/>
      <c r="BC104" s="163"/>
      <c r="BF104" s="163">
        <f>COUNTA('All Details for ACID Pastor'!$T104:$AB104)</f>
        <v>0</v>
      </c>
    </row>
    <row r="105" spans="1:74" ht="70.150000000000006" customHeight="1">
      <c r="A105" s="107">
        <v>106</v>
      </c>
      <c r="B105" s="124" t="s">
        <v>744</v>
      </c>
      <c r="C105" s="90" t="s">
        <v>745</v>
      </c>
      <c r="D105" s="95" t="s">
        <v>53</v>
      </c>
      <c r="E105" s="95" t="s">
        <v>142</v>
      </c>
      <c r="F105" s="95"/>
      <c r="G105" s="95"/>
      <c r="H105" s="95"/>
      <c r="I105" s="95"/>
      <c r="J105" s="115" t="s">
        <v>735</v>
      </c>
      <c r="K105" s="193" t="s">
        <v>746</v>
      </c>
      <c r="L105" s="121"/>
      <c r="M105" s="172"/>
      <c r="N105" s="93" t="s">
        <v>747</v>
      </c>
      <c r="O105" s="92" t="s">
        <v>625</v>
      </c>
      <c r="P105" s="88" t="s">
        <v>233</v>
      </c>
      <c r="Q105" s="88" t="s">
        <v>48</v>
      </c>
      <c r="R105" s="86">
        <v>9952603771</v>
      </c>
      <c r="S105" s="88" t="s">
        <v>435</v>
      </c>
      <c r="T105" s="94"/>
      <c r="U105" s="94"/>
      <c r="V105" s="94"/>
      <c r="W105" s="94"/>
      <c r="X105" s="94"/>
      <c r="Y105" s="131"/>
      <c r="Z105" s="131"/>
      <c r="AA105" s="131"/>
      <c r="AB105" s="131"/>
      <c r="AC105" s="131"/>
      <c r="AD105" s="127"/>
      <c r="AF105" s="121"/>
      <c r="AG105" s="121">
        <f>COUNTA('All Details for ACID Pastor'!$U105:$AB105)</f>
        <v>0</v>
      </c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63"/>
      <c r="AX105" s="163"/>
      <c r="AZ105" s="121" t="s">
        <v>139</v>
      </c>
      <c r="BA105" s="163"/>
      <c r="BB105" s="163"/>
      <c r="BC105" s="163"/>
      <c r="BF105" s="163">
        <f>COUNTA('All Details for ACID Pastor'!$T105:$AB105)</f>
        <v>0</v>
      </c>
    </row>
    <row r="106" spans="1:74" ht="70.150000000000006" customHeight="1">
      <c r="A106" s="107">
        <v>107</v>
      </c>
      <c r="B106" s="124" t="s">
        <v>748</v>
      </c>
      <c r="C106" s="90" t="s">
        <v>749</v>
      </c>
      <c r="D106" s="95" t="s">
        <v>53</v>
      </c>
      <c r="E106" s="95" t="s">
        <v>54</v>
      </c>
      <c r="F106" s="95"/>
      <c r="G106" s="95"/>
      <c r="H106" s="95"/>
      <c r="I106" s="95"/>
      <c r="J106" s="115" t="s">
        <v>720</v>
      </c>
      <c r="K106" s="193" t="s">
        <v>750</v>
      </c>
      <c r="L106" s="121"/>
      <c r="M106" s="172"/>
      <c r="N106" s="93" t="s">
        <v>751</v>
      </c>
      <c r="O106" s="92" t="s">
        <v>752</v>
      </c>
      <c r="P106" s="88" t="s">
        <v>233</v>
      </c>
      <c r="Q106" s="88" t="s">
        <v>48</v>
      </c>
      <c r="R106" s="86">
        <v>9486859431</v>
      </c>
      <c r="S106" s="88" t="s">
        <v>435</v>
      </c>
      <c r="T106" s="94"/>
      <c r="U106" s="94" t="s">
        <v>725</v>
      </c>
      <c r="V106" s="94" t="s">
        <v>753</v>
      </c>
      <c r="W106" s="94" t="s">
        <v>727</v>
      </c>
      <c r="X106" s="94" t="s">
        <v>727</v>
      </c>
      <c r="Y106" s="127" t="s">
        <v>727</v>
      </c>
      <c r="Z106" s="127" t="s">
        <v>727</v>
      </c>
      <c r="AA106" s="131"/>
      <c r="AB106" s="131"/>
      <c r="AC106" s="131"/>
      <c r="AD106" s="127"/>
      <c r="AF106" s="121"/>
      <c r="AG106" s="121">
        <f>COUNTA('All Details for ACID Pastor'!$U106:$AB106)</f>
        <v>6</v>
      </c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63"/>
      <c r="AX106" s="163"/>
      <c r="AZ106" s="121" t="s">
        <v>49</v>
      </c>
      <c r="BA106" s="163"/>
      <c r="BB106" s="163"/>
      <c r="BC106" s="163"/>
      <c r="BF106" s="163">
        <f>COUNTA('All Details for ACID Pastor'!$T106:$AB106)</f>
        <v>6</v>
      </c>
    </row>
    <row r="107" spans="1:74" ht="70.150000000000006" customHeight="1">
      <c r="A107" s="107">
        <v>108</v>
      </c>
      <c r="B107" s="124" t="s">
        <v>754</v>
      </c>
      <c r="C107" s="90" t="s">
        <v>755</v>
      </c>
      <c r="D107" s="95" t="s">
        <v>53</v>
      </c>
      <c r="E107" s="95" t="s">
        <v>54</v>
      </c>
      <c r="F107" s="95"/>
      <c r="G107" s="95"/>
      <c r="H107" s="95"/>
      <c r="I107" s="95"/>
      <c r="J107" s="115" t="s">
        <v>720</v>
      </c>
      <c r="K107" s="193" t="s">
        <v>756</v>
      </c>
      <c r="L107" s="121"/>
      <c r="M107" s="172"/>
      <c r="N107" s="93" t="s">
        <v>757</v>
      </c>
      <c r="O107" s="92" t="s">
        <v>738</v>
      </c>
      <c r="P107" s="88" t="s">
        <v>233</v>
      </c>
      <c r="Q107" s="88" t="s">
        <v>48</v>
      </c>
      <c r="R107" s="86">
        <v>9445325821</v>
      </c>
      <c r="S107" s="88" t="s">
        <v>435</v>
      </c>
      <c r="T107" s="94"/>
      <c r="U107" s="94"/>
      <c r="V107" s="94"/>
      <c r="W107" s="94"/>
      <c r="X107" s="94"/>
      <c r="Y107" s="131"/>
      <c r="Z107" s="131"/>
      <c r="AA107" s="131"/>
      <c r="AB107" s="131"/>
      <c r="AC107" s="131"/>
      <c r="AD107" s="127"/>
      <c r="AF107" s="121"/>
      <c r="AG107" s="121">
        <f>COUNTA('All Details for ACID Pastor'!$U107:$AB107)</f>
        <v>0</v>
      </c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63"/>
      <c r="AX107" s="163"/>
      <c r="AZ107" s="121" t="s">
        <v>139</v>
      </c>
      <c r="BA107" s="163"/>
      <c r="BB107" s="163"/>
      <c r="BC107" s="163"/>
      <c r="BF107" s="163">
        <f>COUNTA('All Details for ACID Pastor'!$T107:$AB107)</f>
        <v>0</v>
      </c>
    </row>
    <row r="108" spans="1:74" ht="70.150000000000006" customHeight="1">
      <c r="A108" s="107">
        <v>109</v>
      </c>
      <c r="B108" s="124" t="s">
        <v>758</v>
      </c>
      <c r="C108" s="90" t="s">
        <v>759</v>
      </c>
      <c r="D108" s="95" t="s">
        <v>53</v>
      </c>
      <c r="E108" s="95" t="s">
        <v>54</v>
      </c>
      <c r="F108" s="95"/>
      <c r="G108" s="95"/>
      <c r="H108" s="95"/>
      <c r="I108" s="95"/>
      <c r="J108" s="115" t="s">
        <v>735</v>
      </c>
      <c r="K108" s="193" t="s">
        <v>760</v>
      </c>
      <c r="L108" s="121"/>
      <c r="M108" s="172" t="s">
        <v>761</v>
      </c>
      <c r="N108" s="93" t="s">
        <v>762</v>
      </c>
      <c r="O108" s="92" t="s">
        <v>763</v>
      </c>
      <c r="P108" s="88" t="s">
        <v>626</v>
      </c>
      <c r="Q108" s="88" t="s">
        <v>626</v>
      </c>
      <c r="R108" s="86">
        <v>9443301653</v>
      </c>
      <c r="S108" s="88" t="s">
        <v>435</v>
      </c>
      <c r="T108" s="94"/>
      <c r="U108" s="94"/>
      <c r="V108" s="94"/>
      <c r="W108" s="94"/>
      <c r="X108" s="94"/>
      <c r="Y108" s="131"/>
      <c r="Z108" s="131"/>
      <c r="AA108" s="131"/>
      <c r="AB108" s="131"/>
      <c r="AC108" s="131"/>
      <c r="AD108" s="127"/>
      <c r="AF108" s="121"/>
      <c r="AG108" s="121">
        <f>COUNTA('All Details for ACID Pastor'!$U108:$AB108)</f>
        <v>0</v>
      </c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63"/>
      <c r="AX108" s="163"/>
      <c r="AZ108" s="121" t="s">
        <v>139</v>
      </c>
      <c r="BA108" s="163"/>
      <c r="BB108" s="163"/>
      <c r="BC108" s="163"/>
      <c r="BF108" s="163">
        <f>COUNTA('All Details for ACID Pastor'!$T108:$AB108)</f>
        <v>0</v>
      </c>
    </row>
    <row r="109" spans="1:74" ht="78.75" customHeight="1">
      <c r="A109" s="107">
        <v>110</v>
      </c>
      <c r="B109" s="124" t="s">
        <v>764</v>
      </c>
      <c r="C109" s="90" t="s">
        <v>765</v>
      </c>
      <c r="D109" s="95" t="s">
        <v>53</v>
      </c>
      <c r="E109" s="95" t="s">
        <v>54</v>
      </c>
      <c r="F109" s="95"/>
      <c r="G109" s="95"/>
      <c r="H109" s="95"/>
      <c r="I109" s="95"/>
      <c r="J109" s="115" t="s">
        <v>766</v>
      </c>
      <c r="K109" s="193" t="s">
        <v>767</v>
      </c>
      <c r="L109" s="121"/>
      <c r="M109" s="172"/>
      <c r="N109" s="93" t="s">
        <v>768</v>
      </c>
      <c r="O109" s="92" t="s">
        <v>743</v>
      </c>
      <c r="P109" s="88" t="s">
        <v>769</v>
      </c>
      <c r="Q109" s="88" t="s">
        <v>48</v>
      </c>
      <c r="R109" s="86">
        <v>9345502875</v>
      </c>
      <c r="S109" s="88" t="s">
        <v>435</v>
      </c>
      <c r="T109" s="94"/>
      <c r="U109" s="94"/>
      <c r="V109" s="94"/>
      <c r="W109" s="94"/>
      <c r="X109" s="94"/>
      <c r="Y109" s="131"/>
      <c r="Z109" s="131"/>
      <c r="AA109" s="131"/>
      <c r="AB109" s="131"/>
      <c r="AC109" s="131"/>
      <c r="AD109" s="127"/>
      <c r="AF109" s="121"/>
      <c r="AG109" s="121">
        <f>COUNTA('All Details for ACID Pastor'!$U109:$AB109)</f>
        <v>0</v>
      </c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63"/>
      <c r="AX109" s="163"/>
      <c r="AZ109" s="121" t="s">
        <v>139</v>
      </c>
      <c r="BA109" s="163"/>
      <c r="BB109" s="163"/>
      <c r="BC109" s="163"/>
      <c r="BF109" s="163">
        <f>COUNTA('All Details for ACID Pastor'!$T109:$AB109)</f>
        <v>0</v>
      </c>
    </row>
    <row r="110" spans="1:74" ht="70.150000000000006" customHeight="1">
      <c r="A110" s="107">
        <v>111</v>
      </c>
      <c r="B110" s="124" t="s">
        <v>770</v>
      </c>
      <c r="C110" s="90" t="s">
        <v>771</v>
      </c>
      <c r="D110" s="95" t="s">
        <v>53</v>
      </c>
      <c r="E110" s="95" t="s">
        <v>54</v>
      </c>
      <c r="F110" s="95"/>
      <c r="G110" s="95"/>
      <c r="H110" s="95"/>
      <c r="I110" s="95"/>
      <c r="J110" s="115" t="s">
        <v>735</v>
      </c>
      <c r="K110" s="193" t="s">
        <v>772</v>
      </c>
      <c r="L110" s="121"/>
      <c r="M110" s="172" t="s">
        <v>773</v>
      </c>
      <c r="N110" s="93" t="s">
        <v>774</v>
      </c>
      <c r="O110" s="92" t="s">
        <v>775</v>
      </c>
      <c r="P110" s="88" t="s">
        <v>86</v>
      </c>
      <c r="Q110" s="88" t="s">
        <v>48</v>
      </c>
      <c r="R110" s="86">
        <v>9944721165</v>
      </c>
      <c r="S110" s="88" t="s">
        <v>435</v>
      </c>
      <c r="T110" s="94"/>
      <c r="U110" s="94" t="s">
        <v>726</v>
      </c>
      <c r="V110" s="94" t="s">
        <v>726</v>
      </c>
      <c r="W110" s="94" t="s">
        <v>149</v>
      </c>
      <c r="X110" s="94" t="s">
        <v>149</v>
      </c>
      <c r="Y110" s="94" t="s">
        <v>149</v>
      </c>
      <c r="Z110" s="131"/>
      <c r="AA110" s="131"/>
      <c r="AB110" s="131"/>
      <c r="AC110" s="131"/>
      <c r="AD110" s="127"/>
      <c r="AF110" s="121"/>
      <c r="AG110" s="121">
        <f>COUNTA('All Details for ACID Pastor'!$U110:$AB110)</f>
        <v>5</v>
      </c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63"/>
      <c r="AX110" s="163"/>
      <c r="AZ110" s="121" t="s">
        <v>49</v>
      </c>
      <c r="BA110" s="163"/>
      <c r="BB110" s="163"/>
      <c r="BC110" s="163"/>
      <c r="BF110" s="163">
        <f>COUNTA('All Details for ACID Pastor'!$T110:$AB110)</f>
        <v>5</v>
      </c>
    </row>
    <row r="111" spans="1:74" ht="70.150000000000006" customHeight="1">
      <c r="A111" s="107">
        <v>112</v>
      </c>
      <c r="B111" s="124" t="s">
        <v>776</v>
      </c>
      <c r="C111" s="90" t="s">
        <v>777</v>
      </c>
      <c r="D111" s="95" t="s">
        <v>53</v>
      </c>
      <c r="E111" s="95" t="s">
        <v>54</v>
      </c>
      <c r="F111" s="95"/>
      <c r="G111" s="95"/>
      <c r="H111" s="95"/>
      <c r="I111" s="95"/>
      <c r="J111" s="115" t="s">
        <v>735</v>
      </c>
      <c r="K111" s="193" t="s">
        <v>778</v>
      </c>
      <c r="L111" s="121"/>
      <c r="M111" s="172"/>
      <c r="N111" s="93" t="s">
        <v>779</v>
      </c>
      <c r="O111" s="92" t="s">
        <v>780</v>
      </c>
      <c r="P111" s="88" t="s">
        <v>86</v>
      </c>
      <c r="Q111" s="88" t="s">
        <v>48</v>
      </c>
      <c r="R111" s="86">
        <v>8675814879</v>
      </c>
      <c r="S111" s="88" t="s">
        <v>435</v>
      </c>
      <c r="T111" s="94"/>
      <c r="U111" s="94"/>
      <c r="V111" s="94"/>
      <c r="W111" s="94"/>
      <c r="X111" s="94"/>
      <c r="Y111" s="131"/>
      <c r="Z111" s="131"/>
      <c r="AA111" s="131"/>
      <c r="AB111" s="131"/>
      <c r="AC111" s="131"/>
      <c r="AD111" s="127"/>
      <c r="AF111" s="121"/>
      <c r="AG111" s="121">
        <f>COUNTA('All Details for ACID Pastor'!$U111:$AB111)</f>
        <v>0</v>
      </c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63"/>
      <c r="AX111" s="163"/>
      <c r="AZ111" s="121" t="s">
        <v>139</v>
      </c>
      <c r="BA111" s="163"/>
      <c r="BB111" s="163"/>
      <c r="BC111" s="163"/>
      <c r="BF111" s="163">
        <f>COUNTA('All Details for ACID Pastor'!$T111:$AB111)</f>
        <v>0</v>
      </c>
    </row>
    <row r="112" spans="1:74" ht="70.150000000000006" customHeight="1">
      <c r="A112" s="107">
        <v>113</v>
      </c>
      <c r="B112" s="124" t="s">
        <v>781</v>
      </c>
      <c r="C112" s="90" t="s">
        <v>782</v>
      </c>
      <c r="D112" s="95" t="s">
        <v>53</v>
      </c>
      <c r="E112" s="95" t="s">
        <v>54</v>
      </c>
      <c r="F112" s="95"/>
      <c r="G112" s="95"/>
      <c r="H112" s="95"/>
      <c r="I112" s="95"/>
      <c r="J112" s="115" t="s">
        <v>735</v>
      </c>
      <c r="K112" s="193" t="s">
        <v>783</v>
      </c>
      <c r="L112" s="121"/>
      <c r="M112" s="172" t="s">
        <v>784</v>
      </c>
      <c r="N112" s="93" t="s">
        <v>785</v>
      </c>
      <c r="O112" s="92" t="s">
        <v>674</v>
      </c>
      <c r="P112" s="88" t="s">
        <v>786</v>
      </c>
      <c r="Q112" s="88" t="s">
        <v>48</v>
      </c>
      <c r="R112" s="86">
        <v>965595666</v>
      </c>
      <c r="S112" s="88" t="s">
        <v>435</v>
      </c>
      <c r="T112" s="94"/>
      <c r="U112" s="94"/>
      <c r="V112" s="94"/>
      <c r="W112" s="94"/>
      <c r="X112" s="94"/>
      <c r="Y112" s="131"/>
      <c r="Z112" s="131"/>
      <c r="AA112" s="131"/>
      <c r="AB112" s="131"/>
      <c r="AC112" s="131"/>
      <c r="AD112" s="127"/>
      <c r="AF112" s="121"/>
      <c r="AG112" s="121">
        <f>COUNTA('All Details for ACID Pastor'!$U112:$AB112)</f>
        <v>0</v>
      </c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63"/>
      <c r="AX112" s="163"/>
      <c r="AZ112" s="121" t="s">
        <v>139</v>
      </c>
      <c r="BA112" s="163"/>
      <c r="BB112" s="163"/>
      <c r="BC112" s="163"/>
      <c r="BF112" s="163">
        <f>COUNTA('All Details for ACID Pastor'!$T112:$AB112)</f>
        <v>0</v>
      </c>
    </row>
    <row r="113" spans="1:74" ht="70.150000000000006" customHeight="1">
      <c r="A113" s="107">
        <v>114</v>
      </c>
      <c r="B113" s="124" t="s">
        <v>787</v>
      </c>
      <c r="C113" s="90" t="s">
        <v>788</v>
      </c>
      <c r="D113" s="95" t="s">
        <v>53</v>
      </c>
      <c r="E113" s="95" t="s">
        <v>68</v>
      </c>
      <c r="F113" s="95"/>
      <c r="G113" s="95"/>
      <c r="H113" s="95"/>
      <c r="I113" s="95"/>
      <c r="J113" s="115" t="s">
        <v>103</v>
      </c>
      <c r="K113" s="193" t="s">
        <v>789</v>
      </c>
      <c r="L113" s="121"/>
      <c r="M113" s="172"/>
      <c r="N113" s="93" t="s">
        <v>790</v>
      </c>
      <c r="O113" s="92" t="s">
        <v>791</v>
      </c>
      <c r="P113" s="88" t="s">
        <v>73</v>
      </c>
      <c r="Q113" s="88" t="s">
        <v>48</v>
      </c>
      <c r="R113" s="86">
        <v>9943240005</v>
      </c>
      <c r="S113" s="88" t="s">
        <v>435</v>
      </c>
      <c r="T113" s="94"/>
      <c r="U113" s="94"/>
      <c r="V113" s="94"/>
      <c r="W113" s="94"/>
      <c r="X113" s="94"/>
      <c r="Y113" s="131"/>
      <c r="Z113" s="131"/>
      <c r="AA113" s="131"/>
      <c r="AB113" s="131"/>
      <c r="AC113" s="131"/>
      <c r="AD113" s="127"/>
      <c r="AF113" s="121"/>
      <c r="AG113" s="121">
        <f>COUNTA('All Details for ACID Pastor'!$U113:$AB113)</f>
        <v>0</v>
      </c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63"/>
      <c r="AX113" s="163"/>
      <c r="AZ113" s="121" t="s">
        <v>139</v>
      </c>
      <c r="BA113" s="163"/>
      <c r="BB113" s="163"/>
      <c r="BC113" s="163"/>
      <c r="BF113" s="163">
        <f>COUNTA('All Details for ACID Pastor'!$T113:$AB113)</f>
        <v>0</v>
      </c>
    </row>
    <row r="114" spans="1:74" ht="70.150000000000006" customHeight="1">
      <c r="A114" s="107">
        <v>115</v>
      </c>
      <c r="B114" s="124" t="s">
        <v>792</v>
      </c>
      <c r="C114" s="90" t="s">
        <v>793</v>
      </c>
      <c r="D114" s="95" t="s">
        <v>53</v>
      </c>
      <c r="E114" s="95" t="s">
        <v>54</v>
      </c>
      <c r="F114" s="95"/>
      <c r="G114" s="95"/>
      <c r="H114" s="95"/>
      <c r="I114" s="95"/>
      <c r="J114" s="115" t="s">
        <v>794</v>
      </c>
      <c r="K114" s="193" t="s">
        <v>795</v>
      </c>
      <c r="L114" s="121"/>
      <c r="M114" s="172" t="s">
        <v>796</v>
      </c>
      <c r="N114" s="93" t="s">
        <v>797</v>
      </c>
      <c r="O114" s="92" t="s">
        <v>798</v>
      </c>
      <c r="P114" s="88" t="s">
        <v>190</v>
      </c>
      <c r="Q114" s="88" t="s">
        <v>48</v>
      </c>
      <c r="R114" s="86">
        <v>9025455123</v>
      </c>
      <c r="S114" s="88" t="s">
        <v>799</v>
      </c>
      <c r="T114" s="94"/>
      <c r="U114" s="94" t="s">
        <v>504</v>
      </c>
      <c r="V114" s="94"/>
      <c r="W114" s="94"/>
      <c r="X114" s="94"/>
      <c r="Y114" s="131"/>
      <c r="Z114" s="131"/>
      <c r="AA114" s="131"/>
      <c r="AB114" s="131"/>
      <c r="AC114" s="131"/>
      <c r="AD114" s="127"/>
      <c r="AF114" s="121"/>
      <c r="AG114" s="121"/>
      <c r="AH114" s="121">
        <f>COUNTA('All Details for ACID Pastor'!$U114:$AB114)</f>
        <v>1</v>
      </c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63"/>
      <c r="AX114" s="163"/>
      <c r="AZ114" s="121" t="s">
        <v>49</v>
      </c>
      <c r="BA114" s="163"/>
      <c r="BB114" s="163"/>
      <c r="BC114" s="163"/>
      <c r="BF114" s="163">
        <f>COUNTA('All Details for ACID Pastor'!$T114:$AB114)</f>
        <v>1</v>
      </c>
    </row>
    <row r="115" spans="1:74" ht="70.150000000000006" customHeight="1">
      <c r="A115" s="107">
        <v>116</v>
      </c>
      <c r="B115" s="124" t="s">
        <v>800</v>
      </c>
      <c r="C115" s="90" t="s">
        <v>801</v>
      </c>
      <c r="D115" s="95" t="s">
        <v>53</v>
      </c>
      <c r="E115" s="95" t="s">
        <v>54</v>
      </c>
      <c r="F115" s="95"/>
      <c r="G115" s="95"/>
      <c r="H115" s="95"/>
      <c r="I115" s="95"/>
      <c r="J115" s="115" t="s">
        <v>802</v>
      </c>
      <c r="K115" s="193" t="s">
        <v>803</v>
      </c>
      <c r="L115" s="121" t="s">
        <v>4209</v>
      </c>
      <c r="M115" s="172"/>
      <c r="N115" s="93" t="s">
        <v>804</v>
      </c>
      <c r="O115" s="92" t="s">
        <v>805</v>
      </c>
      <c r="P115" s="88" t="s">
        <v>516</v>
      </c>
      <c r="Q115" s="88" t="s">
        <v>517</v>
      </c>
      <c r="R115" s="86">
        <v>9895428522</v>
      </c>
      <c r="S115" s="88" t="s">
        <v>799</v>
      </c>
      <c r="T115" s="94"/>
      <c r="U115" s="94" t="s">
        <v>96</v>
      </c>
      <c r="V115" s="94" t="s">
        <v>184</v>
      </c>
      <c r="W115" s="94" t="s">
        <v>184</v>
      </c>
      <c r="X115" s="94" t="s">
        <v>184</v>
      </c>
      <c r="Y115" s="127" t="s">
        <v>110</v>
      </c>
      <c r="Z115" s="131"/>
      <c r="AA115" s="131"/>
      <c r="AB115" s="131"/>
      <c r="AC115" s="131"/>
      <c r="AD115" s="127"/>
      <c r="AF115" s="121"/>
      <c r="AG115" s="121"/>
      <c r="AH115" s="121">
        <f>COUNTA('All Details for ACID Pastor'!$U115:$AB115)</f>
        <v>5</v>
      </c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63"/>
      <c r="AX115" s="163"/>
      <c r="AZ115" s="121" t="s">
        <v>49</v>
      </c>
      <c r="BA115" s="163"/>
      <c r="BB115" s="163"/>
      <c r="BC115" s="163"/>
      <c r="BF115" s="163">
        <f>COUNTA('All Details for ACID Pastor'!$T115:$AB115)</f>
        <v>5</v>
      </c>
    </row>
    <row r="116" spans="1:74" ht="70.150000000000006" customHeight="1">
      <c r="A116" s="107">
        <v>117</v>
      </c>
      <c r="B116" s="124" t="s">
        <v>806</v>
      </c>
      <c r="C116" s="90" t="s">
        <v>807</v>
      </c>
      <c r="D116" s="95" t="s">
        <v>53</v>
      </c>
      <c r="E116" s="95" t="s">
        <v>54</v>
      </c>
      <c r="F116" s="95"/>
      <c r="G116" s="95"/>
      <c r="H116" s="95"/>
      <c r="I116" s="95"/>
      <c r="J116" s="115" t="s">
        <v>808</v>
      </c>
      <c r="K116" s="193" t="s">
        <v>809</v>
      </c>
      <c r="L116" s="121"/>
      <c r="M116" s="172"/>
      <c r="N116" s="93" t="s">
        <v>810</v>
      </c>
      <c r="O116" s="92" t="s">
        <v>811</v>
      </c>
      <c r="P116" s="88" t="s">
        <v>786</v>
      </c>
      <c r="Q116" s="88" t="s">
        <v>48</v>
      </c>
      <c r="R116" s="86">
        <v>9367791217</v>
      </c>
      <c r="S116" s="88" t="s">
        <v>799</v>
      </c>
      <c r="T116" s="94"/>
      <c r="U116" s="94"/>
      <c r="V116" s="94"/>
      <c r="W116" s="94"/>
      <c r="X116" s="94"/>
      <c r="Y116" s="131"/>
      <c r="Z116" s="131"/>
      <c r="AA116" s="131"/>
      <c r="AB116" s="131"/>
      <c r="AC116" s="131"/>
      <c r="AD116" s="127"/>
      <c r="AF116" s="121"/>
      <c r="AG116" s="121"/>
      <c r="AH116" s="121">
        <f>COUNTA('All Details for ACID Pastor'!$U116:$AB116)</f>
        <v>0</v>
      </c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63"/>
      <c r="AX116" s="163"/>
      <c r="AZ116" s="121" t="s">
        <v>139</v>
      </c>
      <c r="BA116" s="163"/>
      <c r="BB116" s="163"/>
      <c r="BC116" s="163"/>
      <c r="BF116" s="163">
        <f>COUNTA('All Details for ACID Pastor'!$T116:$AB116)</f>
        <v>0</v>
      </c>
    </row>
    <row r="117" spans="1:74" ht="70.150000000000006" customHeight="1">
      <c r="A117" s="107">
        <v>118</v>
      </c>
      <c r="B117" s="124" t="s">
        <v>812</v>
      </c>
      <c r="C117" s="90" t="s">
        <v>813</v>
      </c>
      <c r="D117" s="95" t="s">
        <v>53</v>
      </c>
      <c r="E117" s="95" t="s">
        <v>54</v>
      </c>
      <c r="F117" s="95"/>
      <c r="G117" s="95"/>
      <c r="H117" s="95"/>
      <c r="I117" s="95"/>
      <c r="J117" s="115" t="s">
        <v>814</v>
      </c>
      <c r="K117" s="193" t="s">
        <v>815</v>
      </c>
      <c r="L117" s="121"/>
      <c r="M117" s="172"/>
      <c r="N117" s="93" t="s">
        <v>816</v>
      </c>
      <c r="O117" s="92" t="s">
        <v>817</v>
      </c>
      <c r="P117" s="88" t="s">
        <v>503</v>
      </c>
      <c r="Q117" s="88" t="s">
        <v>48</v>
      </c>
      <c r="R117" s="86">
        <v>9791758596</v>
      </c>
      <c r="S117" s="88" t="s">
        <v>799</v>
      </c>
      <c r="T117" s="94"/>
      <c r="U117" s="94" t="s">
        <v>504</v>
      </c>
      <c r="V117" s="94" t="s">
        <v>295</v>
      </c>
      <c r="W117" s="94" t="s">
        <v>818</v>
      </c>
      <c r="X117" s="94" t="s">
        <v>819</v>
      </c>
      <c r="Y117" s="94" t="s">
        <v>149</v>
      </c>
      <c r="Z117" s="131"/>
      <c r="AA117" s="131"/>
      <c r="AB117" s="131"/>
      <c r="AC117" s="131"/>
      <c r="AD117" s="127"/>
      <c r="AF117" s="121"/>
      <c r="AG117" s="121"/>
      <c r="AH117" s="121">
        <f>COUNTA('All Details for ACID Pastor'!$U117:$AB117)</f>
        <v>5</v>
      </c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63"/>
      <c r="AX117" s="163"/>
      <c r="AZ117" s="121" t="s">
        <v>49</v>
      </c>
      <c r="BA117" s="163"/>
      <c r="BB117" s="163"/>
      <c r="BC117" s="163"/>
      <c r="BF117" s="163">
        <f>COUNTA('All Details for ACID Pastor'!$T117:$AB117)</f>
        <v>5</v>
      </c>
    </row>
    <row r="118" spans="1:74" ht="70.150000000000006" customHeight="1">
      <c r="A118" s="107">
        <v>119</v>
      </c>
      <c r="B118" s="124" t="s">
        <v>820</v>
      </c>
      <c r="C118" s="90" t="s">
        <v>821</v>
      </c>
      <c r="D118" s="95" t="s">
        <v>53</v>
      </c>
      <c r="E118" s="95" t="s">
        <v>54</v>
      </c>
      <c r="F118" s="95"/>
      <c r="G118" s="95"/>
      <c r="H118" s="95"/>
      <c r="I118" s="95"/>
      <c r="J118" s="115" t="s">
        <v>814</v>
      </c>
      <c r="K118" s="193" t="s">
        <v>508</v>
      </c>
      <c r="L118" s="121"/>
      <c r="M118" s="172" t="s">
        <v>822</v>
      </c>
      <c r="N118" s="93" t="s">
        <v>823</v>
      </c>
      <c r="O118" s="92" t="s">
        <v>824</v>
      </c>
      <c r="P118" s="88" t="s">
        <v>503</v>
      </c>
      <c r="Q118" s="88" t="s">
        <v>48</v>
      </c>
      <c r="R118" s="86">
        <v>9943374802</v>
      </c>
      <c r="S118" s="88" t="s">
        <v>799</v>
      </c>
      <c r="T118" s="94"/>
      <c r="U118" s="94" t="s">
        <v>504</v>
      </c>
      <c r="V118" s="94" t="s">
        <v>825</v>
      </c>
      <c r="W118" s="94" t="s">
        <v>826</v>
      </c>
      <c r="X118" s="94" t="s">
        <v>827</v>
      </c>
      <c r="Y118" s="131"/>
      <c r="Z118" s="131"/>
      <c r="AA118" s="131"/>
      <c r="AB118" s="131"/>
      <c r="AC118" s="131"/>
      <c r="AD118" s="127"/>
      <c r="AF118" s="121"/>
      <c r="AG118" s="121"/>
      <c r="AH118" s="121">
        <f>COUNTA('All Details for ACID Pastor'!$U118:$AB118)</f>
        <v>4</v>
      </c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63"/>
      <c r="AX118" s="163"/>
      <c r="AZ118" s="121" t="s">
        <v>139</v>
      </c>
      <c r="BA118" s="163"/>
      <c r="BB118" s="163"/>
      <c r="BC118" s="163"/>
      <c r="BF118" s="163">
        <f>COUNTA('All Details for ACID Pastor'!$T118:$AB118)</f>
        <v>4</v>
      </c>
    </row>
    <row r="119" spans="1:74" ht="70.150000000000006" customHeight="1">
      <c r="A119" s="107">
        <v>120</v>
      </c>
      <c r="B119" s="124" t="s">
        <v>828</v>
      </c>
      <c r="C119" s="90" t="s">
        <v>829</v>
      </c>
      <c r="D119" s="95" t="s">
        <v>53</v>
      </c>
      <c r="E119" s="95" t="s">
        <v>54</v>
      </c>
      <c r="F119" s="95"/>
      <c r="G119" s="95"/>
      <c r="H119" s="95"/>
      <c r="I119" s="95"/>
      <c r="J119" s="115" t="s">
        <v>103</v>
      </c>
      <c r="K119" s="193" t="s">
        <v>830</v>
      </c>
      <c r="L119" s="121"/>
      <c r="M119" s="172" t="s">
        <v>831</v>
      </c>
      <c r="N119" s="93" t="s">
        <v>832</v>
      </c>
      <c r="O119" s="92" t="s">
        <v>833</v>
      </c>
      <c r="P119" s="88" t="s">
        <v>503</v>
      </c>
      <c r="Q119" s="88" t="s">
        <v>48</v>
      </c>
      <c r="R119" s="86">
        <v>9786063886</v>
      </c>
      <c r="S119" s="88" t="s">
        <v>799</v>
      </c>
      <c r="T119" s="94"/>
      <c r="U119" s="94" t="s">
        <v>504</v>
      </c>
      <c r="V119" s="94" t="s">
        <v>295</v>
      </c>
      <c r="W119" s="94" t="s">
        <v>818</v>
      </c>
      <c r="X119" s="94" t="s">
        <v>827</v>
      </c>
      <c r="Y119" s="131"/>
      <c r="Z119" s="131"/>
      <c r="AA119" s="131"/>
      <c r="AB119" s="131"/>
      <c r="AC119" s="131"/>
      <c r="AD119" s="127"/>
      <c r="AE119" s="244"/>
      <c r="AF119" s="121"/>
      <c r="AG119" s="121"/>
      <c r="AH119" s="121">
        <f>COUNTA('All Details for ACID Pastor'!$U119:$AB119)</f>
        <v>4</v>
      </c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63"/>
      <c r="AX119" s="163"/>
      <c r="AZ119" s="121" t="s">
        <v>139</v>
      </c>
      <c r="BA119" s="163"/>
      <c r="BB119" s="163"/>
      <c r="BC119" s="163"/>
      <c r="BF119" s="163">
        <f>COUNTA('All Details for ACID Pastor'!$T119:$AB119)</f>
        <v>4</v>
      </c>
    </row>
    <row r="120" spans="1:74" s="174" customFormat="1" ht="70.150000000000006" customHeight="1">
      <c r="A120" s="103">
        <v>121</v>
      </c>
      <c r="B120" s="132" t="s">
        <v>834</v>
      </c>
      <c r="C120" s="101" t="s">
        <v>835</v>
      </c>
      <c r="D120" s="102" t="s">
        <v>53</v>
      </c>
      <c r="E120" s="102" t="s">
        <v>54</v>
      </c>
      <c r="F120" s="95"/>
      <c r="G120" s="95"/>
      <c r="H120" s="95"/>
      <c r="I120" s="95"/>
      <c r="J120" s="133" t="s">
        <v>836</v>
      </c>
      <c r="K120" s="256" t="s">
        <v>837</v>
      </c>
      <c r="L120" s="232" t="s">
        <v>4209</v>
      </c>
      <c r="M120" s="171"/>
      <c r="N120" s="104" t="s">
        <v>838</v>
      </c>
      <c r="O120" s="105" t="s">
        <v>839</v>
      </c>
      <c r="P120" s="106" t="s">
        <v>516</v>
      </c>
      <c r="Q120" s="106" t="s">
        <v>517</v>
      </c>
      <c r="R120" s="134">
        <v>8592045920</v>
      </c>
      <c r="S120" s="106" t="s">
        <v>799</v>
      </c>
      <c r="T120" s="135"/>
      <c r="U120" s="135"/>
      <c r="V120" s="135"/>
      <c r="W120" s="135"/>
      <c r="X120" s="135"/>
      <c r="Y120" s="136"/>
      <c r="Z120" s="136"/>
      <c r="AA120" s="136"/>
      <c r="AB120" s="136"/>
      <c r="AC120" s="136"/>
      <c r="AD120" s="222"/>
      <c r="AE120" s="244"/>
      <c r="AF120" s="232"/>
      <c r="AG120" s="232"/>
      <c r="AH120" s="232">
        <f>COUNTA('All Details for ACID Pastor'!$U120:$AB120)</f>
        <v>0</v>
      </c>
      <c r="AI120" s="232"/>
      <c r="AJ120" s="232"/>
      <c r="AK120" s="232"/>
      <c r="AL120" s="232"/>
      <c r="AM120" s="232"/>
      <c r="AN120" s="232"/>
      <c r="AO120" s="232"/>
      <c r="AP120" s="232"/>
      <c r="AQ120" s="232"/>
      <c r="AR120" s="232"/>
      <c r="AS120" s="232"/>
      <c r="AT120" s="232"/>
      <c r="AU120" s="232"/>
      <c r="AV120" s="232"/>
      <c r="AW120" s="233"/>
      <c r="AX120" s="233"/>
      <c r="AY120" s="244"/>
      <c r="AZ120" s="232" t="s">
        <v>139</v>
      </c>
      <c r="BA120" s="233"/>
      <c r="BB120" s="233"/>
      <c r="BC120" s="233"/>
      <c r="BD120" s="244"/>
      <c r="BE120" s="277"/>
      <c r="BF120" s="233">
        <f>COUNTA('All Details for ACID Pastor'!$T120:$AB120)</f>
        <v>0</v>
      </c>
      <c r="BG120" s="249"/>
      <c r="BH120" s="249"/>
      <c r="BI120" s="249"/>
      <c r="BJ120" s="249"/>
      <c r="BK120" s="249"/>
      <c r="BL120" s="249"/>
      <c r="BM120" s="249"/>
      <c r="BN120" s="249"/>
      <c r="BO120" s="249"/>
      <c r="BP120" s="249"/>
      <c r="BQ120" s="249"/>
      <c r="BR120" s="249"/>
      <c r="BS120" s="249"/>
      <c r="BT120" s="249"/>
      <c r="BU120" s="249"/>
      <c r="BV120" s="249"/>
    </row>
    <row r="121" spans="1:74" s="174" customFormat="1" ht="70.150000000000006" customHeight="1">
      <c r="A121" s="103">
        <v>122</v>
      </c>
      <c r="B121" s="132" t="s">
        <v>840</v>
      </c>
      <c r="C121" s="101" t="s">
        <v>841</v>
      </c>
      <c r="D121" s="102" t="s">
        <v>53</v>
      </c>
      <c r="E121" s="102" t="s">
        <v>54</v>
      </c>
      <c r="F121" s="95"/>
      <c r="G121" s="95"/>
      <c r="H121" s="95"/>
      <c r="I121" s="95"/>
      <c r="J121" s="133" t="s">
        <v>661</v>
      </c>
      <c r="K121" s="256" t="s">
        <v>842</v>
      </c>
      <c r="L121" s="232"/>
      <c r="M121" s="171" t="s">
        <v>843</v>
      </c>
      <c r="N121" s="104" t="s">
        <v>844</v>
      </c>
      <c r="O121" s="105" t="s">
        <v>845</v>
      </c>
      <c r="P121" s="106" t="s">
        <v>666</v>
      </c>
      <c r="Q121" s="106" t="s">
        <v>667</v>
      </c>
      <c r="R121" s="134">
        <v>9845457749</v>
      </c>
      <c r="S121" s="106" t="s">
        <v>799</v>
      </c>
      <c r="T121" s="135"/>
      <c r="U121" s="135"/>
      <c r="V121" s="135"/>
      <c r="W121" s="135"/>
      <c r="X121" s="135"/>
      <c r="Y121" s="136"/>
      <c r="Z121" s="136"/>
      <c r="AA121" s="136"/>
      <c r="AB121" s="136"/>
      <c r="AC121" s="136"/>
      <c r="AD121" s="222"/>
      <c r="AE121" s="240"/>
      <c r="AF121" s="232"/>
      <c r="AG121" s="232"/>
      <c r="AH121" s="232">
        <f>COUNTA('All Details for ACID Pastor'!$U121:$AB121)</f>
        <v>0</v>
      </c>
      <c r="AI121" s="232"/>
      <c r="AJ121" s="232"/>
      <c r="AK121" s="232"/>
      <c r="AL121" s="232"/>
      <c r="AM121" s="232"/>
      <c r="AN121" s="232"/>
      <c r="AO121" s="232"/>
      <c r="AP121" s="232"/>
      <c r="AQ121" s="232"/>
      <c r="AR121" s="232"/>
      <c r="AS121" s="232"/>
      <c r="AT121" s="232"/>
      <c r="AU121" s="232"/>
      <c r="AV121" s="232"/>
      <c r="AW121" s="233"/>
      <c r="AX121" s="233"/>
      <c r="AY121" s="244"/>
      <c r="AZ121" s="232" t="s">
        <v>139</v>
      </c>
      <c r="BA121" s="233"/>
      <c r="BB121" s="233"/>
      <c r="BC121" s="233"/>
      <c r="BD121" s="244"/>
      <c r="BE121" s="277"/>
      <c r="BF121" s="233">
        <f>COUNTA('All Details for ACID Pastor'!$T121:$AB121)</f>
        <v>0</v>
      </c>
      <c r="BG121" s="249"/>
      <c r="BH121" s="249"/>
      <c r="BI121" s="249"/>
      <c r="BJ121" s="249"/>
      <c r="BK121" s="249"/>
      <c r="BL121" s="249"/>
      <c r="BM121" s="249"/>
      <c r="BN121" s="249"/>
      <c r="BO121" s="249"/>
      <c r="BP121" s="249"/>
      <c r="BQ121" s="249"/>
      <c r="BR121" s="249"/>
      <c r="BS121" s="249"/>
      <c r="BT121" s="249"/>
      <c r="BU121" s="249"/>
      <c r="BV121" s="249"/>
    </row>
    <row r="122" spans="1:74" ht="70.150000000000006" customHeight="1">
      <c r="A122" s="107">
        <v>123</v>
      </c>
      <c r="B122" s="124" t="s">
        <v>846</v>
      </c>
      <c r="C122" s="90" t="s">
        <v>847</v>
      </c>
      <c r="D122" s="95" t="s">
        <v>53</v>
      </c>
      <c r="E122" s="95" t="s">
        <v>54</v>
      </c>
      <c r="F122" s="95"/>
      <c r="G122" s="95"/>
      <c r="H122" s="95"/>
      <c r="I122" s="95"/>
      <c r="J122" s="115" t="s">
        <v>848</v>
      </c>
      <c r="K122" s="193" t="s">
        <v>849</v>
      </c>
      <c r="L122" s="121"/>
      <c r="M122" s="172"/>
      <c r="N122" s="93" t="s">
        <v>850</v>
      </c>
      <c r="O122" s="92" t="s">
        <v>851</v>
      </c>
      <c r="P122" s="88" t="s">
        <v>47</v>
      </c>
      <c r="Q122" s="88" t="s">
        <v>48</v>
      </c>
      <c r="R122" s="86">
        <v>9043571758</v>
      </c>
      <c r="S122" s="88" t="s">
        <v>799</v>
      </c>
      <c r="T122" s="94"/>
      <c r="U122" s="94" t="s">
        <v>504</v>
      </c>
      <c r="V122" s="94" t="s">
        <v>120</v>
      </c>
      <c r="W122" s="94" t="s">
        <v>98</v>
      </c>
      <c r="X122" s="94"/>
      <c r="Y122" s="131"/>
      <c r="Z122" s="131"/>
      <c r="AA122" s="131"/>
      <c r="AB122" s="131"/>
      <c r="AC122" s="131"/>
      <c r="AD122" s="127"/>
      <c r="AF122" s="121"/>
      <c r="AG122" s="121"/>
      <c r="AH122" s="121">
        <f>COUNTA('All Details for ACID Pastor'!$U122:$AB122)</f>
        <v>3</v>
      </c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63"/>
      <c r="AX122" s="163"/>
      <c r="AZ122" s="121" t="s">
        <v>139</v>
      </c>
      <c r="BA122" s="163"/>
      <c r="BB122" s="163"/>
      <c r="BC122" s="163"/>
      <c r="BF122" s="163">
        <f>COUNTA('All Details for ACID Pastor'!$T122:$AB122)</f>
        <v>3</v>
      </c>
    </row>
    <row r="123" spans="1:74" ht="70.150000000000006" customHeight="1">
      <c r="A123" s="107">
        <v>124</v>
      </c>
      <c r="B123" s="113" t="s">
        <v>852</v>
      </c>
      <c r="C123" s="90" t="s">
        <v>853</v>
      </c>
      <c r="D123" s="95" t="s">
        <v>53</v>
      </c>
      <c r="E123" s="95" t="s">
        <v>54</v>
      </c>
      <c r="F123" s="95"/>
      <c r="G123" s="95"/>
      <c r="H123" s="95"/>
      <c r="I123" s="95"/>
      <c r="J123" s="115" t="s">
        <v>854</v>
      </c>
      <c r="K123" s="193" t="s">
        <v>855</v>
      </c>
      <c r="L123" s="121"/>
      <c r="M123" s="172"/>
      <c r="N123" s="93" t="s">
        <v>856</v>
      </c>
      <c r="O123" s="92" t="s">
        <v>857</v>
      </c>
      <c r="P123" s="88" t="s">
        <v>626</v>
      </c>
      <c r="Q123" s="88" t="s">
        <v>626</v>
      </c>
      <c r="R123" s="86">
        <v>9994192368</v>
      </c>
      <c r="S123" s="88" t="s">
        <v>799</v>
      </c>
      <c r="T123" s="94"/>
      <c r="U123" s="94" t="s">
        <v>504</v>
      </c>
      <c r="V123" s="94" t="s">
        <v>726</v>
      </c>
      <c r="W123" s="94" t="s">
        <v>184</v>
      </c>
      <c r="X123" s="94" t="s">
        <v>184</v>
      </c>
      <c r="Y123" s="94" t="s">
        <v>149</v>
      </c>
      <c r="Z123" s="94" t="s">
        <v>149</v>
      </c>
      <c r="AA123" s="94" t="s">
        <v>149</v>
      </c>
      <c r="AB123" s="94"/>
      <c r="AC123" s="94"/>
      <c r="AD123" s="127"/>
      <c r="AF123" s="121"/>
      <c r="AG123" s="121"/>
      <c r="AH123" s="121">
        <f>COUNTA('All Details for ACID Pastor'!$U123:$AB123)</f>
        <v>7</v>
      </c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63"/>
      <c r="AX123" s="163"/>
      <c r="AZ123" s="121" t="s">
        <v>49</v>
      </c>
      <c r="BA123" s="163"/>
      <c r="BB123" s="163"/>
      <c r="BC123" s="163"/>
      <c r="BF123" s="163">
        <f>COUNTA('All Details for ACID Pastor'!$T123:$AB123)</f>
        <v>7</v>
      </c>
    </row>
    <row r="124" spans="1:74" ht="70.150000000000006" customHeight="1">
      <c r="A124" s="107">
        <v>125</v>
      </c>
      <c r="B124" s="124" t="s">
        <v>858</v>
      </c>
      <c r="C124" s="90" t="s">
        <v>859</v>
      </c>
      <c r="D124" s="95" t="s">
        <v>53</v>
      </c>
      <c r="E124" s="95" t="s">
        <v>54</v>
      </c>
      <c r="F124" s="95"/>
      <c r="G124" s="95"/>
      <c r="H124" s="95"/>
      <c r="I124" s="95"/>
      <c r="J124" s="118"/>
      <c r="K124" s="193" t="s">
        <v>860</v>
      </c>
      <c r="L124" s="121"/>
      <c r="M124" s="172"/>
      <c r="N124" s="93" t="s">
        <v>861</v>
      </c>
      <c r="O124" s="92" t="s">
        <v>862</v>
      </c>
      <c r="P124" s="88" t="s">
        <v>626</v>
      </c>
      <c r="Q124" s="88" t="s">
        <v>626</v>
      </c>
      <c r="R124" s="86">
        <v>9600452713</v>
      </c>
      <c r="S124" s="88" t="s">
        <v>799</v>
      </c>
      <c r="T124" s="94"/>
      <c r="U124" s="94" t="s">
        <v>77</v>
      </c>
      <c r="V124" s="94"/>
      <c r="W124" s="94"/>
      <c r="X124" s="94"/>
      <c r="Y124" s="131"/>
      <c r="Z124" s="131"/>
      <c r="AA124" s="131"/>
      <c r="AB124" s="131"/>
      <c r="AC124" s="131"/>
      <c r="AD124" s="127"/>
      <c r="AF124" s="121"/>
      <c r="AG124" s="121"/>
      <c r="AH124" s="121">
        <f>COUNTA('All Details for ACID Pastor'!$U124:$AB124)</f>
        <v>1</v>
      </c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63"/>
      <c r="AX124" s="163"/>
      <c r="AZ124" s="121" t="s">
        <v>139</v>
      </c>
      <c r="BA124" s="163"/>
      <c r="BB124" s="163"/>
      <c r="BC124" s="163"/>
      <c r="BF124" s="163">
        <f>COUNTA('All Details for ACID Pastor'!$T124:$AB124)</f>
        <v>1</v>
      </c>
    </row>
    <row r="125" spans="1:74" ht="70.150000000000006" customHeight="1">
      <c r="A125" s="107">
        <v>126</v>
      </c>
      <c r="B125" s="124" t="s">
        <v>863</v>
      </c>
      <c r="C125" s="90" t="s">
        <v>864</v>
      </c>
      <c r="D125" s="95" t="s">
        <v>53</v>
      </c>
      <c r="E125" s="95" t="s">
        <v>54</v>
      </c>
      <c r="F125" s="95"/>
      <c r="G125" s="95"/>
      <c r="H125" s="95"/>
      <c r="I125" s="95"/>
      <c r="J125" s="115" t="s">
        <v>814</v>
      </c>
      <c r="K125" s="193" t="s">
        <v>865</v>
      </c>
      <c r="L125" s="121"/>
      <c r="M125" s="172"/>
      <c r="N125" s="93" t="s">
        <v>866</v>
      </c>
      <c r="O125" s="92" t="s">
        <v>867</v>
      </c>
      <c r="P125" s="88" t="s">
        <v>503</v>
      </c>
      <c r="Q125" s="88" t="s">
        <v>48</v>
      </c>
      <c r="R125" s="86">
        <v>8973830096</v>
      </c>
      <c r="S125" s="88" t="s">
        <v>799</v>
      </c>
      <c r="T125" s="94"/>
      <c r="U125" s="94"/>
      <c r="V125" s="94"/>
      <c r="W125" s="94"/>
      <c r="X125" s="94"/>
      <c r="Y125" s="131"/>
      <c r="Z125" s="131"/>
      <c r="AA125" s="131"/>
      <c r="AB125" s="131"/>
      <c r="AC125" s="131"/>
      <c r="AD125" s="127"/>
      <c r="AF125" s="121"/>
      <c r="AG125" s="121"/>
      <c r="AH125" s="121">
        <f>COUNTA('All Details for ACID Pastor'!$U125:$AB125)</f>
        <v>0</v>
      </c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63"/>
      <c r="AX125" s="163"/>
      <c r="AZ125" s="121" t="s">
        <v>139</v>
      </c>
      <c r="BA125" s="163"/>
      <c r="BB125" s="163"/>
      <c r="BC125" s="163"/>
      <c r="BF125" s="163">
        <f>COUNTA('All Details for ACID Pastor'!$T125:$AB125)</f>
        <v>0</v>
      </c>
    </row>
    <row r="126" spans="1:74" ht="70.150000000000006" customHeight="1">
      <c r="A126" s="107">
        <v>127</v>
      </c>
      <c r="B126" s="124" t="s">
        <v>868</v>
      </c>
      <c r="C126" s="90" t="s">
        <v>869</v>
      </c>
      <c r="D126" s="95" t="s">
        <v>53</v>
      </c>
      <c r="E126" s="95" t="s">
        <v>54</v>
      </c>
      <c r="F126" s="95"/>
      <c r="G126" s="95"/>
      <c r="H126" s="95"/>
      <c r="I126" s="95"/>
      <c r="J126" s="115" t="s">
        <v>870</v>
      </c>
      <c r="K126" s="193" t="s">
        <v>871</v>
      </c>
      <c r="L126" s="121"/>
      <c r="M126" s="172"/>
      <c r="N126" s="93" t="s">
        <v>872</v>
      </c>
      <c r="O126" s="92" t="s">
        <v>873</v>
      </c>
      <c r="P126" s="88" t="s">
        <v>626</v>
      </c>
      <c r="Q126" s="88" t="s">
        <v>626</v>
      </c>
      <c r="R126" s="86">
        <v>9790115580</v>
      </c>
      <c r="S126" s="88" t="s">
        <v>799</v>
      </c>
      <c r="T126" s="94"/>
      <c r="U126" s="94" t="s">
        <v>874</v>
      </c>
      <c r="V126" s="94" t="s">
        <v>874</v>
      </c>
      <c r="W126" s="94"/>
      <c r="X126" s="94"/>
      <c r="Y126" s="131"/>
      <c r="Z126" s="131"/>
      <c r="AA126" s="131"/>
      <c r="AB126" s="131"/>
      <c r="AC126" s="131"/>
      <c r="AD126" s="127"/>
      <c r="AF126" s="121"/>
      <c r="AG126" s="121"/>
      <c r="AH126" s="121">
        <f>COUNTA('All Details for ACID Pastor'!$U126:$AB126)</f>
        <v>2</v>
      </c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63"/>
      <c r="AX126" s="163"/>
      <c r="AZ126" s="121" t="s">
        <v>139</v>
      </c>
      <c r="BA126" s="163"/>
      <c r="BB126" s="163"/>
      <c r="BC126" s="163"/>
      <c r="BF126" s="163">
        <f>COUNTA('All Details for ACID Pastor'!$T126:$AB126)</f>
        <v>2</v>
      </c>
    </row>
    <row r="127" spans="1:74" ht="70.150000000000006" customHeight="1">
      <c r="A127" s="107">
        <v>128</v>
      </c>
      <c r="B127" s="124" t="s">
        <v>875</v>
      </c>
      <c r="C127" s="90" t="s">
        <v>876</v>
      </c>
      <c r="D127" s="95" t="s">
        <v>53</v>
      </c>
      <c r="E127" s="95" t="s">
        <v>54</v>
      </c>
      <c r="F127" s="95"/>
      <c r="G127" s="95"/>
      <c r="H127" s="95"/>
      <c r="I127" s="95"/>
      <c r="J127" s="115" t="s">
        <v>103</v>
      </c>
      <c r="K127" s="193" t="s">
        <v>877</v>
      </c>
      <c r="L127" s="121"/>
      <c r="M127" s="172"/>
      <c r="N127" s="93" t="s">
        <v>878</v>
      </c>
      <c r="O127" s="92" t="s">
        <v>879</v>
      </c>
      <c r="P127" s="88" t="s">
        <v>626</v>
      </c>
      <c r="Q127" s="88" t="s">
        <v>626</v>
      </c>
      <c r="R127" s="86">
        <v>7502429803</v>
      </c>
      <c r="S127" s="88" t="s">
        <v>799</v>
      </c>
      <c r="T127" s="94"/>
      <c r="U127" s="94" t="s">
        <v>504</v>
      </c>
      <c r="V127" s="94" t="s">
        <v>874</v>
      </c>
      <c r="W127" s="94" t="s">
        <v>184</v>
      </c>
      <c r="X127" s="94" t="s">
        <v>184</v>
      </c>
      <c r="Y127" s="131"/>
      <c r="Z127" s="131"/>
      <c r="AA127" s="131"/>
      <c r="AB127" s="131"/>
      <c r="AC127" s="131"/>
      <c r="AD127" s="127"/>
      <c r="AF127" s="121"/>
      <c r="AG127" s="121"/>
      <c r="AH127" s="121">
        <f>COUNTA('All Details for ACID Pastor'!$U127:$AB127)</f>
        <v>4</v>
      </c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63"/>
      <c r="AX127" s="163"/>
      <c r="AZ127" s="121" t="s">
        <v>139</v>
      </c>
      <c r="BA127" s="163"/>
      <c r="BB127" s="163"/>
      <c r="BC127" s="163"/>
      <c r="BF127" s="163">
        <f>COUNTA('All Details for ACID Pastor'!$T127:$AB127)</f>
        <v>4</v>
      </c>
    </row>
    <row r="128" spans="1:74" ht="70.150000000000006" customHeight="1">
      <c r="A128" s="107">
        <v>129</v>
      </c>
      <c r="B128" s="124" t="s">
        <v>880</v>
      </c>
      <c r="C128" s="90" t="s">
        <v>881</v>
      </c>
      <c r="D128" s="91" t="s">
        <v>4206</v>
      </c>
      <c r="E128" s="95" t="s">
        <v>68</v>
      </c>
      <c r="F128" s="95"/>
      <c r="G128" s="95"/>
      <c r="H128" s="95"/>
      <c r="I128" s="95"/>
      <c r="J128" s="115" t="s">
        <v>103</v>
      </c>
      <c r="K128" s="193" t="s">
        <v>882</v>
      </c>
      <c r="L128" s="121"/>
      <c r="M128" s="172" t="s">
        <v>883</v>
      </c>
      <c r="N128" s="93" t="s">
        <v>884</v>
      </c>
      <c r="O128" s="92" t="s">
        <v>885</v>
      </c>
      <c r="P128" s="88" t="s">
        <v>94</v>
      </c>
      <c r="Q128" s="88" t="s">
        <v>48</v>
      </c>
      <c r="R128" s="86">
        <v>9600741932</v>
      </c>
      <c r="S128" s="88" t="s">
        <v>799</v>
      </c>
      <c r="T128" s="94"/>
      <c r="U128" s="127"/>
      <c r="V128" s="127"/>
      <c r="W128" s="127"/>
      <c r="X128" s="127"/>
      <c r="Y128" s="127"/>
      <c r="Z128" s="127"/>
      <c r="AA128" s="127"/>
      <c r="AB128" s="127"/>
      <c r="AC128" s="131"/>
      <c r="AD128" s="127"/>
      <c r="AF128" s="121"/>
      <c r="AG128" s="121"/>
      <c r="AH128" s="121">
        <f>COUNTA('All Details for ACID Pastor'!$U128:$AB128)</f>
        <v>0</v>
      </c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63"/>
      <c r="AX128" s="163"/>
      <c r="AZ128" s="121" t="s">
        <v>49</v>
      </c>
      <c r="BA128" s="163"/>
      <c r="BB128" s="163"/>
      <c r="BC128" s="163"/>
      <c r="BF128" s="163">
        <f>COUNTA('All Details for ACID Pastor'!$T128:$AB128)</f>
        <v>0</v>
      </c>
    </row>
    <row r="129" spans="1:74" ht="70.150000000000006" customHeight="1">
      <c r="A129" s="107">
        <v>130</v>
      </c>
      <c r="B129" s="124" t="s">
        <v>886</v>
      </c>
      <c r="C129" s="90" t="s">
        <v>887</v>
      </c>
      <c r="D129" s="95" t="s">
        <v>53</v>
      </c>
      <c r="E129" s="95" t="s">
        <v>54</v>
      </c>
      <c r="F129" s="95"/>
      <c r="G129" s="95"/>
      <c r="H129" s="95"/>
      <c r="I129" s="95"/>
      <c r="J129" s="115" t="s">
        <v>888</v>
      </c>
      <c r="K129" s="193" t="s">
        <v>889</v>
      </c>
      <c r="L129" s="121"/>
      <c r="M129" s="172"/>
      <c r="N129" s="93" t="s">
        <v>890</v>
      </c>
      <c r="O129" s="92" t="s">
        <v>891</v>
      </c>
      <c r="P129" s="88" t="s">
        <v>626</v>
      </c>
      <c r="Q129" s="88" t="s">
        <v>626</v>
      </c>
      <c r="R129" s="86">
        <v>9600831109</v>
      </c>
      <c r="S129" s="88" t="s">
        <v>799</v>
      </c>
      <c r="T129" s="94"/>
      <c r="U129" s="94"/>
      <c r="V129" s="94"/>
      <c r="W129" s="94"/>
      <c r="X129" s="94"/>
      <c r="Y129" s="131"/>
      <c r="Z129" s="131"/>
      <c r="AA129" s="131"/>
      <c r="AB129" s="131"/>
      <c r="AC129" s="131"/>
      <c r="AD129" s="127"/>
      <c r="AF129" s="121"/>
      <c r="AG129" s="121"/>
      <c r="AH129" s="121">
        <f>COUNTA('All Details for ACID Pastor'!$U129:$AB129)</f>
        <v>0</v>
      </c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63"/>
      <c r="AX129" s="163"/>
      <c r="AZ129" s="121" t="s">
        <v>139</v>
      </c>
      <c r="BA129" s="163"/>
      <c r="BB129" s="163"/>
      <c r="BC129" s="163"/>
      <c r="BF129" s="163">
        <f>COUNTA('All Details for ACID Pastor'!$T129:$AB129)</f>
        <v>0</v>
      </c>
    </row>
    <row r="130" spans="1:74" ht="70.150000000000006" customHeight="1">
      <c r="A130" s="107">
        <v>131</v>
      </c>
      <c r="B130" s="124" t="s">
        <v>892</v>
      </c>
      <c r="C130" s="90" t="s">
        <v>893</v>
      </c>
      <c r="D130" s="95" t="s">
        <v>53</v>
      </c>
      <c r="E130" s="95" t="s">
        <v>54</v>
      </c>
      <c r="F130" s="95"/>
      <c r="G130" s="95"/>
      <c r="H130" s="95"/>
      <c r="I130" s="95"/>
      <c r="J130" s="118"/>
      <c r="K130" s="193" t="s">
        <v>894</v>
      </c>
      <c r="L130" s="121"/>
      <c r="M130" s="172" t="s">
        <v>895</v>
      </c>
      <c r="N130" s="93" t="s">
        <v>896</v>
      </c>
      <c r="O130" s="92" t="s">
        <v>897</v>
      </c>
      <c r="P130" s="88" t="s">
        <v>47</v>
      </c>
      <c r="Q130" s="88" t="s">
        <v>48</v>
      </c>
      <c r="R130" s="86">
        <v>7402092148</v>
      </c>
      <c r="S130" s="88" t="s">
        <v>799</v>
      </c>
      <c r="T130" s="94"/>
      <c r="U130" s="94"/>
      <c r="V130" s="94"/>
      <c r="W130" s="94"/>
      <c r="X130" s="94"/>
      <c r="Y130" s="131"/>
      <c r="Z130" s="131"/>
      <c r="AA130" s="131"/>
      <c r="AB130" s="131"/>
      <c r="AC130" s="131"/>
      <c r="AD130" s="127"/>
      <c r="AF130" s="121"/>
      <c r="AG130" s="121"/>
      <c r="AH130" s="121">
        <f>COUNTA('All Details for ACID Pastor'!$U130:$AB130)</f>
        <v>0</v>
      </c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63"/>
      <c r="AX130" s="163"/>
      <c r="AZ130" s="121" t="s">
        <v>139</v>
      </c>
      <c r="BA130" s="163"/>
      <c r="BB130" s="163"/>
      <c r="BC130" s="163"/>
      <c r="BF130" s="163">
        <f>COUNTA('All Details for ACID Pastor'!$T130:$AB130)</f>
        <v>0</v>
      </c>
    </row>
    <row r="131" spans="1:74" ht="70.150000000000006" customHeight="1">
      <c r="A131" s="107">
        <v>132</v>
      </c>
      <c r="B131" s="124" t="s">
        <v>898</v>
      </c>
      <c r="C131" s="90" t="s">
        <v>899</v>
      </c>
      <c r="D131" s="95" t="s">
        <v>53</v>
      </c>
      <c r="E131" s="95" t="s">
        <v>54</v>
      </c>
      <c r="F131" s="95"/>
      <c r="G131" s="95"/>
      <c r="H131" s="95"/>
      <c r="I131" s="95"/>
      <c r="J131" s="118"/>
      <c r="K131" s="193" t="s">
        <v>900</v>
      </c>
      <c r="L131" s="121"/>
      <c r="M131" s="172"/>
      <c r="N131" s="93" t="s">
        <v>901</v>
      </c>
      <c r="O131" s="92" t="s">
        <v>902</v>
      </c>
      <c r="P131" s="88" t="s">
        <v>47</v>
      </c>
      <c r="Q131" s="88" t="s">
        <v>48</v>
      </c>
      <c r="R131" s="86">
        <v>9865730980</v>
      </c>
      <c r="S131" s="88" t="s">
        <v>799</v>
      </c>
      <c r="T131" s="94"/>
      <c r="U131" s="94"/>
      <c r="V131" s="94"/>
      <c r="W131" s="94"/>
      <c r="X131" s="94"/>
      <c r="Y131" s="131"/>
      <c r="Z131" s="131"/>
      <c r="AA131" s="131"/>
      <c r="AB131" s="131"/>
      <c r="AC131" s="131"/>
      <c r="AD131" s="127"/>
      <c r="AF131" s="121"/>
      <c r="AG131" s="121"/>
      <c r="AH131" s="121">
        <f>COUNTA('All Details for ACID Pastor'!$U131:$AB131)</f>
        <v>0</v>
      </c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63"/>
      <c r="AX131" s="163"/>
      <c r="AZ131" s="121" t="s">
        <v>139</v>
      </c>
      <c r="BA131" s="163"/>
      <c r="BB131" s="163"/>
      <c r="BC131" s="163"/>
      <c r="BF131" s="163">
        <f>COUNTA('All Details for ACID Pastor'!$T131:$AB131)</f>
        <v>0</v>
      </c>
    </row>
    <row r="132" spans="1:74" ht="70.150000000000006" customHeight="1">
      <c r="A132" s="107">
        <v>133</v>
      </c>
      <c r="B132" s="124" t="s">
        <v>903</v>
      </c>
      <c r="C132" s="90" t="s">
        <v>904</v>
      </c>
      <c r="D132" s="95" t="s">
        <v>53</v>
      </c>
      <c r="E132" s="95" t="s">
        <v>54</v>
      </c>
      <c r="F132" s="95"/>
      <c r="G132" s="95"/>
      <c r="H132" s="95"/>
      <c r="I132" s="95"/>
      <c r="J132" s="115" t="s">
        <v>103</v>
      </c>
      <c r="K132" s="193" t="s">
        <v>905</v>
      </c>
      <c r="L132" s="121"/>
      <c r="M132" s="172" t="s">
        <v>906</v>
      </c>
      <c r="N132" s="93" t="s">
        <v>907</v>
      </c>
      <c r="O132" s="92" t="s">
        <v>908</v>
      </c>
      <c r="P132" s="88" t="s">
        <v>47</v>
      </c>
      <c r="Q132" s="88" t="s">
        <v>48</v>
      </c>
      <c r="R132" s="86">
        <v>9942881346</v>
      </c>
      <c r="S132" s="88" t="s">
        <v>799</v>
      </c>
      <c r="T132" s="94"/>
      <c r="U132" s="94"/>
      <c r="V132" s="94"/>
      <c r="W132" s="94"/>
      <c r="X132" s="94"/>
      <c r="Y132" s="131"/>
      <c r="Z132" s="131"/>
      <c r="AA132" s="131"/>
      <c r="AB132" s="131"/>
      <c r="AC132" s="131"/>
      <c r="AD132" s="127"/>
      <c r="AF132" s="121"/>
      <c r="AG132" s="121"/>
      <c r="AH132" s="121">
        <f>COUNTA('All Details for ACID Pastor'!$U132:$AB132)</f>
        <v>0</v>
      </c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63"/>
      <c r="AX132" s="163"/>
      <c r="AZ132" s="121" t="s">
        <v>139</v>
      </c>
      <c r="BA132" s="163"/>
      <c r="BB132" s="163"/>
      <c r="BC132" s="163"/>
      <c r="BF132" s="163">
        <f>COUNTA('All Details for ACID Pastor'!$T132:$AB132)</f>
        <v>0</v>
      </c>
    </row>
    <row r="133" spans="1:74" ht="70.150000000000006" customHeight="1">
      <c r="A133" s="107">
        <v>134</v>
      </c>
      <c r="B133" s="124" t="s">
        <v>909</v>
      </c>
      <c r="C133" s="90" t="s">
        <v>910</v>
      </c>
      <c r="D133" s="95" t="s">
        <v>53</v>
      </c>
      <c r="E133" s="95" t="s">
        <v>54</v>
      </c>
      <c r="F133" s="95"/>
      <c r="G133" s="95"/>
      <c r="H133" s="95"/>
      <c r="I133" s="95"/>
      <c r="J133" s="115" t="s">
        <v>869</v>
      </c>
      <c r="K133" s="193" t="s">
        <v>911</v>
      </c>
      <c r="L133" s="121"/>
      <c r="M133" s="172"/>
      <c r="N133" s="93" t="s">
        <v>912</v>
      </c>
      <c r="O133" s="92" t="s">
        <v>913</v>
      </c>
      <c r="P133" s="88" t="s">
        <v>86</v>
      </c>
      <c r="Q133" s="88" t="s">
        <v>48</v>
      </c>
      <c r="R133" s="86">
        <v>9894703878</v>
      </c>
      <c r="S133" s="88" t="s">
        <v>799</v>
      </c>
      <c r="T133" s="94"/>
      <c r="U133" s="94" t="s">
        <v>504</v>
      </c>
      <c r="V133" s="94" t="s">
        <v>874</v>
      </c>
      <c r="W133" s="94"/>
      <c r="X133" s="94"/>
      <c r="Y133" s="131"/>
      <c r="Z133" s="131"/>
      <c r="AA133" s="131"/>
      <c r="AB133" s="131"/>
      <c r="AC133" s="131"/>
      <c r="AD133" s="127"/>
      <c r="AF133" s="121"/>
      <c r="AG133" s="121"/>
      <c r="AH133" s="121">
        <f>COUNTA('All Details for ACID Pastor'!$U133:$AB133)</f>
        <v>2</v>
      </c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63"/>
      <c r="AX133" s="163"/>
      <c r="AZ133" s="121" t="s">
        <v>139</v>
      </c>
      <c r="BA133" s="163"/>
      <c r="BB133" s="163"/>
      <c r="BC133" s="163"/>
      <c r="BF133" s="163">
        <f>COUNTA('All Details for ACID Pastor'!$T133:$AB133)</f>
        <v>2</v>
      </c>
    </row>
    <row r="134" spans="1:74" ht="70.150000000000006" customHeight="1">
      <c r="A134" s="107">
        <v>135</v>
      </c>
      <c r="B134" s="124" t="s">
        <v>914</v>
      </c>
      <c r="C134" s="90" t="s">
        <v>915</v>
      </c>
      <c r="D134" s="95" t="s">
        <v>53</v>
      </c>
      <c r="E134" s="95" t="s">
        <v>54</v>
      </c>
      <c r="F134" s="95"/>
      <c r="G134" s="95"/>
      <c r="H134" s="95"/>
      <c r="I134" s="95"/>
      <c r="J134" s="115" t="s">
        <v>869</v>
      </c>
      <c r="K134" s="193" t="s">
        <v>916</v>
      </c>
      <c r="L134" s="121"/>
      <c r="M134" s="172" t="s">
        <v>917</v>
      </c>
      <c r="N134" s="93" t="s">
        <v>918</v>
      </c>
      <c r="O134" s="92" t="s">
        <v>919</v>
      </c>
      <c r="P134" s="88" t="s">
        <v>626</v>
      </c>
      <c r="Q134" s="88" t="s">
        <v>626</v>
      </c>
      <c r="R134" s="86">
        <v>9994257390</v>
      </c>
      <c r="S134" s="88" t="s">
        <v>799</v>
      </c>
      <c r="T134" s="94"/>
      <c r="U134" s="94"/>
      <c r="V134" s="94"/>
      <c r="W134" s="94"/>
      <c r="X134" s="94"/>
      <c r="Y134" s="131"/>
      <c r="Z134" s="131"/>
      <c r="AA134" s="131"/>
      <c r="AB134" s="131"/>
      <c r="AC134" s="131"/>
      <c r="AD134" s="127"/>
      <c r="AF134" s="121"/>
      <c r="AG134" s="121"/>
      <c r="AH134" s="121">
        <f>COUNTA('All Details for ACID Pastor'!$U134:$AB134)</f>
        <v>0</v>
      </c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63"/>
      <c r="AX134" s="163"/>
      <c r="AZ134" s="121" t="s">
        <v>139</v>
      </c>
      <c r="BA134" s="163"/>
      <c r="BB134" s="163"/>
      <c r="BC134" s="163"/>
      <c r="BF134" s="163">
        <f>COUNTA('All Details for ACID Pastor'!$T134:$AB134)</f>
        <v>0</v>
      </c>
    </row>
    <row r="135" spans="1:74" ht="70.150000000000006" customHeight="1">
      <c r="A135" s="107">
        <v>136</v>
      </c>
      <c r="B135" s="124" t="s">
        <v>920</v>
      </c>
      <c r="C135" s="90" t="s">
        <v>921</v>
      </c>
      <c r="D135" s="95" t="s">
        <v>53</v>
      </c>
      <c r="E135" s="95" t="s">
        <v>54</v>
      </c>
      <c r="F135" s="95"/>
      <c r="G135" s="95"/>
      <c r="H135" s="95"/>
      <c r="I135" s="95"/>
      <c r="J135" s="115" t="s">
        <v>922</v>
      </c>
      <c r="K135" s="193" t="s">
        <v>923</v>
      </c>
      <c r="L135" s="121"/>
      <c r="M135" s="172"/>
      <c r="N135" s="93" t="s">
        <v>924</v>
      </c>
      <c r="O135" s="92" t="s">
        <v>925</v>
      </c>
      <c r="P135" s="88" t="s">
        <v>626</v>
      </c>
      <c r="Q135" s="88" t="s">
        <v>626</v>
      </c>
      <c r="R135" s="86">
        <v>9443958017</v>
      </c>
      <c r="S135" s="88" t="s">
        <v>799</v>
      </c>
      <c r="T135" s="94"/>
      <c r="U135" s="94"/>
      <c r="V135" s="94"/>
      <c r="W135" s="94"/>
      <c r="X135" s="94"/>
      <c r="Y135" s="131"/>
      <c r="Z135" s="131"/>
      <c r="AA135" s="131"/>
      <c r="AB135" s="131"/>
      <c r="AC135" s="131"/>
      <c r="AD135" s="127"/>
      <c r="AF135" s="121"/>
      <c r="AG135" s="121"/>
      <c r="AH135" s="121">
        <f>COUNTA('All Details for ACID Pastor'!$U135:$AB135)</f>
        <v>0</v>
      </c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63"/>
      <c r="AX135" s="163"/>
      <c r="AZ135" s="121" t="s">
        <v>139</v>
      </c>
      <c r="BA135" s="163"/>
      <c r="BB135" s="163"/>
      <c r="BC135" s="163"/>
      <c r="BF135" s="163">
        <f>COUNTA('All Details for ACID Pastor'!$T135:$AB135)</f>
        <v>0</v>
      </c>
    </row>
    <row r="136" spans="1:74" ht="70.150000000000006" customHeight="1">
      <c r="A136" s="107">
        <v>137</v>
      </c>
      <c r="B136" s="142" t="s">
        <v>926</v>
      </c>
      <c r="C136" s="90" t="s">
        <v>927</v>
      </c>
      <c r="D136" s="95" t="s">
        <v>132</v>
      </c>
      <c r="E136" s="95" t="s">
        <v>54</v>
      </c>
      <c r="F136" s="95"/>
      <c r="G136" s="95"/>
      <c r="H136" s="95"/>
      <c r="I136" s="95"/>
      <c r="J136" s="115" t="s">
        <v>928</v>
      </c>
      <c r="K136" s="193" t="s">
        <v>929</v>
      </c>
      <c r="L136" s="121" t="s">
        <v>4209</v>
      </c>
      <c r="M136" s="172" t="s">
        <v>930</v>
      </c>
      <c r="N136" s="93" t="s">
        <v>931</v>
      </c>
      <c r="O136" s="92" t="s">
        <v>932</v>
      </c>
      <c r="P136" s="88" t="s">
        <v>86</v>
      </c>
      <c r="Q136" s="88" t="s">
        <v>48</v>
      </c>
      <c r="R136" s="86">
        <v>8939913338</v>
      </c>
      <c r="S136" s="88" t="s">
        <v>799</v>
      </c>
      <c r="T136" s="94"/>
      <c r="U136" s="94" t="s">
        <v>504</v>
      </c>
      <c r="V136" s="94"/>
      <c r="W136" s="94"/>
      <c r="X136" s="94"/>
      <c r="Y136" s="131"/>
      <c r="Z136" s="131"/>
      <c r="AA136" s="131"/>
      <c r="AB136" s="131"/>
      <c r="AC136" s="131"/>
      <c r="AD136" s="127"/>
      <c r="AF136" s="121"/>
      <c r="AG136" s="121"/>
      <c r="AH136" s="121">
        <f>COUNTA('All Details for ACID Pastor'!$U136:$AB136)</f>
        <v>1</v>
      </c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63"/>
      <c r="AX136" s="163"/>
      <c r="AZ136" s="121" t="s">
        <v>139</v>
      </c>
      <c r="BA136" s="163"/>
      <c r="BB136" s="163"/>
      <c r="BC136" s="163"/>
      <c r="BF136" s="163">
        <f>COUNTA('All Details for ACID Pastor'!$T136:$AB136)</f>
        <v>1</v>
      </c>
    </row>
    <row r="137" spans="1:74" ht="70.150000000000006" customHeight="1">
      <c r="A137" s="107">
        <v>138</v>
      </c>
      <c r="B137" s="124" t="s">
        <v>933</v>
      </c>
      <c r="C137" s="90" t="s">
        <v>934</v>
      </c>
      <c r="D137" s="95" t="s">
        <v>53</v>
      </c>
      <c r="E137" s="95" t="s">
        <v>54</v>
      </c>
      <c r="F137" s="95"/>
      <c r="G137" s="95"/>
      <c r="H137" s="95"/>
      <c r="I137" s="95"/>
      <c r="J137" s="115" t="s">
        <v>922</v>
      </c>
      <c r="K137" s="193" t="s">
        <v>935</v>
      </c>
      <c r="L137" s="121"/>
      <c r="M137" s="172" t="s">
        <v>936</v>
      </c>
      <c r="N137" s="93" t="s">
        <v>937</v>
      </c>
      <c r="O137" s="92" t="s">
        <v>938</v>
      </c>
      <c r="P137" s="88" t="s">
        <v>939</v>
      </c>
      <c r="Q137" s="88" t="s">
        <v>48</v>
      </c>
      <c r="R137" s="86">
        <v>9952748878</v>
      </c>
      <c r="S137" s="88" t="s">
        <v>799</v>
      </c>
      <c r="T137" s="94"/>
      <c r="U137" s="94"/>
      <c r="V137" s="94"/>
      <c r="W137" s="94"/>
      <c r="X137" s="94"/>
      <c r="Y137" s="131"/>
      <c r="Z137" s="131"/>
      <c r="AA137" s="131"/>
      <c r="AB137" s="131"/>
      <c r="AC137" s="131"/>
      <c r="AD137" s="127"/>
      <c r="AF137" s="121"/>
      <c r="AG137" s="121"/>
      <c r="AH137" s="121">
        <f>COUNTA('All Details for ACID Pastor'!$U137:$AB137)</f>
        <v>0</v>
      </c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63"/>
      <c r="AX137" s="163"/>
      <c r="AZ137" s="121" t="s">
        <v>139</v>
      </c>
      <c r="BA137" s="163"/>
      <c r="BB137" s="163"/>
      <c r="BC137" s="163"/>
      <c r="BF137" s="163">
        <f>COUNTA('All Details for ACID Pastor'!$T137:$AB137)</f>
        <v>0</v>
      </c>
    </row>
    <row r="138" spans="1:74" ht="70.150000000000006" customHeight="1">
      <c r="A138" s="107">
        <v>139</v>
      </c>
      <c r="B138" s="124" t="s">
        <v>940</v>
      </c>
      <c r="C138" s="90" t="s">
        <v>941</v>
      </c>
      <c r="D138" s="95" t="s">
        <v>53</v>
      </c>
      <c r="E138" s="95" t="s">
        <v>54</v>
      </c>
      <c r="F138" s="95"/>
      <c r="G138" s="95"/>
      <c r="H138" s="95"/>
      <c r="I138" s="95"/>
      <c r="J138" s="115" t="s">
        <v>922</v>
      </c>
      <c r="K138" s="193" t="s">
        <v>942</v>
      </c>
      <c r="L138" s="121"/>
      <c r="M138" s="172"/>
      <c r="N138" s="93" t="s">
        <v>943</v>
      </c>
      <c r="O138" s="92" t="s">
        <v>944</v>
      </c>
      <c r="P138" s="88" t="s">
        <v>86</v>
      </c>
      <c r="Q138" s="88" t="s">
        <v>48</v>
      </c>
      <c r="R138" s="86">
        <v>9940983789</v>
      </c>
      <c r="S138" s="88" t="s">
        <v>799</v>
      </c>
      <c r="T138" s="94"/>
      <c r="U138" s="94" t="s">
        <v>504</v>
      </c>
      <c r="V138" s="94"/>
      <c r="W138" s="94"/>
      <c r="X138" s="94"/>
      <c r="Y138" s="131"/>
      <c r="Z138" s="131"/>
      <c r="AA138" s="131"/>
      <c r="AB138" s="131"/>
      <c r="AC138" s="131"/>
      <c r="AD138" s="127"/>
      <c r="AF138" s="121"/>
      <c r="AG138" s="121"/>
      <c r="AH138" s="121">
        <f>COUNTA('All Details for ACID Pastor'!$U138:$AB138)</f>
        <v>1</v>
      </c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63"/>
      <c r="AX138" s="163"/>
      <c r="AZ138" s="121" t="s">
        <v>139</v>
      </c>
      <c r="BA138" s="163"/>
      <c r="BB138" s="163"/>
      <c r="BC138" s="163"/>
      <c r="BF138" s="163">
        <f>COUNTA('All Details for ACID Pastor'!$T138:$AB138)</f>
        <v>1</v>
      </c>
    </row>
    <row r="139" spans="1:74" ht="70.150000000000006" customHeight="1">
      <c r="A139" s="107">
        <v>140</v>
      </c>
      <c r="B139" s="124" t="s">
        <v>945</v>
      </c>
      <c r="C139" s="90" t="s">
        <v>946</v>
      </c>
      <c r="D139" s="95" t="s">
        <v>53</v>
      </c>
      <c r="E139" s="95" t="s">
        <v>54</v>
      </c>
      <c r="F139" s="95"/>
      <c r="G139" s="95"/>
      <c r="H139" s="95"/>
      <c r="I139" s="95"/>
      <c r="J139" s="115" t="s">
        <v>947</v>
      </c>
      <c r="K139" s="193" t="s">
        <v>948</v>
      </c>
      <c r="L139" s="121"/>
      <c r="M139" s="172" t="s">
        <v>949</v>
      </c>
      <c r="N139" s="93" t="s">
        <v>950</v>
      </c>
      <c r="O139" s="92" t="s">
        <v>951</v>
      </c>
      <c r="P139" s="88" t="s">
        <v>86</v>
      </c>
      <c r="Q139" s="88" t="s">
        <v>48</v>
      </c>
      <c r="R139" s="86">
        <v>9655381466</v>
      </c>
      <c r="S139" s="88" t="s">
        <v>799</v>
      </c>
      <c r="T139" s="94"/>
      <c r="U139" s="94"/>
      <c r="V139" s="94"/>
      <c r="W139" s="94"/>
      <c r="X139" s="94"/>
      <c r="Y139" s="131"/>
      <c r="Z139" s="131"/>
      <c r="AA139" s="131"/>
      <c r="AB139" s="131"/>
      <c r="AC139" s="131"/>
      <c r="AD139" s="127"/>
      <c r="AF139" s="121"/>
      <c r="AG139" s="121"/>
      <c r="AH139" s="121">
        <f>COUNTA('All Details for ACID Pastor'!$U139:$AB139)</f>
        <v>0</v>
      </c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63"/>
      <c r="AX139" s="163"/>
      <c r="AZ139" s="121" t="s">
        <v>139</v>
      </c>
      <c r="BA139" s="163"/>
      <c r="BB139" s="163"/>
      <c r="BC139" s="163"/>
      <c r="BF139" s="163">
        <f>COUNTA('All Details for ACID Pastor'!$T139:$AB139)</f>
        <v>0</v>
      </c>
    </row>
    <row r="140" spans="1:74" ht="70.150000000000006" customHeight="1">
      <c r="A140" s="107">
        <v>141</v>
      </c>
      <c r="B140" s="124" t="s">
        <v>952</v>
      </c>
      <c r="C140" s="90" t="s">
        <v>953</v>
      </c>
      <c r="D140" s="95" t="s">
        <v>53</v>
      </c>
      <c r="E140" s="95" t="s">
        <v>54</v>
      </c>
      <c r="F140" s="95"/>
      <c r="G140" s="95"/>
      <c r="H140" s="95"/>
      <c r="I140" s="95"/>
      <c r="J140" s="115" t="s">
        <v>922</v>
      </c>
      <c r="K140" s="193" t="s">
        <v>954</v>
      </c>
      <c r="L140" s="121"/>
      <c r="M140" s="172" t="s">
        <v>955</v>
      </c>
      <c r="N140" s="93" t="s">
        <v>956</v>
      </c>
      <c r="O140" s="92" t="s">
        <v>957</v>
      </c>
      <c r="P140" s="88" t="s">
        <v>86</v>
      </c>
      <c r="Q140" s="88" t="s">
        <v>48</v>
      </c>
      <c r="R140" s="86">
        <v>9865676468</v>
      </c>
      <c r="S140" s="88" t="s">
        <v>799</v>
      </c>
      <c r="T140" s="94"/>
      <c r="U140" s="94"/>
      <c r="V140" s="94"/>
      <c r="W140" s="94"/>
      <c r="X140" s="94"/>
      <c r="Y140" s="131"/>
      <c r="Z140" s="131"/>
      <c r="AA140" s="131"/>
      <c r="AB140" s="131"/>
      <c r="AC140" s="131"/>
      <c r="AD140" s="127"/>
      <c r="AE140" s="244"/>
      <c r="AF140" s="121"/>
      <c r="AG140" s="121"/>
      <c r="AH140" s="121">
        <f>COUNTA('All Details for ACID Pastor'!$U140:$AB140)</f>
        <v>0</v>
      </c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63"/>
      <c r="AX140" s="163"/>
      <c r="AZ140" s="121" t="s">
        <v>139</v>
      </c>
      <c r="BA140" s="163"/>
      <c r="BB140" s="163"/>
      <c r="BC140" s="163"/>
      <c r="BF140" s="163">
        <f>COUNTA('All Details for ACID Pastor'!$T140:$AB140)</f>
        <v>0</v>
      </c>
    </row>
    <row r="141" spans="1:74" s="174" customFormat="1" ht="70.150000000000006" customHeight="1">
      <c r="A141" s="103">
        <v>142</v>
      </c>
      <c r="B141" s="132" t="s">
        <v>958</v>
      </c>
      <c r="C141" s="101" t="s">
        <v>959</v>
      </c>
      <c r="D141" s="102" t="s">
        <v>53</v>
      </c>
      <c r="E141" s="102" t="s">
        <v>54</v>
      </c>
      <c r="F141" s="95"/>
      <c r="G141" s="95"/>
      <c r="H141" s="95"/>
      <c r="I141" s="95"/>
      <c r="J141" s="133" t="s">
        <v>661</v>
      </c>
      <c r="K141" s="256" t="s">
        <v>960</v>
      </c>
      <c r="L141" s="232"/>
      <c r="M141" s="171" t="s">
        <v>961</v>
      </c>
      <c r="N141" s="104" t="s">
        <v>962</v>
      </c>
      <c r="O141" s="105" t="s">
        <v>963</v>
      </c>
      <c r="P141" s="106" t="s">
        <v>666</v>
      </c>
      <c r="Q141" s="106" t="s">
        <v>667</v>
      </c>
      <c r="R141" s="134">
        <v>9886037132</v>
      </c>
      <c r="S141" s="106" t="s">
        <v>799</v>
      </c>
      <c r="T141" s="135"/>
      <c r="U141" s="135"/>
      <c r="V141" s="135"/>
      <c r="W141" s="135"/>
      <c r="X141" s="135"/>
      <c r="Y141" s="136"/>
      <c r="Z141" s="136"/>
      <c r="AA141" s="136"/>
      <c r="AB141" s="136"/>
      <c r="AC141" s="136"/>
      <c r="AD141" s="222"/>
      <c r="AE141" s="240"/>
      <c r="AF141" s="232"/>
      <c r="AG141" s="232"/>
      <c r="AH141" s="232">
        <f>COUNTA('All Details for ACID Pastor'!$U141:$AB141)</f>
        <v>0</v>
      </c>
      <c r="AI141" s="232"/>
      <c r="AJ141" s="232"/>
      <c r="AK141" s="232"/>
      <c r="AL141" s="232"/>
      <c r="AM141" s="232"/>
      <c r="AN141" s="232"/>
      <c r="AO141" s="232"/>
      <c r="AP141" s="232"/>
      <c r="AQ141" s="232"/>
      <c r="AR141" s="232"/>
      <c r="AS141" s="232"/>
      <c r="AT141" s="232"/>
      <c r="AU141" s="232"/>
      <c r="AV141" s="232"/>
      <c r="AW141" s="233"/>
      <c r="AX141" s="233"/>
      <c r="AY141" s="244"/>
      <c r="AZ141" s="232" t="s">
        <v>139</v>
      </c>
      <c r="BA141" s="233"/>
      <c r="BB141" s="233"/>
      <c r="BC141" s="233"/>
      <c r="BD141" s="244"/>
      <c r="BE141" s="277"/>
      <c r="BF141" s="233">
        <f>COUNTA('All Details for ACID Pastor'!$T141:$AB141)</f>
        <v>0</v>
      </c>
      <c r="BG141" s="249"/>
      <c r="BH141" s="249"/>
      <c r="BI141" s="249"/>
      <c r="BJ141" s="249"/>
      <c r="BK141" s="249"/>
      <c r="BL141" s="249"/>
      <c r="BM141" s="249"/>
      <c r="BN141" s="249"/>
      <c r="BO141" s="249"/>
      <c r="BP141" s="249"/>
      <c r="BQ141" s="249"/>
      <c r="BR141" s="249"/>
      <c r="BS141" s="249"/>
      <c r="BT141" s="249"/>
      <c r="BU141" s="249"/>
      <c r="BV141" s="249"/>
    </row>
    <row r="142" spans="1:74" ht="70.150000000000006" customHeight="1">
      <c r="A142" s="107">
        <v>143</v>
      </c>
      <c r="B142" s="124" t="s">
        <v>964</v>
      </c>
      <c r="C142" s="90" t="s">
        <v>965</v>
      </c>
      <c r="D142" s="95" t="s">
        <v>53</v>
      </c>
      <c r="E142" s="95" t="s">
        <v>54</v>
      </c>
      <c r="F142" s="95"/>
      <c r="G142" s="95"/>
      <c r="H142" s="95"/>
      <c r="I142" s="95"/>
      <c r="J142" s="115" t="s">
        <v>922</v>
      </c>
      <c r="K142" s="193" t="s">
        <v>966</v>
      </c>
      <c r="L142" s="121"/>
      <c r="M142" s="172" t="s">
        <v>967</v>
      </c>
      <c r="N142" s="93" t="s">
        <v>968</v>
      </c>
      <c r="O142" s="92" t="s">
        <v>969</v>
      </c>
      <c r="P142" s="88" t="s">
        <v>86</v>
      </c>
      <c r="Q142" s="88" t="s">
        <v>48</v>
      </c>
      <c r="R142" s="86">
        <v>9894309686</v>
      </c>
      <c r="S142" s="88" t="s">
        <v>799</v>
      </c>
      <c r="T142" s="94"/>
      <c r="U142" s="94"/>
      <c r="V142" s="94"/>
      <c r="W142" s="94"/>
      <c r="X142" s="94"/>
      <c r="Y142" s="131"/>
      <c r="Z142" s="131"/>
      <c r="AA142" s="131"/>
      <c r="AB142" s="131"/>
      <c r="AC142" s="131"/>
      <c r="AD142" s="127"/>
      <c r="AF142" s="121"/>
      <c r="AG142" s="121"/>
      <c r="AH142" s="121">
        <f>COUNTA('All Details for ACID Pastor'!$U142:$AB142)</f>
        <v>0</v>
      </c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63"/>
      <c r="AX142" s="163"/>
      <c r="AZ142" s="121" t="s">
        <v>139</v>
      </c>
      <c r="BA142" s="163"/>
      <c r="BB142" s="163"/>
      <c r="BC142" s="163"/>
      <c r="BF142" s="163">
        <f>COUNTA('All Details for ACID Pastor'!$T142:$AB142)</f>
        <v>0</v>
      </c>
    </row>
    <row r="143" spans="1:74" ht="70.150000000000006" customHeight="1">
      <c r="A143" s="107">
        <v>144</v>
      </c>
      <c r="B143" s="124" t="s">
        <v>970</v>
      </c>
      <c r="C143" s="90" t="s">
        <v>971</v>
      </c>
      <c r="D143" s="95" t="s">
        <v>53</v>
      </c>
      <c r="E143" s="95" t="s">
        <v>54</v>
      </c>
      <c r="F143" s="95"/>
      <c r="G143" s="95"/>
      <c r="H143" s="95"/>
      <c r="I143" s="95"/>
      <c r="J143" s="115" t="s">
        <v>922</v>
      </c>
      <c r="K143" s="193" t="s">
        <v>972</v>
      </c>
      <c r="L143" s="121"/>
      <c r="M143" s="172" t="s">
        <v>973</v>
      </c>
      <c r="N143" s="93" t="s">
        <v>974</v>
      </c>
      <c r="O143" s="92" t="s">
        <v>975</v>
      </c>
      <c r="P143" s="88" t="s">
        <v>86</v>
      </c>
      <c r="Q143" s="88" t="s">
        <v>48</v>
      </c>
      <c r="R143" s="86">
        <v>9655749893</v>
      </c>
      <c r="S143" s="88" t="s">
        <v>799</v>
      </c>
      <c r="T143" s="94"/>
      <c r="U143" s="94"/>
      <c r="V143" s="94"/>
      <c r="W143" s="94"/>
      <c r="X143" s="94"/>
      <c r="Y143" s="131"/>
      <c r="Z143" s="131"/>
      <c r="AA143" s="131"/>
      <c r="AB143" s="131"/>
      <c r="AC143" s="131"/>
      <c r="AD143" s="127"/>
      <c r="AF143" s="121"/>
      <c r="AG143" s="121"/>
      <c r="AH143" s="121">
        <f>COUNTA('All Details for ACID Pastor'!$U143:$AB143)</f>
        <v>0</v>
      </c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63"/>
      <c r="AX143" s="163"/>
      <c r="AZ143" s="121" t="s">
        <v>139</v>
      </c>
      <c r="BA143" s="163"/>
      <c r="BB143" s="163"/>
      <c r="BC143" s="163"/>
      <c r="BF143" s="163">
        <f>COUNTA('All Details for ACID Pastor'!$T143:$AB143)</f>
        <v>0</v>
      </c>
    </row>
    <row r="144" spans="1:74" ht="70.150000000000006" customHeight="1">
      <c r="A144" s="107">
        <v>145</v>
      </c>
      <c r="B144" s="124" t="s">
        <v>976</v>
      </c>
      <c r="C144" s="90" t="s">
        <v>977</v>
      </c>
      <c r="D144" s="95" t="s">
        <v>53</v>
      </c>
      <c r="E144" s="95" t="s">
        <v>54</v>
      </c>
      <c r="F144" s="95"/>
      <c r="G144" s="95"/>
      <c r="H144" s="95"/>
      <c r="I144" s="95"/>
      <c r="J144" s="115" t="s">
        <v>978</v>
      </c>
      <c r="K144" s="193" t="s">
        <v>979</v>
      </c>
      <c r="L144" s="121"/>
      <c r="M144" s="172"/>
      <c r="N144" s="93" t="s">
        <v>980</v>
      </c>
      <c r="O144" s="92" t="s">
        <v>981</v>
      </c>
      <c r="P144" s="88" t="s">
        <v>86</v>
      </c>
      <c r="Q144" s="88" t="s">
        <v>48</v>
      </c>
      <c r="R144" s="86">
        <v>9710249815</v>
      </c>
      <c r="S144" s="88" t="s">
        <v>799</v>
      </c>
      <c r="T144" s="94"/>
      <c r="U144" s="94"/>
      <c r="V144" s="94"/>
      <c r="W144" s="94"/>
      <c r="X144" s="94"/>
      <c r="Y144" s="131"/>
      <c r="Z144" s="131"/>
      <c r="AA144" s="131"/>
      <c r="AB144" s="131"/>
      <c r="AC144" s="131"/>
      <c r="AD144" s="127"/>
      <c r="AF144" s="121"/>
      <c r="AG144" s="121"/>
      <c r="AH144" s="121">
        <f>COUNTA('All Details for ACID Pastor'!$U144:$AB144)</f>
        <v>0</v>
      </c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63"/>
      <c r="AX144" s="163"/>
      <c r="AZ144" s="121" t="s">
        <v>139</v>
      </c>
      <c r="BA144" s="163"/>
      <c r="BB144" s="163"/>
      <c r="BC144" s="163"/>
      <c r="BF144" s="163">
        <f>COUNTA('All Details for ACID Pastor'!$T144:$AB144)</f>
        <v>0</v>
      </c>
    </row>
    <row r="145" spans="1:58" ht="70.150000000000006" customHeight="1">
      <c r="A145" s="107">
        <v>146</v>
      </c>
      <c r="B145" s="124" t="s">
        <v>982</v>
      </c>
      <c r="C145" s="90" t="s">
        <v>983</v>
      </c>
      <c r="D145" s="95" t="s">
        <v>53</v>
      </c>
      <c r="E145" s="95" t="s">
        <v>54</v>
      </c>
      <c r="F145" s="95"/>
      <c r="G145" s="95"/>
      <c r="H145" s="95"/>
      <c r="I145" s="95"/>
      <c r="J145" s="115" t="s">
        <v>922</v>
      </c>
      <c r="K145" s="193" t="s">
        <v>984</v>
      </c>
      <c r="L145" s="121"/>
      <c r="M145" s="172"/>
      <c r="N145" s="93" t="s">
        <v>985</v>
      </c>
      <c r="O145" s="92" t="s">
        <v>986</v>
      </c>
      <c r="P145" s="88" t="s">
        <v>626</v>
      </c>
      <c r="Q145" s="88" t="s">
        <v>626</v>
      </c>
      <c r="R145" s="86">
        <v>8754974186</v>
      </c>
      <c r="S145" s="88" t="s">
        <v>799</v>
      </c>
      <c r="T145" s="94"/>
      <c r="U145" s="94"/>
      <c r="V145" s="94"/>
      <c r="W145" s="94"/>
      <c r="X145" s="94"/>
      <c r="Y145" s="131"/>
      <c r="Z145" s="131"/>
      <c r="AA145" s="131"/>
      <c r="AB145" s="131"/>
      <c r="AC145" s="131"/>
      <c r="AD145" s="127"/>
      <c r="AF145" s="121"/>
      <c r="AG145" s="121"/>
      <c r="AH145" s="121">
        <f>COUNTA('All Details for ACID Pastor'!$U145:$AB145)</f>
        <v>0</v>
      </c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63"/>
      <c r="AX145" s="163"/>
      <c r="AZ145" s="121" t="s">
        <v>139</v>
      </c>
      <c r="BA145" s="163"/>
      <c r="BB145" s="163"/>
      <c r="BC145" s="163"/>
      <c r="BF145" s="163">
        <f>COUNTA('All Details for ACID Pastor'!$T145:$AB145)</f>
        <v>0</v>
      </c>
    </row>
    <row r="146" spans="1:58" ht="70.150000000000006" customHeight="1">
      <c r="A146" s="107">
        <v>147</v>
      </c>
      <c r="B146" s="124" t="s">
        <v>987</v>
      </c>
      <c r="C146" s="90" t="s">
        <v>988</v>
      </c>
      <c r="D146" s="95" t="s">
        <v>53</v>
      </c>
      <c r="E146" s="95" t="s">
        <v>54</v>
      </c>
      <c r="F146" s="95"/>
      <c r="G146" s="95"/>
      <c r="H146" s="95"/>
      <c r="I146" s="95"/>
      <c r="J146" s="115" t="s">
        <v>989</v>
      </c>
      <c r="K146" s="193" t="s">
        <v>990</v>
      </c>
      <c r="L146" s="121"/>
      <c r="M146" s="172"/>
      <c r="N146" s="93" t="s">
        <v>991</v>
      </c>
      <c r="O146" s="92" t="s">
        <v>992</v>
      </c>
      <c r="P146" s="88" t="s">
        <v>60</v>
      </c>
      <c r="Q146" s="88" t="s">
        <v>48</v>
      </c>
      <c r="R146" s="86">
        <v>9443816681</v>
      </c>
      <c r="S146" s="88" t="s">
        <v>799</v>
      </c>
      <c r="T146" s="94"/>
      <c r="U146" s="94" t="s">
        <v>504</v>
      </c>
      <c r="V146" s="94" t="s">
        <v>993</v>
      </c>
      <c r="W146" s="94" t="s">
        <v>994</v>
      </c>
      <c r="X146" s="94" t="s">
        <v>995</v>
      </c>
      <c r="Y146" s="127" t="s">
        <v>996</v>
      </c>
      <c r="Z146" s="127" t="s">
        <v>149</v>
      </c>
      <c r="AA146" s="127" t="s">
        <v>99</v>
      </c>
      <c r="AB146" s="127" t="s">
        <v>99</v>
      </c>
      <c r="AC146" s="127" t="s">
        <v>99</v>
      </c>
      <c r="AD146" s="127"/>
      <c r="AF146" s="121"/>
      <c r="AG146" s="121"/>
      <c r="AH146" s="121">
        <f>COUNTA('All Details for ACID Pastor'!$U146:$AB146)</f>
        <v>8</v>
      </c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63"/>
      <c r="AX146" s="163"/>
      <c r="AZ146" s="121" t="s">
        <v>49</v>
      </c>
      <c r="BA146" s="163"/>
      <c r="BB146" s="163"/>
      <c r="BC146" s="163"/>
      <c r="BF146" s="163">
        <f>COUNTA('All Details for ACID Pastor'!$T146:$AB146)</f>
        <v>8</v>
      </c>
    </row>
    <row r="147" spans="1:58" ht="70.150000000000006" customHeight="1">
      <c r="A147" s="107">
        <v>148</v>
      </c>
      <c r="B147" s="124" t="s">
        <v>997</v>
      </c>
      <c r="C147" s="90" t="s">
        <v>998</v>
      </c>
      <c r="D147" s="95" t="s">
        <v>53</v>
      </c>
      <c r="E147" s="95" t="s">
        <v>54</v>
      </c>
      <c r="F147" s="95"/>
      <c r="G147" s="95"/>
      <c r="H147" s="95"/>
      <c r="I147" s="95"/>
      <c r="J147" s="115" t="s">
        <v>720</v>
      </c>
      <c r="K147" s="193" t="s">
        <v>999</v>
      </c>
      <c r="L147" s="121"/>
      <c r="M147" s="172"/>
      <c r="N147" s="93" t="s">
        <v>1000</v>
      </c>
      <c r="O147" s="92" t="s">
        <v>1001</v>
      </c>
      <c r="P147" s="88" t="s">
        <v>1002</v>
      </c>
      <c r="Q147" s="88" t="s">
        <v>48</v>
      </c>
      <c r="R147" s="86">
        <v>9943930976</v>
      </c>
      <c r="S147" s="88" t="s">
        <v>799</v>
      </c>
      <c r="T147" s="94"/>
      <c r="U147" s="94" t="s">
        <v>504</v>
      </c>
      <c r="V147" s="94" t="s">
        <v>1003</v>
      </c>
      <c r="W147" s="94" t="s">
        <v>98</v>
      </c>
      <c r="X147" s="94" t="s">
        <v>1004</v>
      </c>
      <c r="Y147" s="127" t="s">
        <v>110</v>
      </c>
      <c r="Z147" s="131"/>
      <c r="AA147" s="127" t="s">
        <v>1005</v>
      </c>
      <c r="AB147" s="127" t="s">
        <v>1005</v>
      </c>
      <c r="AC147" s="127" t="s">
        <v>1005</v>
      </c>
      <c r="AD147" s="127"/>
      <c r="AF147" s="121"/>
      <c r="AG147" s="121"/>
      <c r="AH147" s="121">
        <f>COUNTA('All Details for ACID Pastor'!$U147:$AB147)</f>
        <v>7</v>
      </c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63"/>
      <c r="AX147" s="163"/>
      <c r="AZ147" s="121" t="s">
        <v>49</v>
      </c>
      <c r="BA147" s="163"/>
      <c r="BB147" s="163"/>
      <c r="BC147" s="163"/>
      <c r="BF147" s="163">
        <v>10</v>
      </c>
    </row>
    <row r="148" spans="1:58" ht="70.150000000000006" customHeight="1">
      <c r="A148" s="107">
        <v>149</v>
      </c>
      <c r="B148" s="124" t="s">
        <v>1006</v>
      </c>
      <c r="C148" s="90" t="s">
        <v>1007</v>
      </c>
      <c r="D148" s="95" t="s">
        <v>53</v>
      </c>
      <c r="E148" s="95" t="s">
        <v>54</v>
      </c>
      <c r="F148" s="95"/>
      <c r="G148" s="95"/>
      <c r="H148" s="95"/>
      <c r="I148" s="95"/>
      <c r="J148" s="115" t="s">
        <v>720</v>
      </c>
      <c r="K148" s="193" t="s">
        <v>1008</v>
      </c>
      <c r="L148" s="121" t="s">
        <v>4209</v>
      </c>
      <c r="M148" s="172"/>
      <c r="N148" s="93" t="s">
        <v>1009</v>
      </c>
      <c r="O148" s="92" t="s">
        <v>306</v>
      </c>
      <c r="P148" s="88" t="s">
        <v>1010</v>
      </c>
      <c r="Q148" s="88" t="s">
        <v>48</v>
      </c>
      <c r="R148" s="86">
        <v>9842407448</v>
      </c>
      <c r="S148" s="88" t="s">
        <v>799</v>
      </c>
      <c r="T148" s="94"/>
      <c r="U148" s="94" t="s">
        <v>1011</v>
      </c>
      <c r="V148" s="94"/>
      <c r="W148" s="94"/>
      <c r="X148" s="94"/>
      <c r="Y148" s="131"/>
      <c r="Z148" s="131"/>
      <c r="AA148" s="131"/>
      <c r="AB148" s="131"/>
      <c r="AC148" s="131"/>
      <c r="AD148" s="127"/>
      <c r="AF148" s="121"/>
      <c r="AG148" s="121"/>
      <c r="AH148" s="121">
        <f>COUNTA('All Details for ACID Pastor'!$U148:$AB148)</f>
        <v>1</v>
      </c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63"/>
      <c r="AX148" s="163"/>
      <c r="AZ148" s="121" t="s">
        <v>139</v>
      </c>
      <c r="BA148" s="163"/>
      <c r="BB148" s="163"/>
      <c r="BC148" s="163"/>
      <c r="BF148" s="163">
        <f>COUNTA('All Details for ACID Pastor'!$T148:$AB148)</f>
        <v>1</v>
      </c>
    </row>
    <row r="149" spans="1:58" ht="70.150000000000006" customHeight="1">
      <c r="A149" s="107">
        <v>150</v>
      </c>
      <c r="B149" s="124" t="s">
        <v>1012</v>
      </c>
      <c r="C149" s="90" t="s">
        <v>1013</v>
      </c>
      <c r="D149" s="95" t="s">
        <v>53</v>
      </c>
      <c r="E149" s="95" t="s">
        <v>54</v>
      </c>
      <c r="F149" s="95"/>
      <c r="G149" s="95"/>
      <c r="H149" s="95"/>
      <c r="I149" s="95"/>
      <c r="J149" s="115" t="s">
        <v>947</v>
      </c>
      <c r="K149" s="193" t="s">
        <v>1014</v>
      </c>
      <c r="L149" s="121"/>
      <c r="M149" s="172"/>
      <c r="N149" s="93" t="s">
        <v>1015</v>
      </c>
      <c r="O149" s="92" t="s">
        <v>1016</v>
      </c>
      <c r="P149" s="88" t="s">
        <v>786</v>
      </c>
      <c r="Q149" s="88" t="s">
        <v>48</v>
      </c>
      <c r="R149" s="86">
        <v>9150374990</v>
      </c>
      <c r="S149" s="88" t="s">
        <v>799</v>
      </c>
      <c r="T149" s="94"/>
      <c r="U149" s="94"/>
      <c r="V149" s="94"/>
      <c r="W149" s="94"/>
      <c r="X149" s="94"/>
      <c r="Y149" s="131"/>
      <c r="Z149" s="131"/>
      <c r="AA149" s="131"/>
      <c r="AB149" s="131"/>
      <c r="AC149" s="131"/>
      <c r="AD149" s="127"/>
      <c r="AF149" s="121"/>
      <c r="AG149" s="121"/>
      <c r="AH149" s="121">
        <f>COUNTA('All Details for ACID Pastor'!$U149:$AB149)</f>
        <v>0</v>
      </c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63"/>
      <c r="AX149" s="163"/>
      <c r="AZ149" s="121" t="s">
        <v>139</v>
      </c>
      <c r="BA149" s="163"/>
      <c r="BB149" s="163"/>
      <c r="BC149" s="163"/>
      <c r="BF149" s="163">
        <f>COUNTA('All Details for ACID Pastor'!$T149:$AB149)</f>
        <v>0</v>
      </c>
    </row>
    <row r="150" spans="1:58" ht="70.150000000000006" customHeight="1">
      <c r="A150" s="107">
        <v>151</v>
      </c>
      <c r="B150" s="124" t="s">
        <v>1017</v>
      </c>
      <c r="C150" s="90" t="s">
        <v>1018</v>
      </c>
      <c r="D150" s="95" t="s">
        <v>53</v>
      </c>
      <c r="E150" s="95" t="s">
        <v>54</v>
      </c>
      <c r="F150" s="95"/>
      <c r="G150" s="95"/>
      <c r="H150" s="95"/>
      <c r="I150" s="95"/>
      <c r="J150" s="115" t="s">
        <v>922</v>
      </c>
      <c r="K150" s="193" t="s">
        <v>1019</v>
      </c>
      <c r="L150" s="121"/>
      <c r="M150" s="172"/>
      <c r="N150" s="93" t="s">
        <v>1020</v>
      </c>
      <c r="O150" s="92" t="s">
        <v>1021</v>
      </c>
      <c r="P150" s="88" t="s">
        <v>786</v>
      </c>
      <c r="Q150" s="88" t="s">
        <v>48</v>
      </c>
      <c r="R150" s="86">
        <v>7639205006</v>
      </c>
      <c r="S150" s="88" t="s">
        <v>799</v>
      </c>
      <c r="T150" s="94"/>
      <c r="U150" s="143"/>
      <c r="V150" s="94"/>
      <c r="W150" s="94"/>
      <c r="X150" s="94"/>
      <c r="Y150" s="131"/>
      <c r="Z150" s="131"/>
      <c r="AA150" s="131"/>
      <c r="AB150" s="131"/>
      <c r="AC150" s="131"/>
      <c r="AD150" s="127"/>
      <c r="AF150" s="121"/>
      <c r="AG150" s="121"/>
      <c r="AH150" s="121">
        <f>COUNTA('All Details for ACID Pastor'!$U150:$AB150)</f>
        <v>0</v>
      </c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63"/>
      <c r="AX150" s="163"/>
      <c r="AZ150" s="121" t="s">
        <v>139</v>
      </c>
      <c r="BA150" s="163"/>
      <c r="BB150" s="163"/>
      <c r="BC150" s="163"/>
      <c r="BF150" s="163">
        <f>COUNTA('All Details for ACID Pastor'!$T150:$AB150)</f>
        <v>0</v>
      </c>
    </row>
    <row r="151" spans="1:58" ht="70.150000000000006" customHeight="1">
      <c r="A151" s="107">
        <v>152</v>
      </c>
      <c r="B151" s="124" t="s">
        <v>1022</v>
      </c>
      <c r="C151" s="90" t="s">
        <v>1023</v>
      </c>
      <c r="D151" s="95" t="s">
        <v>53</v>
      </c>
      <c r="E151" s="95" t="s">
        <v>54</v>
      </c>
      <c r="F151" s="95"/>
      <c r="G151" s="95"/>
      <c r="H151" s="95"/>
      <c r="I151" s="95"/>
      <c r="J151" s="115" t="s">
        <v>922</v>
      </c>
      <c r="K151" s="193" t="s">
        <v>1024</v>
      </c>
      <c r="L151" s="121"/>
      <c r="M151" s="172" t="s">
        <v>1025</v>
      </c>
      <c r="N151" s="93" t="s">
        <v>1026</v>
      </c>
      <c r="O151" s="92" t="s">
        <v>1027</v>
      </c>
      <c r="P151" s="88" t="s">
        <v>626</v>
      </c>
      <c r="Q151" s="88" t="s">
        <v>626</v>
      </c>
      <c r="R151" s="86">
        <v>9994490247</v>
      </c>
      <c r="S151" s="88" t="s">
        <v>799</v>
      </c>
      <c r="T151" s="94"/>
      <c r="U151" s="94" t="s">
        <v>504</v>
      </c>
      <c r="V151" s="94"/>
      <c r="W151" s="94"/>
      <c r="X151" s="94"/>
      <c r="Y151" s="131"/>
      <c r="Z151" s="131"/>
      <c r="AA151" s="131"/>
      <c r="AB151" s="131"/>
      <c r="AC151" s="131"/>
      <c r="AD151" s="127"/>
      <c r="AF151" s="121"/>
      <c r="AG151" s="121"/>
      <c r="AH151" s="121">
        <f>COUNTA('All Details for ACID Pastor'!$U151:$AB151)</f>
        <v>1</v>
      </c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63"/>
      <c r="AX151" s="163"/>
      <c r="AZ151" s="121" t="s">
        <v>139</v>
      </c>
      <c r="BA151" s="163"/>
      <c r="BB151" s="163"/>
      <c r="BC151" s="163"/>
      <c r="BF151" s="163">
        <f>COUNTA('All Details for ACID Pastor'!$T151:$AB151)</f>
        <v>1</v>
      </c>
    </row>
    <row r="152" spans="1:58" ht="70.150000000000006" customHeight="1">
      <c r="A152" s="107">
        <v>153</v>
      </c>
      <c r="B152" s="124" t="s">
        <v>1028</v>
      </c>
      <c r="C152" s="90" t="s">
        <v>1029</v>
      </c>
      <c r="D152" s="95" t="s">
        <v>53</v>
      </c>
      <c r="E152" s="95" t="s">
        <v>54</v>
      </c>
      <c r="F152" s="95"/>
      <c r="G152" s="95"/>
      <c r="H152" s="95"/>
      <c r="I152" s="95"/>
      <c r="J152" s="115" t="s">
        <v>922</v>
      </c>
      <c r="K152" s="193" t="s">
        <v>1030</v>
      </c>
      <c r="L152" s="121"/>
      <c r="M152" s="172"/>
      <c r="N152" s="93" t="s">
        <v>1031</v>
      </c>
      <c r="O152" s="92" t="s">
        <v>1032</v>
      </c>
      <c r="P152" s="88" t="s">
        <v>626</v>
      </c>
      <c r="Q152" s="88" t="s">
        <v>626</v>
      </c>
      <c r="R152" s="86">
        <v>9786150805</v>
      </c>
      <c r="S152" s="88" t="s">
        <v>799</v>
      </c>
      <c r="T152" s="94"/>
      <c r="U152" s="94"/>
      <c r="V152" s="94"/>
      <c r="W152" s="94"/>
      <c r="X152" s="94"/>
      <c r="Y152" s="131"/>
      <c r="Z152" s="131"/>
      <c r="AA152" s="131"/>
      <c r="AB152" s="131"/>
      <c r="AC152" s="131"/>
      <c r="AD152" s="127"/>
      <c r="AF152" s="121"/>
      <c r="AG152" s="121"/>
      <c r="AH152" s="121">
        <f>COUNTA('All Details for ACID Pastor'!$U152:$AB152)</f>
        <v>0</v>
      </c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63"/>
      <c r="AX152" s="163"/>
      <c r="AZ152" s="121" t="s">
        <v>139</v>
      </c>
      <c r="BA152" s="163"/>
      <c r="BB152" s="163"/>
      <c r="BC152" s="163"/>
      <c r="BF152" s="163">
        <f>COUNTA('All Details for ACID Pastor'!$T152:$AB152)</f>
        <v>0</v>
      </c>
    </row>
    <row r="153" spans="1:58" ht="70.150000000000006" customHeight="1">
      <c r="A153" s="107">
        <v>154</v>
      </c>
      <c r="B153" s="124" t="s">
        <v>1033</v>
      </c>
      <c r="C153" s="90" t="s">
        <v>1034</v>
      </c>
      <c r="D153" s="95" t="s">
        <v>53</v>
      </c>
      <c r="E153" s="95" t="s">
        <v>54</v>
      </c>
      <c r="F153" s="95"/>
      <c r="G153" s="95"/>
      <c r="H153" s="95"/>
      <c r="I153" s="95"/>
      <c r="J153" s="115" t="s">
        <v>947</v>
      </c>
      <c r="K153" s="193" t="s">
        <v>1035</v>
      </c>
      <c r="L153" s="121"/>
      <c r="M153" s="172"/>
      <c r="N153" s="93" t="s">
        <v>1036</v>
      </c>
      <c r="O153" s="92" t="s">
        <v>1037</v>
      </c>
      <c r="P153" s="88" t="s">
        <v>786</v>
      </c>
      <c r="Q153" s="88" t="s">
        <v>48</v>
      </c>
      <c r="R153" s="86">
        <v>8870779059</v>
      </c>
      <c r="S153" s="88" t="s">
        <v>799</v>
      </c>
      <c r="T153" s="94"/>
      <c r="U153" s="94"/>
      <c r="V153" s="94"/>
      <c r="W153" s="94"/>
      <c r="X153" s="94"/>
      <c r="Y153" s="131"/>
      <c r="Z153" s="131"/>
      <c r="AA153" s="131"/>
      <c r="AB153" s="131"/>
      <c r="AC153" s="131"/>
      <c r="AD153" s="127"/>
      <c r="AF153" s="121"/>
      <c r="AG153" s="121"/>
      <c r="AH153" s="121">
        <f>COUNTA('All Details for ACID Pastor'!$U153:$AB153)</f>
        <v>0</v>
      </c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63"/>
      <c r="AX153" s="163"/>
      <c r="AZ153" s="121" t="s">
        <v>139</v>
      </c>
      <c r="BA153" s="163"/>
      <c r="BB153" s="163"/>
      <c r="BC153" s="163"/>
      <c r="BF153" s="163">
        <f>COUNTA('All Details for ACID Pastor'!$T153:$AB153)</f>
        <v>0</v>
      </c>
    </row>
    <row r="154" spans="1:58" ht="70.150000000000006" customHeight="1">
      <c r="A154" s="107">
        <v>155</v>
      </c>
      <c r="B154" s="124" t="s">
        <v>1038</v>
      </c>
      <c r="C154" s="90" t="s">
        <v>1039</v>
      </c>
      <c r="D154" s="95" t="s">
        <v>53</v>
      </c>
      <c r="E154" s="95" t="s">
        <v>54</v>
      </c>
      <c r="F154" s="95"/>
      <c r="G154" s="95"/>
      <c r="H154" s="95"/>
      <c r="I154" s="95"/>
      <c r="J154" s="115" t="s">
        <v>103</v>
      </c>
      <c r="K154" s="193" t="s">
        <v>1040</v>
      </c>
      <c r="L154" s="121"/>
      <c r="M154" s="172"/>
      <c r="N154" s="93" t="s">
        <v>1041</v>
      </c>
      <c r="O154" s="92" t="s">
        <v>1042</v>
      </c>
      <c r="P154" s="88" t="s">
        <v>73</v>
      </c>
      <c r="Q154" s="88" t="s">
        <v>48</v>
      </c>
      <c r="R154" s="86">
        <v>9025425672</v>
      </c>
      <c r="S154" s="88" t="s">
        <v>799</v>
      </c>
      <c r="T154" s="94"/>
      <c r="U154" s="94"/>
      <c r="V154" s="94"/>
      <c r="W154" s="94"/>
      <c r="X154" s="94"/>
      <c r="Y154" s="131"/>
      <c r="Z154" s="131"/>
      <c r="AA154" s="131"/>
      <c r="AB154" s="131"/>
      <c r="AC154" s="131"/>
      <c r="AD154" s="127"/>
      <c r="AF154" s="121"/>
      <c r="AG154" s="121"/>
      <c r="AH154" s="121">
        <f>COUNTA('All Details for ACID Pastor'!$U154:$AB154)</f>
        <v>0</v>
      </c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63"/>
      <c r="AX154" s="163"/>
      <c r="AZ154" s="121" t="s">
        <v>139</v>
      </c>
      <c r="BA154" s="163"/>
      <c r="BB154" s="163"/>
      <c r="BC154" s="163"/>
      <c r="BF154" s="163">
        <f>COUNTA('All Details for ACID Pastor'!$T154:$AB154)</f>
        <v>0</v>
      </c>
    </row>
    <row r="155" spans="1:58" ht="70.150000000000006" customHeight="1">
      <c r="A155" s="107">
        <v>156</v>
      </c>
      <c r="B155" s="124" t="s">
        <v>1043</v>
      </c>
      <c r="C155" s="90" t="s">
        <v>1044</v>
      </c>
      <c r="D155" s="95" t="s">
        <v>53</v>
      </c>
      <c r="E155" s="95" t="s">
        <v>54</v>
      </c>
      <c r="F155" s="95"/>
      <c r="G155" s="95"/>
      <c r="H155" s="95"/>
      <c r="I155" s="95"/>
      <c r="J155" s="115" t="s">
        <v>103</v>
      </c>
      <c r="K155" s="193" t="s">
        <v>1045</v>
      </c>
      <c r="L155" s="121"/>
      <c r="M155" s="172" t="s">
        <v>1046</v>
      </c>
      <c r="N155" s="93" t="s">
        <v>1047</v>
      </c>
      <c r="O155" s="92" t="s">
        <v>1048</v>
      </c>
      <c r="P155" s="88" t="s">
        <v>576</v>
      </c>
      <c r="Q155" s="88" t="s">
        <v>48</v>
      </c>
      <c r="R155" s="86">
        <v>9788130679</v>
      </c>
      <c r="S155" s="88" t="s">
        <v>799</v>
      </c>
      <c r="T155" s="94"/>
      <c r="U155" s="94"/>
      <c r="V155" s="94"/>
      <c r="W155" s="94"/>
      <c r="X155" s="94"/>
      <c r="Y155" s="131"/>
      <c r="Z155" s="131"/>
      <c r="AA155" s="131"/>
      <c r="AB155" s="131"/>
      <c r="AC155" s="131"/>
      <c r="AD155" s="127"/>
      <c r="AF155" s="121"/>
      <c r="AG155" s="121"/>
      <c r="AH155" s="121">
        <f>COUNTA('All Details for ACID Pastor'!$U155:$AB155)</f>
        <v>0</v>
      </c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63"/>
      <c r="AX155" s="163"/>
      <c r="AZ155" s="121" t="s">
        <v>139</v>
      </c>
      <c r="BA155" s="163"/>
      <c r="BB155" s="163"/>
      <c r="BC155" s="163"/>
      <c r="BF155" s="163">
        <f>COUNTA('All Details for ACID Pastor'!$T155:$AB155)</f>
        <v>0</v>
      </c>
    </row>
    <row r="156" spans="1:58" ht="70.150000000000006" customHeight="1">
      <c r="A156" s="107">
        <v>157</v>
      </c>
      <c r="B156" s="124" t="s">
        <v>1049</v>
      </c>
      <c r="C156" s="90" t="s">
        <v>1050</v>
      </c>
      <c r="D156" s="95" t="s">
        <v>53</v>
      </c>
      <c r="E156" s="95" t="s">
        <v>54</v>
      </c>
      <c r="F156" s="95"/>
      <c r="G156" s="95"/>
      <c r="H156" s="95"/>
      <c r="I156" s="95"/>
      <c r="J156" s="115" t="s">
        <v>103</v>
      </c>
      <c r="K156" s="193" t="s">
        <v>1051</v>
      </c>
      <c r="L156" s="121"/>
      <c r="M156" s="172"/>
      <c r="N156" s="93" t="s">
        <v>588</v>
      </c>
      <c r="O156" s="92" t="s">
        <v>589</v>
      </c>
      <c r="P156" s="88" t="s">
        <v>73</v>
      </c>
      <c r="Q156" s="88" t="s">
        <v>48</v>
      </c>
      <c r="R156" s="86">
        <v>7708955991</v>
      </c>
      <c r="S156" s="88" t="s">
        <v>799</v>
      </c>
      <c r="T156" s="94"/>
      <c r="U156" s="94" t="s">
        <v>119</v>
      </c>
      <c r="V156" s="94" t="s">
        <v>149</v>
      </c>
      <c r="W156" s="94"/>
      <c r="X156" s="94"/>
      <c r="Y156" s="131"/>
      <c r="Z156" s="131"/>
      <c r="AA156" s="131"/>
      <c r="AB156" s="131"/>
      <c r="AC156" s="131"/>
      <c r="AD156" s="127"/>
      <c r="AF156" s="121"/>
      <c r="AG156" s="121"/>
      <c r="AH156" s="121">
        <f>COUNTA('All Details for ACID Pastor'!$U156:$AB156)</f>
        <v>2</v>
      </c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63"/>
      <c r="AX156" s="163"/>
      <c r="AZ156" s="121" t="s">
        <v>49</v>
      </c>
      <c r="BA156" s="163"/>
      <c r="BB156" s="163"/>
      <c r="BC156" s="163"/>
      <c r="BF156" s="163">
        <f>COUNTA('All Details for ACID Pastor'!$T156:$AB156)</f>
        <v>2</v>
      </c>
    </row>
    <row r="157" spans="1:58" ht="70.150000000000006" customHeight="1">
      <c r="A157" s="107">
        <v>158</v>
      </c>
      <c r="B157" s="124" t="s">
        <v>1052</v>
      </c>
      <c r="C157" s="90" t="s">
        <v>1053</v>
      </c>
      <c r="D157" s="95" t="s">
        <v>53</v>
      </c>
      <c r="E157" s="95" t="s">
        <v>54</v>
      </c>
      <c r="F157" s="95"/>
      <c r="G157" s="95"/>
      <c r="H157" s="95"/>
      <c r="I157" s="95"/>
      <c r="J157" s="118"/>
      <c r="K157" s="193" t="s">
        <v>1054</v>
      </c>
      <c r="L157" s="121"/>
      <c r="M157" s="172" t="s">
        <v>1055</v>
      </c>
      <c r="N157" s="93" t="s">
        <v>1056</v>
      </c>
      <c r="O157" s="92" t="s">
        <v>1057</v>
      </c>
      <c r="P157" s="88" t="s">
        <v>626</v>
      </c>
      <c r="Q157" s="88" t="s">
        <v>626</v>
      </c>
      <c r="R157" s="86">
        <v>8056890825</v>
      </c>
      <c r="S157" s="88" t="s">
        <v>799</v>
      </c>
      <c r="T157" s="94"/>
      <c r="U157" s="140"/>
      <c r="V157" s="140"/>
      <c r="W157" s="140"/>
      <c r="X157" s="140"/>
      <c r="Y157" s="141"/>
      <c r="Z157" s="131"/>
      <c r="AA157" s="131"/>
      <c r="AB157" s="131"/>
      <c r="AC157" s="131"/>
      <c r="AD157" s="127"/>
      <c r="AF157" s="121"/>
      <c r="AG157" s="121"/>
      <c r="AH157" s="121">
        <f>COUNTA('All Details for ACID Pastor'!$U157:$AB157)</f>
        <v>0</v>
      </c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63"/>
      <c r="AX157" s="163"/>
      <c r="AZ157" s="121" t="s">
        <v>139</v>
      </c>
      <c r="BA157" s="163"/>
      <c r="BB157" s="163"/>
      <c r="BC157" s="163"/>
      <c r="BF157" s="163">
        <f>COUNTA('All Details for ACID Pastor'!$T157:$AB157)</f>
        <v>0</v>
      </c>
    </row>
    <row r="158" spans="1:58" ht="70.150000000000006" customHeight="1">
      <c r="A158" s="107">
        <v>159</v>
      </c>
      <c r="B158" s="124" t="s">
        <v>1058</v>
      </c>
      <c r="C158" s="90" t="s">
        <v>1059</v>
      </c>
      <c r="D158" s="95" t="s">
        <v>53</v>
      </c>
      <c r="E158" s="95" t="s">
        <v>54</v>
      </c>
      <c r="F158" s="95"/>
      <c r="G158" s="95"/>
      <c r="H158" s="95"/>
      <c r="I158" s="95"/>
      <c r="J158" s="115" t="s">
        <v>922</v>
      </c>
      <c r="K158" s="193" t="s">
        <v>1060</v>
      </c>
      <c r="L158" s="121"/>
      <c r="M158" s="172"/>
      <c r="N158" s="93" t="s">
        <v>1061</v>
      </c>
      <c r="O158" s="92" t="s">
        <v>1062</v>
      </c>
      <c r="P158" s="88" t="s">
        <v>626</v>
      </c>
      <c r="Q158" s="88" t="s">
        <v>626</v>
      </c>
      <c r="R158" s="86">
        <v>9600936933</v>
      </c>
      <c r="S158" s="88" t="s">
        <v>799</v>
      </c>
      <c r="T158" s="94"/>
      <c r="U158" s="140"/>
      <c r="V158" s="140"/>
      <c r="W158" s="140"/>
      <c r="X158" s="140"/>
      <c r="Y158" s="141"/>
      <c r="Z158" s="131"/>
      <c r="AA158" s="131"/>
      <c r="AB158" s="131"/>
      <c r="AC158" s="131"/>
      <c r="AD158" s="127"/>
      <c r="AF158" s="121"/>
      <c r="AG158" s="121"/>
      <c r="AH158" s="121">
        <f>COUNTA('All Details for ACID Pastor'!$U158:$AB158)</f>
        <v>0</v>
      </c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63"/>
      <c r="AX158" s="163"/>
      <c r="AZ158" s="121" t="s">
        <v>139</v>
      </c>
      <c r="BA158" s="163"/>
      <c r="BB158" s="163"/>
      <c r="BC158" s="163"/>
      <c r="BF158" s="163">
        <f>COUNTA('All Details for ACID Pastor'!$T158:$AB158)</f>
        <v>0</v>
      </c>
    </row>
    <row r="159" spans="1:58" ht="70.150000000000006" customHeight="1">
      <c r="A159" s="107">
        <v>160</v>
      </c>
      <c r="B159" s="124" t="s">
        <v>1063</v>
      </c>
      <c r="C159" s="90" t="s">
        <v>1064</v>
      </c>
      <c r="D159" s="95" t="s">
        <v>53</v>
      </c>
      <c r="E159" s="95" t="s">
        <v>54</v>
      </c>
      <c r="F159" s="95"/>
      <c r="G159" s="95"/>
      <c r="H159" s="95"/>
      <c r="I159" s="95"/>
      <c r="J159" s="115" t="s">
        <v>922</v>
      </c>
      <c r="K159" s="193" t="s">
        <v>1065</v>
      </c>
      <c r="L159" s="121"/>
      <c r="M159" s="172"/>
      <c r="N159" s="93" t="s">
        <v>1066</v>
      </c>
      <c r="O159" s="92" t="s">
        <v>1067</v>
      </c>
      <c r="P159" s="88" t="s">
        <v>626</v>
      </c>
      <c r="Q159" s="88" t="s">
        <v>626</v>
      </c>
      <c r="R159" s="86">
        <v>9894267408</v>
      </c>
      <c r="S159" s="88" t="s">
        <v>799</v>
      </c>
      <c r="T159" s="94"/>
      <c r="U159" s="140"/>
      <c r="V159" s="140"/>
      <c r="W159" s="140"/>
      <c r="X159" s="140"/>
      <c r="Y159" s="141"/>
      <c r="Z159" s="131"/>
      <c r="AA159" s="131"/>
      <c r="AB159" s="131"/>
      <c r="AC159" s="131"/>
      <c r="AD159" s="127"/>
      <c r="AF159" s="121"/>
      <c r="AG159" s="121"/>
      <c r="AH159" s="121">
        <f>COUNTA('All Details for ACID Pastor'!$U159:$AB159)</f>
        <v>0</v>
      </c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63"/>
      <c r="AX159" s="163"/>
      <c r="AZ159" s="121" t="s">
        <v>139</v>
      </c>
      <c r="BA159" s="163"/>
      <c r="BB159" s="163"/>
      <c r="BC159" s="163"/>
      <c r="BF159" s="163">
        <f>COUNTA('All Details for ACID Pastor'!$T159:$AB159)</f>
        <v>0</v>
      </c>
    </row>
    <row r="160" spans="1:58" ht="70.150000000000006" customHeight="1">
      <c r="A160" s="107">
        <v>161</v>
      </c>
      <c r="B160" s="124" t="s">
        <v>1068</v>
      </c>
      <c r="C160" s="90" t="s">
        <v>1069</v>
      </c>
      <c r="D160" s="95" t="s">
        <v>53</v>
      </c>
      <c r="E160" s="95" t="s">
        <v>54</v>
      </c>
      <c r="F160" s="95"/>
      <c r="G160" s="95"/>
      <c r="H160" s="95"/>
      <c r="I160" s="95"/>
      <c r="J160" s="115" t="s">
        <v>1070</v>
      </c>
      <c r="K160" s="193" t="s">
        <v>1071</v>
      </c>
      <c r="L160" s="121"/>
      <c r="M160" s="172" t="s">
        <v>1072</v>
      </c>
      <c r="N160" s="93" t="s">
        <v>1073</v>
      </c>
      <c r="O160" s="92" t="s">
        <v>1074</v>
      </c>
      <c r="P160" s="88" t="s">
        <v>1075</v>
      </c>
      <c r="Q160" s="88" t="s">
        <v>48</v>
      </c>
      <c r="R160" s="86">
        <v>9444467031</v>
      </c>
      <c r="S160" s="88" t="s">
        <v>1076</v>
      </c>
      <c r="T160" s="94"/>
      <c r="U160" s="140"/>
      <c r="V160" s="140"/>
      <c r="W160" s="140"/>
      <c r="X160" s="140"/>
      <c r="Y160" s="141"/>
      <c r="Z160" s="131"/>
      <c r="AA160" s="131"/>
      <c r="AB160" s="131"/>
      <c r="AC160" s="131"/>
      <c r="AD160" s="127"/>
      <c r="AF160" s="121"/>
      <c r="AG160" s="121"/>
      <c r="AH160" s="121"/>
      <c r="AI160" s="121">
        <f>COUNTA('All Details for ACID Pastor'!$U160:$AB160)</f>
        <v>0</v>
      </c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63"/>
      <c r="AX160" s="163"/>
      <c r="AZ160" s="121" t="s">
        <v>139</v>
      </c>
      <c r="BA160" s="163"/>
      <c r="BB160" s="163"/>
      <c r="BC160" s="163"/>
      <c r="BF160" s="163">
        <f>COUNTA('All Details for ACID Pastor'!$T160:$AB160)</f>
        <v>0</v>
      </c>
    </row>
    <row r="161" spans="1:74" ht="70.150000000000006" customHeight="1">
      <c r="A161" s="107">
        <v>162</v>
      </c>
      <c r="B161" s="124" t="s">
        <v>1077</v>
      </c>
      <c r="C161" s="90" t="s">
        <v>1078</v>
      </c>
      <c r="D161" s="95" t="s">
        <v>53</v>
      </c>
      <c r="E161" s="95" t="s">
        <v>54</v>
      </c>
      <c r="F161" s="95"/>
      <c r="G161" s="95"/>
      <c r="H161" s="95"/>
      <c r="I161" s="95"/>
      <c r="J161" s="115" t="s">
        <v>1079</v>
      </c>
      <c r="K161" s="193" t="s">
        <v>1080</v>
      </c>
      <c r="L161" s="121"/>
      <c r="M161" s="172"/>
      <c r="N161" s="93" t="s">
        <v>1081</v>
      </c>
      <c r="O161" s="92" t="s">
        <v>1082</v>
      </c>
      <c r="P161" s="88" t="s">
        <v>47</v>
      </c>
      <c r="Q161" s="88" t="s">
        <v>48</v>
      </c>
      <c r="R161" s="86">
        <v>9788230904</v>
      </c>
      <c r="S161" s="88" t="s">
        <v>1076</v>
      </c>
      <c r="T161" s="94"/>
      <c r="U161" s="140"/>
      <c r="V161" s="140"/>
      <c r="W161" s="140"/>
      <c r="X161" s="140"/>
      <c r="Y161" s="141"/>
      <c r="Z161" s="131"/>
      <c r="AA161" s="131"/>
      <c r="AB161" s="131"/>
      <c r="AC161" s="131"/>
      <c r="AD161" s="127"/>
      <c r="AE161" s="244"/>
      <c r="AF161" s="121"/>
      <c r="AG161" s="121"/>
      <c r="AH161" s="121"/>
      <c r="AI161" s="121">
        <f>COUNTA('All Details for ACID Pastor'!$U161:$AB161)</f>
        <v>0</v>
      </c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63"/>
      <c r="AX161" s="163"/>
      <c r="AZ161" s="121" t="s">
        <v>139</v>
      </c>
      <c r="BA161" s="163"/>
      <c r="BB161" s="163"/>
      <c r="BC161" s="163"/>
      <c r="BF161" s="163">
        <f>COUNTA('All Details for ACID Pastor'!$T161:$AB161)</f>
        <v>0</v>
      </c>
    </row>
    <row r="162" spans="1:74" s="174" customFormat="1" ht="70.150000000000006" customHeight="1">
      <c r="A162" s="103">
        <v>163</v>
      </c>
      <c r="B162" s="132" t="s">
        <v>1083</v>
      </c>
      <c r="C162" s="101" t="s">
        <v>1084</v>
      </c>
      <c r="D162" s="102" t="s">
        <v>53</v>
      </c>
      <c r="E162" s="102" t="s">
        <v>54</v>
      </c>
      <c r="F162" s="95"/>
      <c r="G162" s="95"/>
      <c r="H162" s="95"/>
      <c r="I162" s="95"/>
      <c r="J162" s="133" t="s">
        <v>661</v>
      </c>
      <c r="K162" s="256" t="s">
        <v>1085</v>
      </c>
      <c r="L162" s="232"/>
      <c r="M162" s="171" t="s">
        <v>1086</v>
      </c>
      <c r="N162" s="104" t="s">
        <v>1087</v>
      </c>
      <c r="O162" s="105" t="s">
        <v>1088</v>
      </c>
      <c r="P162" s="106" t="s">
        <v>666</v>
      </c>
      <c r="Q162" s="106" t="s">
        <v>667</v>
      </c>
      <c r="R162" s="134">
        <v>9741420375</v>
      </c>
      <c r="S162" s="106" t="s">
        <v>1076</v>
      </c>
      <c r="T162" s="135"/>
      <c r="U162" s="176"/>
      <c r="V162" s="176"/>
      <c r="W162" s="176"/>
      <c r="X162" s="176"/>
      <c r="Y162" s="145"/>
      <c r="Z162" s="136"/>
      <c r="AA162" s="136"/>
      <c r="AB162" s="136"/>
      <c r="AC162" s="136"/>
      <c r="AD162" s="222"/>
      <c r="AE162" s="240"/>
      <c r="AF162" s="232"/>
      <c r="AG162" s="232"/>
      <c r="AH162" s="232"/>
      <c r="AI162" s="232">
        <f>COUNTA('All Details for ACID Pastor'!$U162:$AB162)</f>
        <v>0</v>
      </c>
      <c r="AJ162" s="232"/>
      <c r="AK162" s="232"/>
      <c r="AL162" s="232"/>
      <c r="AM162" s="232"/>
      <c r="AN162" s="232"/>
      <c r="AO162" s="232"/>
      <c r="AP162" s="232"/>
      <c r="AQ162" s="232"/>
      <c r="AR162" s="232"/>
      <c r="AS162" s="232"/>
      <c r="AT162" s="232"/>
      <c r="AU162" s="232"/>
      <c r="AV162" s="232"/>
      <c r="AW162" s="233"/>
      <c r="AX162" s="233"/>
      <c r="AY162" s="244"/>
      <c r="AZ162" s="232" t="s">
        <v>139</v>
      </c>
      <c r="BA162" s="233"/>
      <c r="BB162" s="233"/>
      <c r="BC162" s="233"/>
      <c r="BD162" s="244"/>
      <c r="BE162" s="277"/>
      <c r="BF162" s="233">
        <f>COUNTA('All Details for ACID Pastor'!$T162:$AB162)</f>
        <v>0</v>
      </c>
      <c r="BG162" s="249"/>
      <c r="BH162" s="249"/>
      <c r="BI162" s="249"/>
      <c r="BJ162" s="249"/>
      <c r="BK162" s="249"/>
      <c r="BL162" s="249"/>
      <c r="BM162" s="249"/>
      <c r="BN162" s="249"/>
      <c r="BO162" s="249"/>
      <c r="BP162" s="249"/>
      <c r="BQ162" s="249"/>
      <c r="BR162" s="249"/>
      <c r="BS162" s="249"/>
      <c r="BT162" s="249"/>
      <c r="BU162" s="249"/>
      <c r="BV162" s="249"/>
    </row>
    <row r="163" spans="1:74" ht="70.150000000000006" customHeight="1">
      <c r="A163" s="107">
        <v>164</v>
      </c>
      <c r="B163" s="124" t="s">
        <v>1089</v>
      </c>
      <c r="C163" s="90" t="s">
        <v>1090</v>
      </c>
      <c r="D163" s="95" t="s">
        <v>53</v>
      </c>
      <c r="E163" s="95" t="s">
        <v>54</v>
      </c>
      <c r="F163" s="95"/>
      <c r="G163" s="95"/>
      <c r="H163" s="95"/>
      <c r="I163" s="95"/>
      <c r="J163" s="115" t="s">
        <v>814</v>
      </c>
      <c r="K163" s="193" t="s">
        <v>1091</v>
      </c>
      <c r="L163" s="121"/>
      <c r="M163" s="172"/>
      <c r="N163" s="93" t="s">
        <v>1092</v>
      </c>
      <c r="O163" s="92" t="s">
        <v>1093</v>
      </c>
      <c r="P163" s="88" t="s">
        <v>503</v>
      </c>
      <c r="Q163" s="88" t="s">
        <v>48</v>
      </c>
      <c r="R163" s="86">
        <v>9952873274</v>
      </c>
      <c r="S163" s="88" t="s">
        <v>1076</v>
      </c>
      <c r="T163" s="94"/>
      <c r="U163" s="140"/>
      <c r="V163" s="140"/>
      <c r="W163" s="140"/>
      <c r="X163" s="140"/>
      <c r="Y163" s="141"/>
      <c r="Z163" s="131"/>
      <c r="AA163" s="131"/>
      <c r="AB163" s="131"/>
      <c r="AC163" s="131"/>
      <c r="AD163" s="127"/>
      <c r="AF163" s="121"/>
      <c r="AG163" s="121"/>
      <c r="AH163" s="121"/>
      <c r="AI163" s="121">
        <f>COUNTA('All Details for ACID Pastor'!$U163:$AB163)</f>
        <v>0</v>
      </c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63"/>
      <c r="AX163" s="163"/>
      <c r="AZ163" s="121" t="s">
        <v>139</v>
      </c>
      <c r="BA163" s="163"/>
      <c r="BB163" s="163"/>
      <c r="BC163" s="163"/>
      <c r="BF163" s="163">
        <f>COUNTA('All Details for ACID Pastor'!$T163:$AB163)</f>
        <v>0</v>
      </c>
    </row>
    <row r="164" spans="1:74" ht="70.150000000000006" customHeight="1">
      <c r="A164" s="107">
        <v>165</v>
      </c>
      <c r="B164" s="124" t="s">
        <v>1094</v>
      </c>
      <c r="C164" s="90" t="s">
        <v>1095</v>
      </c>
      <c r="D164" s="95" t="s">
        <v>53</v>
      </c>
      <c r="E164" s="95" t="s">
        <v>54</v>
      </c>
      <c r="F164" s="95"/>
      <c r="G164" s="95"/>
      <c r="H164" s="95"/>
      <c r="I164" s="95"/>
      <c r="J164" s="115" t="s">
        <v>922</v>
      </c>
      <c r="K164" s="193" t="s">
        <v>1096</v>
      </c>
      <c r="L164" s="121"/>
      <c r="M164" s="172"/>
      <c r="N164" s="93" t="s">
        <v>1097</v>
      </c>
      <c r="O164" s="92" t="s">
        <v>1098</v>
      </c>
      <c r="P164" s="88" t="s">
        <v>86</v>
      </c>
      <c r="Q164" s="88" t="s">
        <v>48</v>
      </c>
      <c r="R164" s="86">
        <v>9894012358</v>
      </c>
      <c r="S164" s="88" t="s">
        <v>1076</v>
      </c>
      <c r="T164" s="94"/>
      <c r="U164" s="140"/>
      <c r="V164" s="140"/>
      <c r="W164" s="140"/>
      <c r="X164" s="140"/>
      <c r="Y164" s="141"/>
      <c r="Z164" s="131"/>
      <c r="AA164" s="131"/>
      <c r="AB164" s="131"/>
      <c r="AC164" s="131"/>
      <c r="AD164" s="127"/>
      <c r="AF164" s="121"/>
      <c r="AG164" s="121"/>
      <c r="AH164" s="121"/>
      <c r="AI164" s="121">
        <f>COUNTA('All Details for ACID Pastor'!$U164:$AB164)</f>
        <v>0</v>
      </c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63"/>
      <c r="AX164" s="163"/>
      <c r="AZ164" s="121" t="s">
        <v>139</v>
      </c>
      <c r="BA164" s="163"/>
      <c r="BB164" s="163"/>
      <c r="BC164" s="163"/>
      <c r="BF164" s="163">
        <f>COUNTA('All Details for ACID Pastor'!$T164:$AB164)</f>
        <v>0</v>
      </c>
    </row>
    <row r="165" spans="1:74" ht="70.150000000000006" customHeight="1">
      <c r="A165" s="103">
        <v>166</v>
      </c>
      <c r="B165" s="132" t="s">
        <v>1099</v>
      </c>
      <c r="C165" s="101" t="s">
        <v>1100</v>
      </c>
      <c r="D165" s="102"/>
      <c r="E165" s="102" t="s">
        <v>54</v>
      </c>
      <c r="F165" s="95"/>
      <c r="G165" s="95"/>
      <c r="H165" s="95"/>
      <c r="I165" s="95"/>
      <c r="J165" s="133"/>
      <c r="K165" s="256"/>
      <c r="L165" s="232"/>
      <c r="M165" s="171"/>
      <c r="N165" s="104" t="s">
        <v>1101</v>
      </c>
      <c r="O165" s="105"/>
      <c r="P165" s="106" t="s">
        <v>1102</v>
      </c>
      <c r="Q165" s="106"/>
      <c r="R165" s="134">
        <v>9543519573</v>
      </c>
      <c r="S165" s="106" t="s">
        <v>1076</v>
      </c>
      <c r="T165" s="135"/>
      <c r="U165" s="144" t="s">
        <v>119</v>
      </c>
      <c r="V165" s="144" t="s">
        <v>1103</v>
      </c>
      <c r="W165" s="144" t="s">
        <v>1104</v>
      </c>
      <c r="X165" s="144" t="s">
        <v>1105</v>
      </c>
      <c r="Y165" s="145"/>
      <c r="Z165" s="136"/>
      <c r="AA165" s="136"/>
      <c r="AB165" s="136"/>
      <c r="AC165" s="136"/>
      <c r="AD165" s="222"/>
      <c r="AE165" s="244"/>
      <c r="AF165" s="232"/>
      <c r="AG165" s="232"/>
      <c r="AH165" s="232"/>
      <c r="AI165" s="232">
        <f>COUNTA('All Details for ACID Pastor'!$U165:$AB165)</f>
        <v>4</v>
      </c>
      <c r="AJ165" s="232"/>
      <c r="AK165" s="232"/>
      <c r="AL165" s="232"/>
      <c r="AM165" s="232"/>
      <c r="AN165" s="232"/>
      <c r="AO165" s="232"/>
      <c r="AP165" s="232"/>
      <c r="AQ165" s="232"/>
      <c r="AR165" s="232"/>
      <c r="AS165" s="232"/>
      <c r="AT165" s="232"/>
      <c r="AU165" s="232"/>
      <c r="AV165" s="232"/>
      <c r="AW165" s="233"/>
      <c r="AX165" s="233"/>
      <c r="AZ165" s="232" t="s">
        <v>65</v>
      </c>
      <c r="BA165" s="233"/>
      <c r="BB165" s="233"/>
      <c r="BC165" s="233"/>
      <c r="BF165" s="233">
        <f>COUNTA('All Details for ACID Pastor'!$T165:$AB165)</f>
        <v>4</v>
      </c>
    </row>
    <row r="166" spans="1:74" s="174" customFormat="1" ht="70.150000000000006" customHeight="1">
      <c r="A166" s="103">
        <v>167</v>
      </c>
      <c r="B166" s="132" t="s">
        <v>1106</v>
      </c>
      <c r="C166" s="101" t="s">
        <v>1107</v>
      </c>
      <c r="D166" s="102" t="s">
        <v>53</v>
      </c>
      <c r="E166" s="102" t="s">
        <v>54</v>
      </c>
      <c r="F166" s="95"/>
      <c r="G166" s="95"/>
      <c r="H166" s="95"/>
      <c r="I166" s="95"/>
      <c r="J166" s="175"/>
      <c r="K166" s="256" t="s">
        <v>1108</v>
      </c>
      <c r="L166" s="232" t="s">
        <v>4209</v>
      </c>
      <c r="M166" s="171" t="s">
        <v>1109</v>
      </c>
      <c r="N166" s="104" t="s">
        <v>1110</v>
      </c>
      <c r="O166" s="105" t="s">
        <v>1111</v>
      </c>
      <c r="P166" s="106" t="s">
        <v>1102</v>
      </c>
      <c r="Q166" s="106" t="s">
        <v>48</v>
      </c>
      <c r="R166" s="134">
        <v>8608230475</v>
      </c>
      <c r="S166" s="106" t="s">
        <v>1076</v>
      </c>
      <c r="T166" s="135"/>
      <c r="U166" s="144" t="s">
        <v>119</v>
      </c>
      <c r="V166" s="144" t="s">
        <v>295</v>
      </c>
      <c r="W166" s="176"/>
      <c r="X166" s="176"/>
      <c r="Y166" s="145"/>
      <c r="Z166" s="136"/>
      <c r="AA166" s="136"/>
      <c r="AB166" s="136"/>
      <c r="AC166" s="136"/>
      <c r="AD166" s="222"/>
      <c r="AE166" s="244"/>
      <c r="AF166" s="232"/>
      <c r="AG166" s="232"/>
      <c r="AH166" s="232"/>
      <c r="AI166" s="232">
        <f>COUNTA('All Details for ACID Pastor'!$U166:$AB166)</f>
        <v>2</v>
      </c>
      <c r="AJ166" s="232"/>
      <c r="AK166" s="232"/>
      <c r="AL166" s="232"/>
      <c r="AM166" s="232"/>
      <c r="AN166" s="232"/>
      <c r="AO166" s="232"/>
      <c r="AP166" s="232"/>
      <c r="AQ166" s="232"/>
      <c r="AR166" s="232"/>
      <c r="AS166" s="232"/>
      <c r="AT166" s="232"/>
      <c r="AU166" s="232"/>
      <c r="AV166" s="232"/>
      <c r="AW166" s="233"/>
      <c r="AX166" s="233"/>
      <c r="AY166" s="244"/>
      <c r="AZ166" s="232" t="s">
        <v>139</v>
      </c>
      <c r="BA166" s="233"/>
      <c r="BB166" s="233"/>
      <c r="BC166" s="233"/>
      <c r="BD166" s="244"/>
      <c r="BE166" s="277"/>
      <c r="BF166" s="233">
        <f>COUNTA('All Details for ACID Pastor'!$T166:$AB166)</f>
        <v>2</v>
      </c>
      <c r="BG166" s="249"/>
      <c r="BH166" s="249"/>
      <c r="BI166" s="249"/>
      <c r="BJ166" s="249"/>
      <c r="BK166" s="249"/>
      <c r="BL166" s="249"/>
      <c r="BM166" s="249"/>
      <c r="BN166" s="249"/>
      <c r="BO166" s="249"/>
      <c r="BP166" s="249"/>
      <c r="BQ166" s="249"/>
      <c r="BR166" s="249"/>
      <c r="BS166" s="249"/>
      <c r="BT166" s="249"/>
      <c r="BU166" s="249"/>
      <c r="BV166" s="249"/>
    </row>
    <row r="167" spans="1:74" s="174" customFormat="1" ht="70.150000000000006" customHeight="1">
      <c r="A167" s="103">
        <v>168</v>
      </c>
      <c r="B167" s="132" t="s">
        <v>1112</v>
      </c>
      <c r="C167" s="101" t="s">
        <v>1113</v>
      </c>
      <c r="D167" s="102" t="s">
        <v>53</v>
      </c>
      <c r="E167" s="102" t="s">
        <v>160</v>
      </c>
      <c r="F167" s="95"/>
      <c r="G167" s="95"/>
      <c r="H167" s="95"/>
      <c r="I167" s="95"/>
      <c r="J167" s="175"/>
      <c r="K167" s="256" t="s">
        <v>1114</v>
      </c>
      <c r="L167" s="232" t="s">
        <v>4201</v>
      </c>
      <c r="M167" s="171"/>
      <c r="N167" s="104" t="s">
        <v>1115</v>
      </c>
      <c r="O167" s="105" t="s">
        <v>1116</v>
      </c>
      <c r="P167" s="106" t="s">
        <v>1102</v>
      </c>
      <c r="Q167" s="106" t="s">
        <v>48</v>
      </c>
      <c r="R167" s="134">
        <v>9842483336</v>
      </c>
      <c r="S167" s="106" t="s">
        <v>1076</v>
      </c>
      <c r="T167" s="135"/>
      <c r="U167" s="176"/>
      <c r="V167" s="176"/>
      <c r="W167" s="176"/>
      <c r="X167" s="176"/>
      <c r="Y167" s="145"/>
      <c r="Z167" s="136"/>
      <c r="AA167" s="136"/>
      <c r="AB167" s="136"/>
      <c r="AC167" s="136"/>
      <c r="AD167" s="222"/>
      <c r="AE167" s="244"/>
      <c r="AF167" s="232"/>
      <c r="AG167" s="232"/>
      <c r="AH167" s="232"/>
      <c r="AI167" s="232">
        <f>COUNTA('All Details for ACID Pastor'!$U167:$AB167)</f>
        <v>0</v>
      </c>
      <c r="AJ167" s="232"/>
      <c r="AK167" s="232"/>
      <c r="AL167" s="232"/>
      <c r="AM167" s="232"/>
      <c r="AN167" s="232"/>
      <c r="AO167" s="232"/>
      <c r="AP167" s="232"/>
      <c r="AQ167" s="232"/>
      <c r="AR167" s="232"/>
      <c r="AS167" s="232"/>
      <c r="AT167" s="232"/>
      <c r="AU167" s="232"/>
      <c r="AV167" s="232"/>
      <c r="AW167" s="233"/>
      <c r="AX167" s="233"/>
      <c r="AY167" s="244"/>
      <c r="AZ167" s="232" t="s">
        <v>139</v>
      </c>
      <c r="BA167" s="233"/>
      <c r="BB167" s="233"/>
      <c r="BC167" s="233"/>
      <c r="BD167" s="244"/>
      <c r="BE167" s="277"/>
      <c r="BF167" s="233">
        <f>COUNTA('All Details for ACID Pastor'!$T167:$AB167)</f>
        <v>0</v>
      </c>
      <c r="BG167" s="249"/>
      <c r="BH167" s="249"/>
      <c r="BI167" s="249"/>
      <c r="BJ167" s="249"/>
      <c r="BK167" s="249"/>
      <c r="BL167" s="249"/>
      <c r="BM167" s="249"/>
      <c r="BN167" s="249"/>
      <c r="BO167" s="249"/>
      <c r="BP167" s="249"/>
      <c r="BQ167" s="249"/>
      <c r="BR167" s="249"/>
      <c r="BS167" s="249"/>
      <c r="BT167" s="249"/>
      <c r="BU167" s="249"/>
      <c r="BV167" s="249"/>
    </row>
    <row r="168" spans="1:74" s="174" customFormat="1" ht="70.150000000000006" customHeight="1">
      <c r="A168" s="103">
        <v>169</v>
      </c>
      <c r="B168" s="132" t="s">
        <v>1117</v>
      </c>
      <c r="C168" s="101" t="s">
        <v>1118</v>
      </c>
      <c r="D168" s="102" t="s">
        <v>53</v>
      </c>
      <c r="E168" s="102" t="s">
        <v>54</v>
      </c>
      <c r="F168" s="95"/>
      <c r="G168" s="95"/>
      <c r="H168" s="95"/>
      <c r="I168" s="95"/>
      <c r="J168" s="175"/>
      <c r="K168" s="256" t="s">
        <v>1119</v>
      </c>
      <c r="L168" s="232" t="s">
        <v>4209</v>
      </c>
      <c r="M168" s="171"/>
      <c r="N168" s="104" t="s">
        <v>1115</v>
      </c>
      <c r="O168" s="105" t="s">
        <v>1116</v>
      </c>
      <c r="P168" s="106" t="s">
        <v>1102</v>
      </c>
      <c r="Q168" s="106" t="s">
        <v>48</v>
      </c>
      <c r="R168" s="134">
        <v>9842483336</v>
      </c>
      <c r="S168" s="106" t="s">
        <v>1076</v>
      </c>
      <c r="T168" s="135"/>
      <c r="U168" s="176"/>
      <c r="V168" s="176"/>
      <c r="W168" s="176"/>
      <c r="X168" s="176"/>
      <c r="Y168" s="145"/>
      <c r="Z168" s="136"/>
      <c r="AA168" s="136"/>
      <c r="AB168" s="136"/>
      <c r="AC168" s="136"/>
      <c r="AD168" s="222"/>
      <c r="AE168" s="244"/>
      <c r="AF168" s="232"/>
      <c r="AG168" s="232"/>
      <c r="AH168" s="232"/>
      <c r="AI168" s="232">
        <f>COUNTA('All Details for ACID Pastor'!$U168:$AB168)</f>
        <v>0</v>
      </c>
      <c r="AJ168" s="232"/>
      <c r="AK168" s="232"/>
      <c r="AL168" s="232"/>
      <c r="AM168" s="232"/>
      <c r="AN168" s="232"/>
      <c r="AO168" s="232"/>
      <c r="AP168" s="232"/>
      <c r="AQ168" s="232"/>
      <c r="AR168" s="232"/>
      <c r="AS168" s="232"/>
      <c r="AT168" s="232"/>
      <c r="AU168" s="232"/>
      <c r="AV168" s="232"/>
      <c r="AW168" s="233"/>
      <c r="AX168" s="233"/>
      <c r="AY168" s="244"/>
      <c r="AZ168" s="232" t="s">
        <v>139</v>
      </c>
      <c r="BA168" s="233"/>
      <c r="BB168" s="233"/>
      <c r="BC168" s="233"/>
      <c r="BD168" s="244"/>
      <c r="BE168" s="277"/>
      <c r="BF168" s="233">
        <f>COUNTA('All Details for ACID Pastor'!$T168:$AB168)</f>
        <v>0</v>
      </c>
      <c r="BG168" s="249"/>
      <c r="BH168" s="249"/>
      <c r="BI168" s="249"/>
      <c r="BJ168" s="249"/>
      <c r="BK168" s="249"/>
      <c r="BL168" s="249"/>
      <c r="BM168" s="249"/>
      <c r="BN168" s="249"/>
      <c r="BO168" s="249"/>
      <c r="BP168" s="249"/>
      <c r="BQ168" s="249"/>
      <c r="BR168" s="249"/>
      <c r="BS168" s="249"/>
      <c r="BT168" s="249"/>
      <c r="BU168" s="249"/>
      <c r="BV168" s="249"/>
    </row>
    <row r="169" spans="1:74" s="174" customFormat="1" ht="70.150000000000006" customHeight="1">
      <c r="A169" s="103">
        <v>170</v>
      </c>
      <c r="B169" s="132" t="s">
        <v>1120</v>
      </c>
      <c r="C169" s="101" t="s">
        <v>1121</v>
      </c>
      <c r="D169" s="102" t="s">
        <v>53</v>
      </c>
      <c r="E169" s="102" t="s">
        <v>54</v>
      </c>
      <c r="F169" s="95"/>
      <c r="G169" s="95"/>
      <c r="H169" s="95"/>
      <c r="I169" s="95"/>
      <c r="J169" s="175"/>
      <c r="K169" s="256" t="s">
        <v>1122</v>
      </c>
      <c r="L169" s="232" t="s">
        <v>4201</v>
      </c>
      <c r="M169" s="171"/>
      <c r="N169" s="104" t="s">
        <v>1123</v>
      </c>
      <c r="O169" s="105" t="s">
        <v>1124</v>
      </c>
      <c r="P169" s="106" t="s">
        <v>1102</v>
      </c>
      <c r="Q169" s="106" t="s">
        <v>48</v>
      </c>
      <c r="R169" s="134">
        <v>9543519573</v>
      </c>
      <c r="S169" s="106" t="s">
        <v>1076</v>
      </c>
      <c r="T169" s="135"/>
      <c r="U169" s="144" t="s">
        <v>119</v>
      </c>
      <c r="V169" s="144" t="s">
        <v>1103</v>
      </c>
      <c r="W169" s="144" t="s">
        <v>1125</v>
      </c>
      <c r="X169" s="144" t="s">
        <v>1105</v>
      </c>
      <c r="Y169" s="145"/>
      <c r="Z169" s="136"/>
      <c r="AA169" s="136"/>
      <c r="AB169" s="136"/>
      <c r="AC169" s="136"/>
      <c r="AD169" s="222"/>
      <c r="AE169" s="240"/>
      <c r="AF169" s="232"/>
      <c r="AG169" s="232"/>
      <c r="AH169" s="232"/>
      <c r="AI169" s="232">
        <f>COUNTA('All Details for ACID Pastor'!$U169:$AB169)</f>
        <v>4</v>
      </c>
      <c r="AJ169" s="232"/>
      <c r="AK169" s="232"/>
      <c r="AL169" s="232"/>
      <c r="AM169" s="232"/>
      <c r="AN169" s="232"/>
      <c r="AO169" s="232"/>
      <c r="AP169" s="232"/>
      <c r="AQ169" s="232"/>
      <c r="AR169" s="232"/>
      <c r="AS169" s="232"/>
      <c r="AT169" s="232"/>
      <c r="AU169" s="232"/>
      <c r="AV169" s="232"/>
      <c r="AW169" s="233"/>
      <c r="AX169" s="233"/>
      <c r="AY169" s="244"/>
      <c r="AZ169" s="232" t="s">
        <v>139</v>
      </c>
      <c r="BA169" s="233"/>
      <c r="BB169" s="233"/>
      <c r="BC169" s="233"/>
      <c r="BD169" s="244"/>
      <c r="BE169" s="277"/>
      <c r="BF169" s="233">
        <f>COUNTA('All Details for ACID Pastor'!$T169:$AB169)</f>
        <v>4</v>
      </c>
      <c r="BG169" s="249"/>
      <c r="BH169" s="249"/>
      <c r="BI169" s="249"/>
      <c r="BJ169" s="249"/>
      <c r="BK169" s="249"/>
      <c r="BL169" s="249"/>
      <c r="BM169" s="249"/>
      <c r="BN169" s="249"/>
      <c r="BO169" s="249"/>
      <c r="BP169" s="249"/>
      <c r="BQ169" s="249"/>
      <c r="BR169" s="249"/>
      <c r="BS169" s="249"/>
      <c r="BT169" s="249"/>
      <c r="BU169" s="249"/>
      <c r="BV169" s="249"/>
    </row>
    <row r="170" spans="1:74" ht="70.150000000000006" customHeight="1">
      <c r="A170" s="107">
        <v>171</v>
      </c>
      <c r="B170" s="124" t="s">
        <v>1126</v>
      </c>
      <c r="C170" s="90" t="s">
        <v>1127</v>
      </c>
      <c r="D170" s="95" t="s">
        <v>53</v>
      </c>
      <c r="E170" s="95" t="s">
        <v>54</v>
      </c>
      <c r="F170" s="95"/>
      <c r="G170" s="95"/>
      <c r="H170" s="95"/>
      <c r="I170" s="95"/>
      <c r="J170" s="115" t="s">
        <v>1128</v>
      </c>
      <c r="K170" s="193" t="s">
        <v>1129</v>
      </c>
      <c r="L170" s="121"/>
      <c r="M170" s="172"/>
      <c r="N170" s="93" t="s">
        <v>1130</v>
      </c>
      <c r="O170" s="92" t="s">
        <v>1131</v>
      </c>
      <c r="P170" s="88" t="s">
        <v>94</v>
      </c>
      <c r="Q170" s="88" t="s">
        <v>48</v>
      </c>
      <c r="R170" s="86">
        <v>9865147116</v>
      </c>
      <c r="S170" s="88" t="s">
        <v>1076</v>
      </c>
      <c r="T170" s="94"/>
      <c r="U170" s="125" t="s">
        <v>295</v>
      </c>
      <c r="V170" s="140"/>
      <c r="W170" s="140"/>
      <c r="X170" s="140"/>
      <c r="Y170" s="141"/>
      <c r="Z170" s="131"/>
      <c r="AA170" s="131"/>
      <c r="AB170" s="131"/>
      <c r="AC170" s="131"/>
      <c r="AD170" s="127"/>
      <c r="AF170" s="121"/>
      <c r="AG170" s="121"/>
      <c r="AH170" s="121"/>
      <c r="AI170" s="121">
        <f>COUNTA('All Details for ACID Pastor'!$U170:$AB170)</f>
        <v>1</v>
      </c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63"/>
      <c r="AX170" s="163"/>
      <c r="AZ170" s="121" t="s">
        <v>100</v>
      </c>
      <c r="BA170" s="163"/>
      <c r="BB170" s="163"/>
      <c r="BC170" s="163"/>
      <c r="BF170" s="163">
        <f>COUNTA('All Details for ACID Pastor'!$T170:$AB170)</f>
        <v>1</v>
      </c>
    </row>
    <row r="171" spans="1:74" ht="70.150000000000006" customHeight="1">
      <c r="A171" s="107">
        <v>172</v>
      </c>
      <c r="B171" s="124" t="s">
        <v>1132</v>
      </c>
      <c r="C171" s="90" t="s">
        <v>1133</v>
      </c>
      <c r="D171" s="95" t="s">
        <v>53</v>
      </c>
      <c r="E171" s="95" t="s">
        <v>54</v>
      </c>
      <c r="F171" s="95"/>
      <c r="G171" s="95"/>
      <c r="H171" s="95"/>
      <c r="I171" s="95"/>
      <c r="J171" s="115" t="s">
        <v>1134</v>
      </c>
      <c r="K171" s="193" t="s">
        <v>1135</v>
      </c>
      <c r="L171" s="121"/>
      <c r="M171" s="172"/>
      <c r="N171" s="93" t="s">
        <v>1136</v>
      </c>
      <c r="O171" s="92" t="s">
        <v>1137</v>
      </c>
      <c r="P171" s="88" t="s">
        <v>94</v>
      </c>
      <c r="Q171" s="88" t="s">
        <v>48</v>
      </c>
      <c r="R171" s="86">
        <v>9788930709</v>
      </c>
      <c r="S171" s="88" t="s">
        <v>1076</v>
      </c>
      <c r="T171" s="94"/>
      <c r="U171" s="125">
        <v>1610.2014999999999</v>
      </c>
      <c r="V171" s="140"/>
      <c r="W171" s="140"/>
      <c r="X171" s="140"/>
      <c r="Y171" s="141"/>
      <c r="Z171" s="131"/>
      <c r="AA171" s="131"/>
      <c r="AB171" s="131"/>
      <c r="AC171" s="131"/>
      <c r="AD171" s="127"/>
      <c r="AE171" s="244"/>
      <c r="AF171" s="121"/>
      <c r="AG171" s="121"/>
      <c r="AH171" s="121"/>
      <c r="AI171" s="121">
        <f>COUNTA('All Details for ACID Pastor'!$U171:$AB171)</f>
        <v>1</v>
      </c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63"/>
      <c r="AX171" s="163"/>
      <c r="AZ171" s="121" t="s">
        <v>100</v>
      </c>
      <c r="BA171" s="163"/>
      <c r="BB171" s="163"/>
      <c r="BC171" s="163"/>
      <c r="BF171" s="163">
        <f>COUNTA('All Details for ACID Pastor'!$T171:$AB171)</f>
        <v>1</v>
      </c>
    </row>
    <row r="172" spans="1:74" s="174" customFormat="1" ht="70.150000000000006" customHeight="1">
      <c r="A172" s="103">
        <v>173</v>
      </c>
      <c r="B172" s="132" t="s">
        <v>1138</v>
      </c>
      <c r="C172" s="101" t="s">
        <v>1139</v>
      </c>
      <c r="D172" s="102" t="s">
        <v>53</v>
      </c>
      <c r="E172" s="102" t="s">
        <v>54</v>
      </c>
      <c r="F172" s="95"/>
      <c r="G172" s="95"/>
      <c r="H172" s="95"/>
      <c r="I172" s="95"/>
      <c r="J172" s="133" t="s">
        <v>1140</v>
      </c>
      <c r="K172" s="256" t="s">
        <v>1141</v>
      </c>
      <c r="L172" s="232" t="s">
        <v>4209</v>
      </c>
      <c r="M172" s="171"/>
      <c r="N172" s="104" t="s">
        <v>1142</v>
      </c>
      <c r="O172" s="105" t="s">
        <v>1143</v>
      </c>
      <c r="P172" s="106" t="s">
        <v>1102</v>
      </c>
      <c r="Q172" s="106" t="s">
        <v>48</v>
      </c>
      <c r="R172" s="134">
        <v>9486546047</v>
      </c>
      <c r="S172" s="106" t="s">
        <v>1076</v>
      </c>
      <c r="T172" s="135"/>
      <c r="U172" s="176"/>
      <c r="V172" s="176"/>
      <c r="W172" s="176"/>
      <c r="X172" s="176"/>
      <c r="Y172" s="145"/>
      <c r="Z172" s="136"/>
      <c r="AA172" s="136"/>
      <c r="AB172" s="136"/>
      <c r="AC172" s="136"/>
      <c r="AD172" s="222"/>
      <c r="AE172" s="244"/>
      <c r="AF172" s="232"/>
      <c r="AG172" s="232"/>
      <c r="AH172" s="232"/>
      <c r="AI172" s="232">
        <f>COUNTA('All Details for ACID Pastor'!$U172:$AB172)</f>
        <v>0</v>
      </c>
      <c r="AJ172" s="232"/>
      <c r="AK172" s="232"/>
      <c r="AL172" s="232"/>
      <c r="AM172" s="232"/>
      <c r="AN172" s="232"/>
      <c r="AO172" s="232"/>
      <c r="AP172" s="232"/>
      <c r="AQ172" s="232"/>
      <c r="AR172" s="232"/>
      <c r="AS172" s="232"/>
      <c r="AT172" s="232"/>
      <c r="AU172" s="232"/>
      <c r="AV172" s="232"/>
      <c r="AW172" s="233"/>
      <c r="AX172" s="233"/>
      <c r="AY172" s="244"/>
      <c r="AZ172" s="232" t="s">
        <v>139</v>
      </c>
      <c r="BA172" s="233"/>
      <c r="BB172" s="233"/>
      <c r="BC172" s="233"/>
      <c r="BD172" s="244"/>
      <c r="BE172" s="277"/>
      <c r="BF172" s="233">
        <f>COUNTA('All Details for ACID Pastor'!$T172:$AB172)</f>
        <v>0</v>
      </c>
      <c r="BG172" s="249"/>
      <c r="BH172" s="249"/>
      <c r="BI172" s="249"/>
      <c r="BJ172" s="249"/>
      <c r="BK172" s="249"/>
      <c r="BL172" s="249"/>
      <c r="BM172" s="249"/>
      <c r="BN172" s="249"/>
      <c r="BO172" s="249"/>
      <c r="BP172" s="249"/>
      <c r="BQ172" s="249"/>
      <c r="BR172" s="249"/>
      <c r="BS172" s="249"/>
      <c r="BT172" s="249"/>
      <c r="BU172" s="249"/>
      <c r="BV172" s="249"/>
    </row>
    <row r="173" spans="1:74" s="174" customFormat="1" ht="70.150000000000006" customHeight="1">
      <c r="A173" s="103">
        <v>174</v>
      </c>
      <c r="B173" s="132" t="s">
        <v>1144</v>
      </c>
      <c r="C173" s="101" t="s">
        <v>1145</v>
      </c>
      <c r="D173" s="102" t="s">
        <v>53</v>
      </c>
      <c r="E173" s="102" t="s">
        <v>54</v>
      </c>
      <c r="F173" s="95"/>
      <c r="G173" s="95"/>
      <c r="H173" s="95"/>
      <c r="I173" s="95"/>
      <c r="J173" s="133" t="s">
        <v>1140</v>
      </c>
      <c r="K173" s="256" t="s">
        <v>1146</v>
      </c>
      <c r="L173" s="232" t="s">
        <v>4209</v>
      </c>
      <c r="M173" s="171"/>
      <c r="N173" s="104" t="s">
        <v>1147</v>
      </c>
      <c r="O173" s="105" t="s">
        <v>1143</v>
      </c>
      <c r="P173" s="106" t="s">
        <v>1102</v>
      </c>
      <c r="Q173" s="106" t="s">
        <v>48</v>
      </c>
      <c r="R173" s="134">
        <v>7598246046</v>
      </c>
      <c r="S173" s="106" t="s">
        <v>1076</v>
      </c>
      <c r="T173" s="135"/>
      <c r="U173" s="176"/>
      <c r="V173" s="176"/>
      <c r="W173" s="176"/>
      <c r="X173" s="176"/>
      <c r="Y173" s="145"/>
      <c r="Z173" s="136"/>
      <c r="AA173" s="136"/>
      <c r="AB173" s="136"/>
      <c r="AC173" s="136"/>
      <c r="AD173" s="222"/>
      <c r="AE173" s="240"/>
      <c r="AF173" s="232"/>
      <c r="AG173" s="232"/>
      <c r="AH173" s="232"/>
      <c r="AI173" s="232">
        <f>COUNTA('All Details for ACID Pastor'!$U173:$AB173)</f>
        <v>0</v>
      </c>
      <c r="AJ173" s="232"/>
      <c r="AK173" s="232"/>
      <c r="AL173" s="232"/>
      <c r="AM173" s="232"/>
      <c r="AN173" s="232"/>
      <c r="AO173" s="232"/>
      <c r="AP173" s="232"/>
      <c r="AQ173" s="232"/>
      <c r="AR173" s="232"/>
      <c r="AS173" s="232"/>
      <c r="AT173" s="232"/>
      <c r="AU173" s="232"/>
      <c r="AV173" s="232"/>
      <c r="AW173" s="233"/>
      <c r="AX173" s="233"/>
      <c r="AY173" s="244"/>
      <c r="AZ173" s="232" t="s">
        <v>139</v>
      </c>
      <c r="BA173" s="233"/>
      <c r="BB173" s="233"/>
      <c r="BC173" s="233"/>
      <c r="BD173" s="244"/>
      <c r="BE173" s="277"/>
      <c r="BF173" s="233">
        <f>COUNTA('All Details for ACID Pastor'!$T173:$AB173)</f>
        <v>0</v>
      </c>
      <c r="BG173" s="249"/>
      <c r="BH173" s="249"/>
      <c r="BI173" s="249"/>
      <c r="BJ173" s="249"/>
      <c r="BK173" s="249"/>
      <c r="BL173" s="249"/>
      <c r="BM173" s="249"/>
      <c r="BN173" s="249"/>
      <c r="BO173" s="249"/>
      <c r="BP173" s="249"/>
      <c r="BQ173" s="249"/>
      <c r="BR173" s="249"/>
      <c r="BS173" s="249"/>
      <c r="BT173" s="249"/>
      <c r="BU173" s="249"/>
      <c r="BV173" s="249"/>
    </row>
    <row r="174" spans="1:74" ht="70.150000000000006" customHeight="1">
      <c r="A174" s="107">
        <v>175</v>
      </c>
      <c r="B174" s="124" t="s">
        <v>1148</v>
      </c>
      <c r="C174" s="90" t="s">
        <v>1149</v>
      </c>
      <c r="D174" s="95" t="s">
        <v>53</v>
      </c>
      <c r="E174" s="95" t="s">
        <v>54</v>
      </c>
      <c r="F174" s="95"/>
      <c r="G174" s="95"/>
      <c r="H174" s="95"/>
      <c r="I174" s="95"/>
      <c r="J174" s="115" t="s">
        <v>1150</v>
      </c>
      <c r="K174" s="193" t="s">
        <v>1151</v>
      </c>
      <c r="L174" s="121" t="s">
        <v>4209</v>
      </c>
      <c r="M174" s="172"/>
      <c r="N174" s="93" t="s">
        <v>1152</v>
      </c>
      <c r="O174" s="92" t="s">
        <v>1153</v>
      </c>
      <c r="P174" s="88" t="s">
        <v>516</v>
      </c>
      <c r="Q174" s="88" t="s">
        <v>517</v>
      </c>
      <c r="R174" s="86">
        <v>9645848567</v>
      </c>
      <c r="S174" s="88" t="s">
        <v>1076</v>
      </c>
      <c r="T174" s="94"/>
      <c r="U174" s="125" t="s">
        <v>119</v>
      </c>
      <c r="V174" s="125" t="s">
        <v>215</v>
      </c>
      <c r="W174" s="125" t="s">
        <v>1154</v>
      </c>
      <c r="X174" s="125" t="s">
        <v>78</v>
      </c>
      <c r="Y174" s="126" t="s">
        <v>682</v>
      </c>
      <c r="Z174" s="126" t="s">
        <v>682</v>
      </c>
      <c r="AA174" s="127" t="s">
        <v>165</v>
      </c>
      <c r="AB174" s="127" t="s">
        <v>165</v>
      </c>
      <c r="AC174" s="131"/>
      <c r="AD174" s="127"/>
      <c r="AE174" s="244"/>
      <c r="AF174" s="121"/>
      <c r="AG174" s="121"/>
      <c r="AH174" s="121"/>
      <c r="AI174" s="121">
        <f>COUNTA('All Details for ACID Pastor'!$U174:$AB174)</f>
        <v>8</v>
      </c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63"/>
      <c r="AX174" s="163"/>
      <c r="AZ174" s="121" t="s">
        <v>49</v>
      </c>
      <c r="BA174" s="163"/>
      <c r="BB174" s="163"/>
      <c r="BC174" s="163"/>
      <c r="BF174" s="163">
        <f>COUNTA('All Details for ACID Pastor'!$T174:$AB174)</f>
        <v>8</v>
      </c>
    </row>
    <row r="175" spans="1:74" s="174" customFormat="1" ht="70.150000000000006" customHeight="1">
      <c r="A175" s="103">
        <v>176</v>
      </c>
      <c r="B175" s="132" t="s">
        <v>1155</v>
      </c>
      <c r="C175" s="101" t="s">
        <v>1156</v>
      </c>
      <c r="D175" s="102" t="s">
        <v>53</v>
      </c>
      <c r="E175" s="102" t="s">
        <v>54</v>
      </c>
      <c r="F175" s="95"/>
      <c r="G175" s="95"/>
      <c r="H175" s="95"/>
      <c r="I175" s="95"/>
      <c r="J175" s="133" t="s">
        <v>519</v>
      </c>
      <c r="K175" s="256" t="s">
        <v>1157</v>
      </c>
      <c r="L175" s="232" t="s">
        <v>4209</v>
      </c>
      <c r="M175" s="171"/>
      <c r="N175" s="104" t="s">
        <v>1158</v>
      </c>
      <c r="O175" s="105" t="s">
        <v>1159</v>
      </c>
      <c r="P175" s="106" t="s">
        <v>516</v>
      </c>
      <c r="Q175" s="106" t="s">
        <v>517</v>
      </c>
      <c r="R175" s="134">
        <v>9746566063</v>
      </c>
      <c r="S175" s="106" t="s">
        <v>1076</v>
      </c>
      <c r="T175" s="135"/>
      <c r="U175" s="144" t="s">
        <v>524</v>
      </c>
      <c r="V175" s="144" t="s">
        <v>524</v>
      </c>
      <c r="W175" s="144" t="s">
        <v>524</v>
      </c>
      <c r="X175" s="144" t="s">
        <v>78</v>
      </c>
      <c r="Y175" s="145"/>
      <c r="Z175" s="136"/>
      <c r="AA175" s="136"/>
      <c r="AB175" s="136"/>
      <c r="AC175" s="136"/>
      <c r="AD175" s="222"/>
      <c r="AE175" s="240"/>
      <c r="AF175" s="232"/>
      <c r="AG175" s="232"/>
      <c r="AH175" s="232"/>
      <c r="AI175" s="232">
        <f>COUNTA('All Details for ACID Pastor'!$U175:$AB175)</f>
        <v>4</v>
      </c>
      <c r="AJ175" s="232"/>
      <c r="AK175" s="232"/>
      <c r="AL175" s="232"/>
      <c r="AM175" s="232"/>
      <c r="AN175" s="232"/>
      <c r="AO175" s="232"/>
      <c r="AP175" s="232"/>
      <c r="AQ175" s="232"/>
      <c r="AR175" s="232"/>
      <c r="AS175" s="232"/>
      <c r="AT175" s="232"/>
      <c r="AU175" s="232"/>
      <c r="AV175" s="232"/>
      <c r="AW175" s="233"/>
      <c r="AX175" s="233"/>
      <c r="AY175" s="244"/>
      <c r="AZ175" s="232" t="s">
        <v>139</v>
      </c>
      <c r="BA175" s="233"/>
      <c r="BB175" s="233"/>
      <c r="BC175" s="233"/>
      <c r="BD175" s="244"/>
      <c r="BE175" s="277"/>
      <c r="BF175" s="233">
        <f>COUNTA('All Details for ACID Pastor'!$T175:$AB175)</f>
        <v>4</v>
      </c>
      <c r="BG175" s="249"/>
      <c r="BH175" s="249"/>
      <c r="BI175" s="249"/>
      <c r="BJ175" s="249"/>
      <c r="BK175" s="249"/>
      <c r="BL175" s="249"/>
      <c r="BM175" s="249"/>
      <c r="BN175" s="249"/>
      <c r="BO175" s="249"/>
      <c r="BP175" s="249"/>
      <c r="BQ175" s="249"/>
      <c r="BR175" s="249"/>
      <c r="BS175" s="249"/>
      <c r="BT175" s="249"/>
      <c r="BU175" s="249"/>
      <c r="BV175" s="249"/>
    </row>
    <row r="176" spans="1:74" ht="70.150000000000006" customHeight="1">
      <c r="A176" s="107">
        <v>177</v>
      </c>
      <c r="B176" s="124" t="s">
        <v>1160</v>
      </c>
      <c r="C176" s="90" t="s">
        <v>1161</v>
      </c>
      <c r="D176" s="95" t="s">
        <v>53</v>
      </c>
      <c r="E176" s="95" t="s">
        <v>54</v>
      </c>
      <c r="F176" s="95"/>
      <c r="G176" s="95"/>
      <c r="H176" s="95"/>
      <c r="I176" s="95"/>
      <c r="J176" s="115" t="s">
        <v>519</v>
      </c>
      <c r="K176" s="193" t="s">
        <v>1162</v>
      </c>
      <c r="L176" s="121" t="s">
        <v>4201</v>
      </c>
      <c r="M176" s="172"/>
      <c r="N176" s="93" t="s">
        <v>1158</v>
      </c>
      <c r="O176" s="92" t="s">
        <v>1159</v>
      </c>
      <c r="P176" s="88" t="s">
        <v>516</v>
      </c>
      <c r="Q176" s="88" t="s">
        <v>517</v>
      </c>
      <c r="R176" s="86">
        <v>9746566063</v>
      </c>
      <c r="S176" s="88" t="s">
        <v>1076</v>
      </c>
      <c r="T176" s="94"/>
      <c r="U176" s="125" t="s">
        <v>524</v>
      </c>
      <c r="V176" s="125" t="s">
        <v>524</v>
      </c>
      <c r="W176" s="125" t="s">
        <v>524</v>
      </c>
      <c r="X176" s="125" t="s">
        <v>78</v>
      </c>
      <c r="Y176" s="126" t="s">
        <v>682</v>
      </c>
      <c r="Z176" s="126" t="s">
        <v>682</v>
      </c>
      <c r="AA176" s="126" t="s">
        <v>682</v>
      </c>
      <c r="AB176" s="131"/>
      <c r="AC176" s="131"/>
      <c r="AD176" s="127"/>
      <c r="AE176" s="244"/>
      <c r="AF176" s="121"/>
      <c r="AG176" s="121"/>
      <c r="AH176" s="121"/>
      <c r="AI176" s="121">
        <f>COUNTA('All Details for ACID Pastor'!$U176:$AB176)</f>
        <v>7</v>
      </c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/>
      <c r="AV176" s="121"/>
      <c r="AW176" s="163"/>
      <c r="AX176" s="163"/>
      <c r="AZ176" s="121" t="s">
        <v>49</v>
      </c>
      <c r="BA176" s="163"/>
      <c r="BB176" s="163"/>
      <c r="BC176" s="163"/>
      <c r="BF176" s="163">
        <f>COUNTA('All Details for ACID Pastor'!$T176:$AB176)</f>
        <v>7</v>
      </c>
    </row>
    <row r="177" spans="1:16383" s="174" customFormat="1" ht="70.150000000000006" customHeight="1">
      <c r="A177" s="103">
        <v>178</v>
      </c>
      <c r="B177" s="132" t="s">
        <v>1163</v>
      </c>
      <c r="C177" s="101" t="s">
        <v>1164</v>
      </c>
      <c r="D177" s="102" t="s">
        <v>53</v>
      </c>
      <c r="E177" s="102" t="s">
        <v>54</v>
      </c>
      <c r="F177" s="95"/>
      <c r="G177" s="95"/>
      <c r="H177" s="95"/>
      <c r="I177" s="95"/>
      <c r="J177" s="133" t="s">
        <v>519</v>
      </c>
      <c r="K177" s="256" t="s">
        <v>1165</v>
      </c>
      <c r="L177" s="232" t="s">
        <v>4209</v>
      </c>
      <c r="M177" s="171"/>
      <c r="N177" s="104" t="s">
        <v>1166</v>
      </c>
      <c r="O177" s="105" t="s">
        <v>1167</v>
      </c>
      <c r="P177" s="106" t="s">
        <v>516</v>
      </c>
      <c r="Q177" s="106" t="s">
        <v>517</v>
      </c>
      <c r="R177" s="134">
        <v>9400953468</v>
      </c>
      <c r="S177" s="106" t="s">
        <v>1076</v>
      </c>
      <c r="T177" s="135"/>
      <c r="U177" s="144" t="s">
        <v>119</v>
      </c>
      <c r="V177" s="144" t="s">
        <v>215</v>
      </c>
      <c r="W177" s="176"/>
      <c r="X177" s="176"/>
      <c r="Y177" s="145"/>
      <c r="Z177" s="136"/>
      <c r="AA177" s="136"/>
      <c r="AB177" s="136"/>
      <c r="AC177" s="136"/>
      <c r="AD177" s="222"/>
      <c r="AE177" s="240"/>
      <c r="AF177" s="232"/>
      <c r="AG177" s="232"/>
      <c r="AH177" s="232"/>
      <c r="AI177" s="232">
        <f>COUNTA('All Details for ACID Pastor'!$U177:$AB177)</f>
        <v>2</v>
      </c>
      <c r="AJ177" s="232"/>
      <c r="AK177" s="232"/>
      <c r="AL177" s="232"/>
      <c r="AM177" s="232"/>
      <c r="AN177" s="232"/>
      <c r="AO177" s="232"/>
      <c r="AP177" s="232"/>
      <c r="AQ177" s="232"/>
      <c r="AR177" s="232"/>
      <c r="AS177" s="232"/>
      <c r="AT177" s="232"/>
      <c r="AU177" s="232"/>
      <c r="AV177" s="232"/>
      <c r="AW177" s="233"/>
      <c r="AX177" s="233"/>
      <c r="AY177" s="244"/>
      <c r="AZ177" s="232" t="s">
        <v>139</v>
      </c>
      <c r="BA177" s="233"/>
      <c r="BB177" s="233"/>
      <c r="BC177" s="233"/>
      <c r="BD177" s="244"/>
      <c r="BE177" s="277"/>
      <c r="BF177" s="233">
        <f>COUNTA('All Details for ACID Pastor'!$T177:$AB177)</f>
        <v>2</v>
      </c>
      <c r="BG177" s="249"/>
      <c r="BH177" s="249"/>
      <c r="BI177" s="249"/>
      <c r="BJ177" s="249"/>
      <c r="BK177" s="249"/>
      <c r="BL177" s="249"/>
      <c r="BM177" s="249"/>
      <c r="BN177" s="249"/>
      <c r="BO177" s="249"/>
      <c r="BP177" s="249"/>
      <c r="BQ177" s="249"/>
      <c r="BR177" s="249"/>
      <c r="BS177" s="249"/>
      <c r="BT177" s="249"/>
      <c r="BU177" s="249"/>
      <c r="BV177" s="249"/>
    </row>
    <row r="178" spans="1:16383" s="209" customFormat="1" ht="70.150000000000006" customHeight="1">
      <c r="A178" s="121">
        <v>179</v>
      </c>
      <c r="B178" s="155" t="s">
        <v>1168</v>
      </c>
      <c r="C178" s="85" t="s">
        <v>1169</v>
      </c>
      <c r="D178" s="91" t="s">
        <v>53</v>
      </c>
      <c r="E178" s="95" t="s">
        <v>54</v>
      </c>
      <c r="F178" s="95"/>
      <c r="G178" s="95"/>
      <c r="H178" s="95"/>
      <c r="I178" s="95"/>
      <c r="J178" s="115" t="s">
        <v>519</v>
      </c>
      <c r="K178" s="193" t="s">
        <v>1170</v>
      </c>
      <c r="L178" s="121"/>
      <c r="M178" s="193" t="s">
        <v>1171</v>
      </c>
      <c r="N178" s="122" t="s">
        <v>1172</v>
      </c>
      <c r="O178" s="121" t="s">
        <v>1173</v>
      </c>
      <c r="P178" s="120" t="s">
        <v>1174</v>
      </c>
      <c r="Q178" s="120" t="s">
        <v>517</v>
      </c>
      <c r="R178" s="155">
        <v>9745018367</v>
      </c>
      <c r="S178" s="120" t="s">
        <v>1076</v>
      </c>
      <c r="T178" s="197"/>
      <c r="U178" s="125" t="s">
        <v>50</v>
      </c>
      <c r="V178" s="125" t="s">
        <v>50</v>
      </c>
      <c r="W178" s="125" t="s">
        <v>50</v>
      </c>
      <c r="X178" s="125" t="s">
        <v>50</v>
      </c>
      <c r="Y178" s="125" t="s">
        <v>50</v>
      </c>
      <c r="Z178" s="125" t="s">
        <v>1175</v>
      </c>
      <c r="AA178" s="131"/>
      <c r="AB178" s="131"/>
      <c r="AC178" s="131"/>
      <c r="AD178" s="127"/>
      <c r="AE178" s="240"/>
      <c r="AF178" s="121"/>
      <c r="AG178" s="121"/>
      <c r="AH178" s="121"/>
      <c r="AI178" s="121">
        <f>COUNTA('All Details for ACID Pastor'!$U178:$AB178)</f>
        <v>6</v>
      </c>
      <c r="AJ178" s="121"/>
      <c r="AK178" s="121"/>
      <c r="AL178" s="121"/>
      <c r="AM178" s="121"/>
      <c r="AN178" s="121"/>
      <c r="AO178" s="121"/>
      <c r="AP178" s="121"/>
      <c r="AQ178" s="121"/>
      <c r="AR178" s="121"/>
      <c r="AS178" s="121"/>
      <c r="AT178" s="121"/>
      <c r="AU178" s="121"/>
      <c r="AV178" s="121"/>
      <c r="AW178" s="163"/>
      <c r="AX178" s="163"/>
      <c r="AY178" s="240"/>
      <c r="AZ178" s="121" t="s">
        <v>49</v>
      </c>
      <c r="BA178" s="163"/>
      <c r="BB178" s="163"/>
      <c r="BC178" s="163"/>
      <c r="BD178" s="240"/>
      <c r="BF178" s="163">
        <f>COUNTA('All Details for ACID Pastor'!$T178:$AB178)</f>
        <v>6</v>
      </c>
      <c r="BG178" s="240"/>
      <c r="BH178" s="240"/>
      <c r="BI178" s="240"/>
      <c r="BJ178" s="240"/>
      <c r="BK178" s="240"/>
      <c r="BL178" s="240"/>
      <c r="BM178" s="240"/>
      <c r="BN178" s="240"/>
      <c r="BO178" s="240"/>
      <c r="BP178" s="240"/>
      <c r="BQ178" s="240"/>
      <c r="BR178" s="240"/>
      <c r="BS178" s="240"/>
      <c r="BT178" s="240"/>
      <c r="BU178" s="240"/>
      <c r="BV178" s="240"/>
    </row>
    <row r="179" spans="1:16383" ht="70.150000000000006" customHeight="1">
      <c r="A179" s="97">
        <v>180</v>
      </c>
      <c r="B179" s="198" t="s">
        <v>1176</v>
      </c>
      <c r="C179" s="199" t="s">
        <v>1177</v>
      </c>
      <c r="D179" s="95" t="s">
        <v>53</v>
      </c>
      <c r="E179" s="95" t="s">
        <v>54</v>
      </c>
      <c r="F179" s="95"/>
      <c r="G179" s="95"/>
      <c r="H179" s="95"/>
      <c r="I179" s="95"/>
      <c r="J179" s="115" t="s">
        <v>1178</v>
      </c>
      <c r="K179" s="193" t="s">
        <v>1179</v>
      </c>
      <c r="L179" s="121"/>
      <c r="M179" s="172"/>
      <c r="N179" s="98" t="s">
        <v>1180</v>
      </c>
      <c r="O179" s="99" t="s">
        <v>1181</v>
      </c>
      <c r="P179" s="100" t="s">
        <v>1182</v>
      </c>
      <c r="Q179" s="100" t="s">
        <v>517</v>
      </c>
      <c r="R179" s="89">
        <v>9562343462</v>
      </c>
      <c r="S179" s="100" t="s">
        <v>1076</v>
      </c>
      <c r="T179" s="94"/>
      <c r="U179" s="125" t="s">
        <v>1183</v>
      </c>
      <c r="V179" s="125"/>
      <c r="W179" s="125" t="s">
        <v>184</v>
      </c>
      <c r="X179" s="140"/>
      <c r="Y179" s="141"/>
      <c r="Z179" s="131"/>
      <c r="AA179" s="131"/>
      <c r="AB179" s="131"/>
      <c r="AC179" s="131"/>
      <c r="AD179" s="127"/>
      <c r="AF179" s="121"/>
      <c r="AG179" s="121"/>
      <c r="AH179" s="121"/>
      <c r="AI179" s="121">
        <f>COUNTA('All Details for ACID Pastor'!$U179:$AB179)</f>
        <v>2</v>
      </c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s="121"/>
      <c r="AV179" s="121"/>
      <c r="AW179" s="163"/>
      <c r="AX179" s="163"/>
      <c r="AZ179" s="121" t="s">
        <v>139</v>
      </c>
      <c r="BA179" s="163"/>
      <c r="BB179" s="163"/>
      <c r="BC179" s="163"/>
      <c r="BF179" s="163">
        <f>COUNTA('All Details for ACID Pastor'!$T179:$AB179)</f>
        <v>2</v>
      </c>
      <c r="BG179" s="230"/>
      <c r="BH179" s="230"/>
      <c r="BI179" s="230"/>
      <c r="BJ179" s="230"/>
      <c r="BK179" s="230"/>
      <c r="BL179" s="230"/>
      <c r="BM179" s="230"/>
      <c r="BN179" s="230"/>
      <c r="BO179" s="230"/>
      <c r="BP179" s="230"/>
      <c r="BQ179" s="230"/>
      <c r="BR179" s="230"/>
      <c r="BS179" s="230"/>
      <c r="BT179" s="230"/>
      <c r="BU179" s="230"/>
      <c r="BV179" s="230"/>
      <c r="BW179" s="201"/>
      <c r="BX179" s="201"/>
      <c r="BY179" s="201"/>
      <c r="BZ179" s="201"/>
      <c r="CA179" s="201"/>
      <c r="CB179" s="201"/>
      <c r="CC179" s="201"/>
      <c r="CD179" s="201"/>
      <c r="CE179" s="201"/>
      <c r="CF179" s="201"/>
      <c r="CG179" s="201"/>
      <c r="CH179" s="201"/>
      <c r="CI179" s="201"/>
      <c r="CJ179" s="201"/>
      <c r="CK179" s="201"/>
      <c r="CL179" s="201"/>
      <c r="CM179" s="201"/>
      <c r="CN179" s="201"/>
      <c r="CO179" s="201"/>
      <c r="CP179" s="201"/>
      <c r="CQ179" s="201"/>
      <c r="CR179" s="201"/>
      <c r="CS179" s="201"/>
      <c r="CT179" s="201"/>
      <c r="CU179" s="201"/>
      <c r="CV179" s="201"/>
      <c r="CW179" s="201"/>
      <c r="CX179" s="201"/>
      <c r="CY179" s="201"/>
      <c r="CZ179" s="201"/>
      <c r="DA179" s="201"/>
      <c r="DB179" s="201"/>
      <c r="DC179" s="201"/>
      <c r="DD179" s="201"/>
      <c r="DE179" s="201"/>
      <c r="DF179" s="201"/>
      <c r="DG179" s="201"/>
      <c r="DH179" s="201"/>
      <c r="DI179" s="201"/>
      <c r="DJ179" s="201"/>
      <c r="DK179" s="201"/>
      <c r="DL179" s="201"/>
      <c r="DM179" s="201"/>
      <c r="DN179" s="201"/>
      <c r="DO179" s="201"/>
      <c r="DP179" s="201"/>
      <c r="DQ179" s="201"/>
      <c r="DR179" s="201"/>
      <c r="DS179" s="201"/>
      <c r="DT179" s="201"/>
      <c r="DU179" s="201"/>
      <c r="DV179" s="201"/>
      <c r="DW179" s="201"/>
      <c r="DX179" s="201"/>
      <c r="DY179" s="201"/>
      <c r="DZ179" s="201"/>
      <c r="EA179" s="201"/>
      <c r="EB179" s="201"/>
      <c r="EC179" s="201"/>
      <c r="ED179" s="201"/>
      <c r="EE179" s="201"/>
      <c r="EF179" s="201"/>
      <c r="EG179" s="201"/>
      <c r="EH179" s="201"/>
      <c r="EI179" s="201"/>
      <c r="EJ179" s="201"/>
      <c r="EK179" s="201"/>
      <c r="EL179" s="201"/>
      <c r="EM179" s="201"/>
      <c r="EN179" s="201"/>
      <c r="EO179" s="201"/>
      <c r="EP179" s="201"/>
      <c r="EQ179" s="201"/>
      <c r="ER179" s="201"/>
      <c r="ES179" s="201"/>
      <c r="ET179" s="201"/>
      <c r="EU179" s="201"/>
      <c r="EV179" s="201"/>
      <c r="EW179" s="201"/>
      <c r="EX179" s="201"/>
      <c r="EY179" s="201"/>
      <c r="EZ179" s="201"/>
      <c r="FA179" s="201"/>
      <c r="FB179" s="201"/>
      <c r="FC179" s="201"/>
      <c r="FD179" s="201"/>
      <c r="FE179" s="201"/>
      <c r="FF179" s="201"/>
      <c r="FG179" s="201"/>
      <c r="FH179" s="201"/>
      <c r="FI179" s="201"/>
      <c r="FJ179" s="201"/>
      <c r="FK179" s="201"/>
      <c r="FL179" s="201"/>
      <c r="FM179" s="201"/>
      <c r="FN179" s="201"/>
      <c r="FO179" s="201"/>
      <c r="FP179" s="201"/>
      <c r="FQ179" s="201"/>
      <c r="FR179" s="201"/>
      <c r="FS179" s="201"/>
      <c r="FT179" s="201"/>
      <c r="FU179" s="201"/>
      <c r="FV179" s="201"/>
      <c r="FW179" s="201"/>
      <c r="FX179" s="201"/>
      <c r="FY179" s="201"/>
      <c r="FZ179" s="201"/>
      <c r="GA179" s="201"/>
      <c r="GB179" s="201"/>
      <c r="GC179" s="201"/>
      <c r="GD179" s="201"/>
      <c r="GE179" s="201"/>
      <c r="GF179" s="201"/>
      <c r="GG179" s="201"/>
      <c r="GH179" s="201"/>
      <c r="GI179" s="201"/>
      <c r="GJ179" s="201"/>
      <c r="GK179" s="201"/>
      <c r="GL179" s="201"/>
      <c r="GM179" s="201"/>
      <c r="GN179" s="201"/>
      <c r="GO179" s="201"/>
      <c r="GP179" s="201"/>
      <c r="GQ179" s="201"/>
      <c r="GR179" s="201"/>
      <c r="GS179" s="201"/>
      <c r="GT179" s="201"/>
      <c r="GU179" s="201"/>
      <c r="GV179" s="201"/>
      <c r="GW179" s="201"/>
      <c r="GX179" s="201"/>
      <c r="GY179" s="201"/>
      <c r="GZ179" s="201"/>
      <c r="HA179" s="201"/>
      <c r="HB179" s="201"/>
      <c r="HC179" s="201"/>
      <c r="HD179" s="201"/>
      <c r="HE179" s="201"/>
      <c r="HF179" s="201"/>
      <c r="HG179" s="201"/>
      <c r="HH179" s="201"/>
      <c r="HI179" s="201"/>
      <c r="HJ179" s="201"/>
      <c r="HK179" s="201"/>
      <c r="HL179" s="201"/>
      <c r="HM179" s="201"/>
      <c r="HN179" s="201"/>
      <c r="HO179" s="201"/>
      <c r="HP179" s="201"/>
      <c r="HQ179" s="201"/>
      <c r="HR179" s="201"/>
      <c r="HS179" s="201"/>
      <c r="HT179" s="201"/>
      <c r="HU179" s="201"/>
      <c r="HV179" s="201"/>
      <c r="HW179" s="201"/>
      <c r="HX179" s="201"/>
      <c r="HY179" s="201"/>
      <c r="HZ179" s="201"/>
      <c r="IA179" s="201"/>
      <c r="IB179" s="201"/>
      <c r="IC179" s="201"/>
      <c r="ID179" s="201"/>
      <c r="IE179" s="201"/>
      <c r="IF179" s="201"/>
      <c r="IG179" s="201"/>
      <c r="IH179" s="201"/>
      <c r="II179" s="201"/>
      <c r="IJ179" s="201"/>
      <c r="IK179" s="201"/>
      <c r="IL179" s="201"/>
      <c r="IM179" s="201"/>
      <c r="IN179" s="201"/>
      <c r="IO179" s="201"/>
      <c r="IP179" s="201"/>
      <c r="IQ179" s="201"/>
      <c r="IR179" s="201"/>
      <c r="IS179" s="201"/>
      <c r="IT179" s="201"/>
      <c r="IU179" s="201"/>
      <c r="IV179" s="201"/>
      <c r="IW179" s="201"/>
      <c r="IX179" s="201"/>
      <c r="IY179" s="201"/>
      <c r="IZ179" s="201"/>
      <c r="JA179" s="201"/>
      <c r="JB179" s="201"/>
      <c r="JC179" s="201"/>
      <c r="JD179" s="201"/>
      <c r="JE179" s="201"/>
      <c r="JF179" s="201"/>
      <c r="JG179" s="201"/>
      <c r="JH179" s="201"/>
      <c r="JI179" s="201"/>
      <c r="JJ179" s="201"/>
      <c r="JK179" s="201"/>
      <c r="JL179" s="201"/>
      <c r="JM179" s="201"/>
      <c r="JN179" s="201"/>
      <c r="JO179" s="201"/>
      <c r="JP179" s="201"/>
      <c r="JQ179" s="201"/>
      <c r="JR179" s="201"/>
      <c r="JS179" s="201"/>
      <c r="JT179" s="201"/>
      <c r="JU179" s="201"/>
      <c r="JV179" s="201"/>
      <c r="JW179" s="201"/>
      <c r="JX179" s="201"/>
      <c r="JY179" s="201"/>
      <c r="JZ179" s="201"/>
      <c r="KA179" s="201"/>
      <c r="KB179" s="201"/>
      <c r="KC179" s="201"/>
      <c r="KD179" s="201"/>
      <c r="KE179" s="201"/>
      <c r="KF179" s="201"/>
      <c r="KG179" s="201"/>
      <c r="KH179" s="201"/>
      <c r="KI179" s="201"/>
      <c r="KJ179" s="201"/>
      <c r="KK179" s="201"/>
      <c r="KL179" s="201"/>
      <c r="KM179" s="201"/>
      <c r="KN179" s="201"/>
      <c r="KO179" s="201"/>
      <c r="KP179" s="201"/>
      <c r="KQ179" s="201"/>
      <c r="KR179" s="201"/>
      <c r="KS179" s="201"/>
      <c r="KT179" s="201"/>
      <c r="KU179" s="201"/>
      <c r="KV179" s="201"/>
      <c r="KW179" s="201"/>
      <c r="KX179" s="201"/>
      <c r="KY179" s="201"/>
      <c r="KZ179" s="201"/>
      <c r="LA179" s="201"/>
      <c r="LB179" s="201"/>
      <c r="LC179" s="201"/>
      <c r="LD179" s="201"/>
      <c r="LE179" s="201"/>
      <c r="LF179" s="201"/>
      <c r="LG179" s="201"/>
      <c r="LH179" s="201"/>
      <c r="LI179" s="201"/>
      <c r="LJ179" s="201"/>
      <c r="LK179" s="201"/>
      <c r="LL179" s="201"/>
      <c r="LM179" s="201"/>
      <c r="LN179" s="201"/>
      <c r="LO179" s="201"/>
      <c r="LP179" s="201"/>
      <c r="LQ179" s="201"/>
      <c r="LR179" s="201"/>
      <c r="LS179" s="201"/>
      <c r="LT179" s="201"/>
      <c r="LU179" s="201"/>
      <c r="LV179" s="201"/>
      <c r="LW179" s="201"/>
      <c r="LX179" s="201"/>
      <c r="LY179" s="201"/>
      <c r="LZ179" s="201"/>
      <c r="MA179" s="201"/>
      <c r="MB179" s="201"/>
      <c r="MC179" s="201"/>
      <c r="MD179" s="201"/>
      <c r="ME179" s="201"/>
      <c r="MF179" s="201"/>
      <c r="MG179" s="201"/>
      <c r="MH179" s="201"/>
      <c r="MI179" s="201"/>
      <c r="MJ179" s="201"/>
      <c r="MK179" s="201"/>
      <c r="ML179" s="201"/>
      <c r="MM179" s="201"/>
      <c r="MN179" s="201"/>
      <c r="MO179" s="201"/>
      <c r="MP179" s="201"/>
      <c r="MQ179" s="201"/>
      <c r="MR179" s="201"/>
      <c r="MS179" s="201"/>
      <c r="MT179" s="201"/>
      <c r="MU179" s="201"/>
      <c r="MV179" s="201"/>
      <c r="MW179" s="201"/>
      <c r="MX179" s="201"/>
      <c r="MY179" s="201"/>
      <c r="MZ179" s="201"/>
      <c r="NA179" s="201"/>
      <c r="NB179" s="201"/>
      <c r="NC179" s="201"/>
      <c r="ND179" s="201"/>
      <c r="NE179" s="201"/>
      <c r="NF179" s="201"/>
      <c r="NG179" s="201"/>
      <c r="NH179" s="201"/>
      <c r="NI179" s="201"/>
      <c r="NJ179" s="201"/>
      <c r="NK179" s="201"/>
      <c r="NL179" s="201"/>
      <c r="NM179" s="201"/>
      <c r="NN179" s="201"/>
      <c r="NO179" s="201"/>
      <c r="NP179" s="201"/>
      <c r="NQ179" s="201"/>
      <c r="NR179" s="201"/>
      <c r="NS179" s="201"/>
      <c r="NT179" s="201"/>
      <c r="NU179" s="201"/>
      <c r="NV179" s="201"/>
      <c r="NW179" s="201"/>
      <c r="NX179" s="201"/>
      <c r="NY179" s="201"/>
      <c r="NZ179" s="201"/>
      <c r="OA179" s="201"/>
      <c r="OB179" s="201"/>
      <c r="OC179" s="201"/>
      <c r="OD179" s="201"/>
      <c r="OE179" s="201"/>
      <c r="OF179" s="201"/>
      <c r="OG179" s="201"/>
      <c r="OH179" s="201"/>
      <c r="OI179" s="201"/>
      <c r="OJ179" s="201"/>
      <c r="OK179" s="201"/>
      <c r="OL179" s="201"/>
      <c r="OM179" s="201"/>
      <c r="ON179" s="201"/>
      <c r="OO179" s="201"/>
      <c r="OP179" s="201"/>
      <c r="OQ179" s="201"/>
      <c r="OR179" s="201"/>
      <c r="OS179" s="201"/>
      <c r="OT179" s="201"/>
      <c r="OU179" s="201"/>
      <c r="OV179" s="201"/>
      <c r="OW179" s="201"/>
      <c r="OX179" s="201"/>
      <c r="OY179" s="201"/>
      <c r="OZ179" s="201"/>
      <c r="PA179" s="201"/>
      <c r="PB179" s="201"/>
      <c r="PC179" s="201"/>
      <c r="PD179" s="201"/>
      <c r="PE179" s="201"/>
      <c r="PF179" s="201"/>
      <c r="PG179" s="201"/>
      <c r="PH179" s="201"/>
      <c r="PI179" s="201"/>
      <c r="PJ179" s="201"/>
      <c r="PK179" s="201"/>
      <c r="PL179" s="201"/>
      <c r="PM179" s="201"/>
      <c r="PN179" s="201"/>
      <c r="PO179" s="201"/>
      <c r="PP179" s="201"/>
      <c r="PQ179" s="201"/>
      <c r="PR179" s="201"/>
      <c r="PS179" s="201"/>
      <c r="PT179" s="201"/>
      <c r="PU179" s="201"/>
      <c r="PV179" s="201"/>
      <c r="PW179" s="201"/>
      <c r="PX179" s="201"/>
      <c r="PY179" s="201"/>
      <c r="PZ179" s="201"/>
      <c r="QA179" s="201"/>
      <c r="QB179" s="201"/>
      <c r="QC179" s="201"/>
      <c r="QD179" s="201"/>
      <c r="QE179" s="201"/>
      <c r="QF179" s="201"/>
      <c r="QG179" s="201"/>
      <c r="QH179" s="201"/>
      <c r="QI179" s="201"/>
      <c r="QJ179" s="201"/>
      <c r="QK179" s="201"/>
      <c r="QL179" s="201"/>
      <c r="QM179" s="201"/>
      <c r="QN179" s="201"/>
      <c r="QO179" s="201"/>
      <c r="QP179" s="201"/>
      <c r="QQ179" s="201"/>
      <c r="QR179" s="201"/>
      <c r="QS179" s="201"/>
      <c r="QT179" s="201"/>
      <c r="QU179" s="201"/>
      <c r="QV179" s="201"/>
      <c r="QW179" s="201"/>
      <c r="QX179" s="201"/>
      <c r="QY179" s="201"/>
      <c r="QZ179" s="201"/>
      <c r="RA179" s="201"/>
      <c r="RB179" s="201"/>
      <c r="RC179" s="201"/>
      <c r="RD179" s="201"/>
      <c r="RE179" s="201"/>
      <c r="RF179" s="201"/>
      <c r="RG179" s="201"/>
      <c r="RH179" s="201"/>
      <c r="RI179" s="201"/>
      <c r="RJ179" s="201"/>
      <c r="RK179" s="201"/>
      <c r="RL179" s="201"/>
      <c r="RM179" s="201"/>
      <c r="RN179" s="201"/>
      <c r="RO179" s="201"/>
      <c r="RP179" s="201"/>
      <c r="RQ179" s="201"/>
      <c r="RR179" s="201"/>
      <c r="RS179" s="201"/>
      <c r="RT179" s="201"/>
      <c r="RU179" s="201"/>
      <c r="RV179" s="201"/>
      <c r="RW179" s="201"/>
      <c r="RX179" s="201"/>
      <c r="RY179" s="201"/>
      <c r="RZ179" s="201"/>
      <c r="SA179" s="201"/>
      <c r="SB179" s="201"/>
      <c r="SC179" s="201"/>
      <c r="SD179" s="201"/>
      <c r="SE179" s="201"/>
      <c r="SF179" s="201"/>
      <c r="SG179" s="201"/>
      <c r="SH179" s="201"/>
      <c r="SI179" s="201"/>
      <c r="SJ179" s="201"/>
      <c r="SK179" s="201"/>
      <c r="SL179" s="201"/>
      <c r="SM179" s="201"/>
      <c r="SN179" s="201"/>
      <c r="SO179" s="201"/>
      <c r="SP179" s="201"/>
      <c r="SQ179" s="201"/>
      <c r="SR179" s="201"/>
      <c r="SS179" s="201"/>
      <c r="ST179" s="201"/>
      <c r="SU179" s="201"/>
      <c r="SV179" s="201"/>
      <c r="SW179" s="201"/>
      <c r="SX179" s="201"/>
      <c r="SY179" s="201"/>
      <c r="SZ179" s="201"/>
      <c r="TA179" s="201"/>
      <c r="TB179" s="201"/>
      <c r="TC179" s="201"/>
      <c r="TD179" s="201"/>
      <c r="TE179" s="201"/>
      <c r="TF179" s="201"/>
      <c r="TG179" s="201"/>
      <c r="TH179" s="201"/>
      <c r="TI179" s="201"/>
      <c r="TJ179" s="201"/>
      <c r="TK179" s="201"/>
      <c r="TL179" s="201"/>
      <c r="TM179" s="201"/>
      <c r="TN179" s="201"/>
      <c r="TO179" s="201"/>
      <c r="TP179" s="201"/>
      <c r="TQ179" s="201"/>
      <c r="TR179" s="201"/>
      <c r="TS179" s="201"/>
      <c r="TT179" s="201"/>
      <c r="TU179" s="201"/>
      <c r="TV179" s="201"/>
      <c r="TW179" s="201"/>
      <c r="TX179" s="201"/>
      <c r="TY179" s="201"/>
      <c r="TZ179" s="201"/>
      <c r="UA179" s="201"/>
      <c r="UB179" s="201"/>
      <c r="UC179" s="201"/>
      <c r="UD179" s="201"/>
      <c r="UE179" s="201"/>
      <c r="UF179" s="201"/>
      <c r="UG179" s="201"/>
      <c r="UH179" s="201"/>
      <c r="UI179" s="201"/>
      <c r="UJ179" s="201"/>
      <c r="UK179" s="201"/>
      <c r="UL179" s="201"/>
      <c r="UM179" s="201"/>
      <c r="UN179" s="201"/>
      <c r="UO179" s="201"/>
      <c r="UP179" s="201"/>
      <c r="UQ179" s="201"/>
      <c r="UR179" s="201"/>
      <c r="US179" s="201"/>
      <c r="UT179" s="201"/>
      <c r="UU179" s="201"/>
      <c r="UV179" s="201"/>
      <c r="UW179" s="201"/>
      <c r="UX179" s="201"/>
      <c r="UY179" s="201"/>
      <c r="UZ179" s="201"/>
      <c r="VA179" s="201"/>
      <c r="VB179" s="201"/>
      <c r="VC179" s="201"/>
      <c r="VD179" s="201"/>
      <c r="VE179" s="201"/>
      <c r="VF179" s="201"/>
      <c r="VG179" s="201"/>
      <c r="VH179" s="201"/>
      <c r="VI179" s="201"/>
      <c r="VJ179" s="201"/>
      <c r="VK179" s="201"/>
      <c r="VL179" s="201"/>
      <c r="VM179" s="201"/>
      <c r="VN179" s="201"/>
      <c r="VO179" s="201"/>
      <c r="VP179" s="201"/>
      <c r="VQ179" s="201"/>
      <c r="VR179" s="201"/>
      <c r="VS179" s="201"/>
      <c r="VT179" s="201"/>
      <c r="VU179" s="201"/>
      <c r="VV179" s="201"/>
      <c r="VW179" s="201"/>
      <c r="VX179" s="201"/>
      <c r="VY179" s="201"/>
      <c r="VZ179" s="201"/>
      <c r="WA179" s="201"/>
      <c r="WB179" s="201"/>
      <c r="WC179" s="201"/>
      <c r="WD179" s="201"/>
      <c r="WE179" s="201"/>
      <c r="WF179" s="201"/>
      <c r="WG179" s="201"/>
      <c r="WH179" s="201"/>
      <c r="WI179" s="201"/>
      <c r="WJ179" s="201"/>
      <c r="WK179" s="201"/>
      <c r="WL179" s="201"/>
      <c r="WM179" s="201"/>
      <c r="WN179" s="201"/>
      <c r="WO179" s="201"/>
      <c r="WP179" s="201"/>
      <c r="WQ179" s="201"/>
      <c r="WR179" s="201"/>
      <c r="WS179" s="201"/>
      <c r="WT179" s="201"/>
      <c r="WU179" s="201"/>
      <c r="WV179" s="201"/>
      <c r="WW179" s="201"/>
      <c r="WX179" s="201"/>
      <c r="WY179" s="201"/>
      <c r="WZ179" s="201"/>
      <c r="XA179" s="201"/>
      <c r="XB179" s="201"/>
      <c r="XC179" s="201"/>
      <c r="XD179" s="201"/>
      <c r="XE179" s="201"/>
      <c r="XF179" s="201"/>
      <c r="XG179" s="201"/>
      <c r="XH179" s="201"/>
      <c r="XI179" s="201"/>
      <c r="XJ179" s="201"/>
      <c r="XK179" s="201"/>
      <c r="XL179" s="201"/>
      <c r="XM179" s="201"/>
      <c r="XN179" s="201"/>
      <c r="XO179" s="201"/>
      <c r="XP179" s="201"/>
      <c r="XQ179" s="201"/>
      <c r="XR179" s="201"/>
      <c r="XS179" s="201"/>
      <c r="XT179" s="201"/>
      <c r="XU179" s="201"/>
      <c r="XV179" s="201"/>
      <c r="XW179" s="201"/>
      <c r="XX179" s="201"/>
      <c r="XY179" s="201"/>
      <c r="XZ179" s="201"/>
      <c r="YA179" s="201"/>
      <c r="YB179" s="201"/>
      <c r="YC179" s="201"/>
      <c r="YD179" s="201"/>
      <c r="YE179" s="201"/>
      <c r="YF179" s="201"/>
      <c r="YG179" s="201"/>
      <c r="YH179" s="201"/>
      <c r="YI179" s="201"/>
      <c r="YJ179" s="201"/>
      <c r="YK179" s="201"/>
      <c r="YL179" s="201"/>
      <c r="YM179" s="201"/>
      <c r="YN179" s="201"/>
      <c r="YO179" s="201"/>
      <c r="YP179" s="201"/>
      <c r="YQ179" s="201"/>
      <c r="YR179" s="201"/>
      <c r="YS179" s="201"/>
      <c r="YT179" s="201"/>
      <c r="YU179" s="201"/>
      <c r="YV179" s="201"/>
      <c r="YW179" s="201"/>
      <c r="YX179" s="201"/>
      <c r="YY179" s="201"/>
      <c r="YZ179" s="201"/>
      <c r="ZA179" s="201"/>
      <c r="ZB179" s="201"/>
      <c r="ZC179" s="201"/>
      <c r="ZD179" s="201"/>
      <c r="ZE179" s="201"/>
      <c r="ZF179" s="201"/>
      <c r="ZG179" s="201"/>
      <c r="ZH179" s="201"/>
      <c r="ZI179" s="201"/>
      <c r="ZJ179" s="201"/>
      <c r="ZK179" s="201"/>
      <c r="ZL179" s="201"/>
      <c r="ZM179" s="201"/>
      <c r="ZN179" s="201"/>
      <c r="ZO179" s="201"/>
      <c r="ZP179" s="201"/>
      <c r="ZQ179" s="201"/>
      <c r="ZR179" s="201"/>
      <c r="ZS179" s="201"/>
      <c r="ZT179" s="201"/>
      <c r="ZU179" s="201"/>
      <c r="ZV179" s="201"/>
      <c r="ZW179" s="201"/>
      <c r="ZX179" s="201"/>
      <c r="ZY179" s="201"/>
      <c r="ZZ179" s="201"/>
      <c r="AAA179" s="201"/>
      <c r="AAB179" s="201"/>
      <c r="AAC179" s="201"/>
      <c r="AAD179" s="201"/>
      <c r="AAE179" s="201"/>
      <c r="AAF179" s="201"/>
      <c r="AAG179" s="201"/>
      <c r="AAH179" s="201"/>
      <c r="AAI179" s="201"/>
      <c r="AAJ179" s="201"/>
      <c r="AAK179" s="201"/>
      <c r="AAL179" s="201"/>
      <c r="AAM179" s="201"/>
      <c r="AAN179" s="201"/>
      <c r="AAO179" s="201"/>
      <c r="AAP179" s="201"/>
      <c r="AAQ179" s="201"/>
      <c r="AAR179" s="201"/>
      <c r="AAS179" s="201"/>
      <c r="AAT179" s="201"/>
      <c r="AAU179" s="201"/>
      <c r="AAV179" s="201"/>
      <c r="AAW179" s="201"/>
      <c r="AAX179" s="201"/>
      <c r="AAY179" s="201"/>
      <c r="AAZ179" s="201"/>
      <c r="ABA179" s="201"/>
      <c r="ABB179" s="201"/>
      <c r="ABC179" s="201"/>
      <c r="ABD179" s="201"/>
      <c r="ABE179" s="201"/>
      <c r="ABF179" s="201"/>
      <c r="ABG179" s="201"/>
      <c r="ABH179" s="201"/>
      <c r="ABI179" s="201"/>
      <c r="ABJ179" s="201"/>
      <c r="ABK179" s="201"/>
      <c r="ABL179" s="201"/>
      <c r="ABM179" s="201"/>
      <c r="ABN179" s="201"/>
      <c r="ABO179" s="201"/>
      <c r="ABP179" s="201"/>
      <c r="ABQ179" s="201"/>
      <c r="ABR179" s="201"/>
      <c r="ABS179" s="201"/>
      <c r="ABT179" s="201"/>
      <c r="ABU179" s="201"/>
      <c r="ABV179" s="201"/>
      <c r="ABW179" s="201"/>
      <c r="ABX179" s="201"/>
      <c r="ABY179" s="201"/>
      <c r="ABZ179" s="201"/>
      <c r="ACA179" s="201"/>
      <c r="ACB179" s="201"/>
      <c r="ACC179" s="201"/>
      <c r="ACD179" s="201"/>
      <c r="ACE179" s="201"/>
      <c r="ACF179" s="201"/>
      <c r="ACG179" s="201"/>
      <c r="ACH179" s="201"/>
      <c r="ACI179" s="201"/>
      <c r="ACJ179" s="201"/>
      <c r="ACK179" s="201"/>
      <c r="ACL179" s="201"/>
      <c r="ACM179" s="201"/>
      <c r="ACN179" s="201"/>
      <c r="ACO179" s="201"/>
      <c r="ACP179" s="201"/>
      <c r="ACQ179" s="201"/>
      <c r="ACR179" s="201"/>
      <c r="ACS179" s="201"/>
      <c r="ACT179" s="201"/>
      <c r="ACU179" s="201"/>
      <c r="ACV179" s="201"/>
      <c r="ACW179" s="201"/>
      <c r="ACX179" s="201"/>
      <c r="ACY179" s="201"/>
      <c r="ACZ179" s="201"/>
      <c r="ADA179" s="201"/>
      <c r="ADB179" s="201"/>
      <c r="ADC179" s="201"/>
      <c r="ADD179" s="201"/>
      <c r="ADE179" s="201"/>
      <c r="ADF179" s="201"/>
      <c r="ADG179" s="201"/>
      <c r="ADH179" s="201"/>
      <c r="ADI179" s="201"/>
      <c r="ADJ179" s="201"/>
      <c r="ADK179" s="201"/>
      <c r="ADL179" s="201"/>
      <c r="ADM179" s="201"/>
      <c r="ADN179" s="201"/>
      <c r="ADO179" s="201"/>
      <c r="ADP179" s="201"/>
      <c r="ADQ179" s="201"/>
      <c r="ADR179" s="201"/>
      <c r="ADS179" s="201"/>
      <c r="ADT179" s="201"/>
      <c r="ADU179" s="201"/>
      <c r="ADV179" s="201"/>
      <c r="ADW179" s="201"/>
      <c r="ADX179" s="201"/>
      <c r="ADY179" s="201"/>
      <c r="ADZ179" s="201"/>
      <c r="AEA179" s="201"/>
      <c r="AEB179" s="201"/>
      <c r="AEC179" s="201"/>
      <c r="AED179" s="201"/>
      <c r="AEE179" s="201"/>
      <c r="AEF179" s="201"/>
      <c r="AEG179" s="201"/>
      <c r="AEH179" s="201"/>
      <c r="AEI179" s="201"/>
      <c r="AEJ179" s="201"/>
      <c r="AEK179" s="201"/>
      <c r="AEL179" s="201"/>
      <c r="AEM179" s="201"/>
      <c r="AEN179" s="201"/>
      <c r="AEO179" s="201"/>
      <c r="AEP179" s="201"/>
      <c r="AEQ179" s="201"/>
      <c r="AER179" s="201"/>
      <c r="AES179" s="201"/>
      <c r="AET179" s="201"/>
      <c r="AEU179" s="201"/>
      <c r="AEV179" s="201"/>
      <c r="AEW179" s="201"/>
      <c r="AEX179" s="201"/>
      <c r="AEY179" s="201"/>
      <c r="AEZ179" s="201"/>
      <c r="AFA179" s="201"/>
      <c r="AFB179" s="201"/>
      <c r="AFC179" s="201"/>
      <c r="AFD179" s="201"/>
      <c r="AFE179" s="201"/>
      <c r="AFF179" s="201"/>
      <c r="AFG179" s="201"/>
      <c r="AFH179" s="201"/>
      <c r="AFI179" s="201"/>
      <c r="AFJ179" s="201"/>
      <c r="AFK179" s="201"/>
      <c r="AFL179" s="201"/>
      <c r="AFM179" s="201"/>
      <c r="AFN179" s="201"/>
      <c r="AFO179" s="201"/>
      <c r="AFP179" s="201"/>
      <c r="AFQ179" s="201"/>
      <c r="AFR179" s="201"/>
      <c r="AFS179" s="201"/>
      <c r="AFT179" s="201"/>
      <c r="AFU179" s="201"/>
      <c r="AFV179" s="201"/>
      <c r="AFW179" s="201"/>
      <c r="AFX179" s="201"/>
      <c r="AFY179" s="201"/>
      <c r="AFZ179" s="201"/>
      <c r="AGA179" s="201"/>
      <c r="AGB179" s="201"/>
      <c r="AGC179" s="201"/>
      <c r="AGD179" s="201"/>
      <c r="AGE179" s="201"/>
      <c r="AGF179" s="201"/>
      <c r="AGG179" s="201"/>
      <c r="AGH179" s="201"/>
      <c r="AGI179" s="201"/>
      <c r="AGJ179" s="201"/>
      <c r="AGK179" s="201"/>
      <c r="AGL179" s="201"/>
      <c r="AGM179" s="201"/>
      <c r="AGN179" s="201"/>
      <c r="AGO179" s="201"/>
      <c r="AGP179" s="201"/>
      <c r="AGQ179" s="201"/>
      <c r="AGR179" s="201"/>
      <c r="AGS179" s="201"/>
      <c r="AGT179" s="201"/>
      <c r="AGU179" s="201"/>
      <c r="AGV179" s="201"/>
      <c r="AGW179" s="201"/>
      <c r="AGX179" s="201"/>
      <c r="AGY179" s="201"/>
      <c r="AGZ179" s="201"/>
      <c r="AHA179" s="201"/>
      <c r="AHB179" s="201"/>
      <c r="AHC179" s="201"/>
      <c r="AHD179" s="201"/>
      <c r="AHE179" s="201"/>
      <c r="AHF179" s="201"/>
      <c r="AHG179" s="201"/>
      <c r="AHH179" s="201"/>
      <c r="AHI179" s="201"/>
      <c r="AHJ179" s="201"/>
      <c r="AHK179" s="201"/>
      <c r="AHL179" s="201"/>
      <c r="AHM179" s="201"/>
      <c r="AHN179" s="201"/>
      <c r="AHO179" s="201"/>
      <c r="AHP179" s="201"/>
      <c r="AHQ179" s="201"/>
      <c r="AHR179" s="201"/>
      <c r="AHS179" s="201"/>
      <c r="AHT179" s="201"/>
      <c r="AHU179" s="201"/>
      <c r="AHV179" s="201"/>
      <c r="AHW179" s="201"/>
      <c r="AHX179" s="201"/>
      <c r="AHY179" s="201"/>
      <c r="AHZ179" s="201"/>
      <c r="AIA179" s="201"/>
      <c r="AIB179" s="201"/>
      <c r="AIC179" s="201"/>
      <c r="AID179" s="201"/>
      <c r="AIE179" s="201"/>
      <c r="AIF179" s="201"/>
      <c r="AIG179" s="201"/>
      <c r="AIH179" s="201"/>
      <c r="AII179" s="201"/>
      <c r="AIJ179" s="201"/>
      <c r="AIK179" s="201"/>
      <c r="AIL179" s="201"/>
      <c r="AIM179" s="201"/>
      <c r="AIN179" s="201"/>
      <c r="AIO179" s="201"/>
      <c r="AIP179" s="201"/>
      <c r="AIQ179" s="201"/>
      <c r="AIR179" s="201"/>
      <c r="AIS179" s="201"/>
      <c r="AIT179" s="201"/>
      <c r="AIU179" s="201"/>
      <c r="AIV179" s="201"/>
      <c r="AIW179" s="201"/>
      <c r="AIX179" s="201"/>
      <c r="AIY179" s="201"/>
      <c r="AIZ179" s="201"/>
      <c r="AJA179" s="201"/>
      <c r="AJB179" s="201"/>
      <c r="AJC179" s="201"/>
      <c r="AJD179" s="201"/>
      <c r="AJE179" s="201"/>
      <c r="AJF179" s="201"/>
      <c r="AJG179" s="201"/>
      <c r="AJH179" s="201"/>
      <c r="AJI179" s="201"/>
      <c r="AJJ179" s="201"/>
      <c r="AJK179" s="201"/>
      <c r="AJL179" s="201"/>
      <c r="AJM179" s="201"/>
      <c r="AJN179" s="201"/>
      <c r="AJO179" s="201"/>
      <c r="AJP179" s="201"/>
      <c r="AJQ179" s="201"/>
      <c r="AJR179" s="201"/>
      <c r="AJS179" s="201"/>
      <c r="AJT179" s="201"/>
      <c r="AJU179" s="201"/>
      <c r="AJV179" s="201"/>
      <c r="AJW179" s="201"/>
      <c r="AJX179" s="201"/>
      <c r="AJY179" s="201"/>
      <c r="AJZ179" s="201"/>
      <c r="AKA179" s="201"/>
      <c r="AKB179" s="201"/>
      <c r="AKC179" s="201"/>
      <c r="AKD179" s="201"/>
      <c r="AKE179" s="201"/>
      <c r="AKF179" s="201"/>
      <c r="AKG179" s="201"/>
      <c r="AKH179" s="201"/>
      <c r="AKI179" s="201"/>
      <c r="AKJ179" s="201"/>
      <c r="AKK179" s="201"/>
      <c r="AKL179" s="201"/>
      <c r="AKM179" s="201"/>
      <c r="AKN179" s="201"/>
      <c r="AKO179" s="201"/>
      <c r="AKP179" s="201"/>
      <c r="AKQ179" s="201"/>
      <c r="AKR179" s="201"/>
      <c r="AKS179" s="201"/>
      <c r="AKT179" s="201"/>
      <c r="AKU179" s="201"/>
      <c r="AKV179" s="201"/>
      <c r="AKW179" s="201"/>
      <c r="AKX179" s="201"/>
      <c r="AKY179" s="201"/>
      <c r="AKZ179" s="201"/>
      <c r="ALA179" s="201"/>
      <c r="ALB179" s="201"/>
      <c r="ALC179" s="201"/>
      <c r="ALD179" s="201"/>
      <c r="ALE179" s="201"/>
      <c r="ALF179" s="201"/>
      <c r="ALG179" s="201"/>
      <c r="ALH179" s="201"/>
      <c r="ALI179" s="201"/>
      <c r="ALJ179" s="201"/>
      <c r="ALK179" s="201"/>
      <c r="ALL179" s="201"/>
      <c r="ALM179" s="201"/>
      <c r="ALN179" s="201"/>
      <c r="ALO179" s="201"/>
      <c r="ALP179" s="201"/>
      <c r="ALQ179" s="201"/>
      <c r="ALR179" s="201"/>
      <c r="ALS179" s="201"/>
      <c r="ALT179" s="201"/>
      <c r="ALU179" s="201"/>
      <c r="ALV179" s="201"/>
      <c r="ALW179" s="201"/>
      <c r="ALX179" s="201"/>
      <c r="ALY179" s="201"/>
      <c r="ALZ179" s="201"/>
      <c r="AMA179" s="201"/>
      <c r="AMB179" s="201"/>
      <c r="AMC179" s="201"/>
      <c r="AMD179" s="201"/>
      <c r="AME179" s="201"/>
      <c r="AMF179" s="201"/>
      <c r="AMG179" s="201"/>
      <c r="AMH179" s="201"/>
      <c r="AMI179" s="201"/>
      <c r="AMJ179" s="201"/>
      <c r="AMK179" s="201"/>
      <c r="AML179" s="201"/>
      <c r="AMM179" s="201"/>
      <c r="AMN179" s="201"/>
      <c r="AMO179" s="201"/>
      <c r="AMP179" s="201"/>
      <c r="AMQ179" s="201"/>
      <c r="AMR179" s="201"/>
      <c r="AMS179" s="201"/>
      <c r="AMT179" s="201"/>
      <c r="AMU179" s="201"/>
      <c r="AMV179" s="201"/>
      <c r="AMW179" s="201"/>
      <c r="AMX179" s="201"/>
      <c r="AMY179" s="201"/>
      <c r="AMZ179" s="201"/>
      <c r="ANA179" s="201"/>
      <c r="ANB179" s="201"/>
      <c r="ANC179" s="201"/>
      <c r="AND179" s="201"/>
      <c r="ANE179" s="201"/>
      <c r="ANF179" s="201"/>
      <c r="ANG179" s="201"/>
      <c r="ANH179" s="201"/>
      <c r="ANI179" s="201"/>
      <c r="ANJ179" s="201"/>
      <c r="ANK179" s="201"/>
      <c r="ANL179" s="201"/>
      <c r="ANM179" s="201"/>
      <c r="ANN179" s="201"/>
      <c r="ANO179" s="201"/>
      <c r="ANP179" s="201"/>
      <c r="ANQ179" s="201"/>
      <c r="ANR179" s="201"/>
      <c r="ANS179" s="201"/>
      <c r="ANT179" s="201"/>
      <c r="ANU179" s="201"/>
      <c r="ANV179" s="201"/>
      <c r="ANW179" s="201"/>
      <c r="ANX179" s="201"/>
      <c r="ANY179" s="201"/>
      <c r="ANZ179" s="201"/>
      <c r="AOA179" s="201"/>
      <c r="AOB179" s="201"/>
      <c r="AOC179" s="201"/>
      <c r="AOD179" s="201"/>
      <c r="AOE179" s="201"/>
      <c r="AOF179" s="201"/>
      <c r="AOG179" s="201"/>
      <c r="AOH179" s="201"/>
      <c r="AOI179" s="201"/>
      <c r="AOJ179" s="201"/>
      <c r="AOK179" s="201"/>
      <c r="AOL179" s="201"/>
      <c r="AOM179" s="201"/>
      <c r="AON179" s="201"/>
      <c r="AOO179" s="201"/>
      <c r="AOP179" s="201"/>
      <c r="AOQ179" s="201"/>
      <c r="AOR179" s="201"/>
      <c r="AOS179" s="201"/>
      <c r="AOT179" s="201"/>
      <c r="AOU179" s="201"/>
      <c r="AOV179" s="201"/>
      <c r="AOW179" s="201"/>
      <c r="AOX179" s="201"/>
      <c r="AOY179" s="201"/>
      <c r="AOZ179" s="201"/>
      <c r="APA179" s="201"/>
      <c r="APB179" s="201"/>
      <c r="APC179" s="201"/>
      <c r="APD179" s="201"/>
      <c r="APE179" s="201"/>
      <c r="APF179" s="201"/>
      <c r="APG179" s="201"/>
      <c r="APH179" s="201"/>
      <c r="API179" s="201"/>
      <c r="APJ179" s="201"/>
      <c r="APK179" s="201"/>
      <c r="APL179" s="201"/>
      <c r="APM179" s="201"/>
      <c r="APN179" s="201"/>
      <c r="APO179" s="201"/>
      <c r="APP179" s="201"/>
      <c r="APQ179" s="201"/>
      <c r="APR179" s="201"/>
      <c r="APS179" s="201"/>
      <c r="APT179" s="201"/>
      <c r="APU179" s="201"/>
      <c r="APV179" s="201"/>
      <c r="APW179" s="201"/>
      <c r="APX179" s="201"/>
      <c r="APY179" s="201"/>
      <c r="APZ179" s="201"/>
      <c r="AQA179" s="201"/>
      <c r="AQB179" s="201"/>
      <c r="AQC179" s="201"/>
      <c r="AQD179" s="201"/>
      <c r="AQE179" s="201"/>
      <c r="AQF179" s="201"/>
      <c r="AQG179" s="201"/>
      <c r="AQH179" s="201"/>
      <c r="AQI179" s="201"/>
      <c r="AQJ179" s="201"/>
      <c r="AQK179" s="201"/>
      <c r="AQL179" s="201"/>
      <c r="AQM179" s="201"/>
      <c r="AQN179" s="201"/>
      <c r="AQO179" s="201"/>
      <c r="AQP179" s="201"/>
      <c r="AQQ179" s="201"/>
      <c r="AQR179" s="201"/>
      <c r="AQS179" s="201"/>
      <c r="AQT179" s="201"/>
      <c r="AQU179" s="201"/>
      <c r="AQV179" s="201"/>
      <c r="AQW179" s="201"/>
      <c r="AQX179" s="201"/>
      <c r="AQY179" s="201"/>
      <c r="AQZ179" s="201"/>
      <c r="ARA179" s="201"/>
      <c r="ARB179" s="201"/>
      <c r="ARC179" s="201"/>
      <c r="ARD179" s="201"/>
      <c r="ARE179" s="201"/>
      <c r="ARF179" s="201"/>
      <c r="ARG179" s="201"/>
      <c r="ARH179" s="201"/>
      <c r="ARI179" s="201"/>
      <c r="ARJ179" s="201"/>
      <c r="ARK179" s="201"/>
      <c r="ARL179" s="201"/>
      <c r="ARM179" s="201"/>
      <c r="ARN179" s="201"/>
      <c r="ARO179" s="201"/>
      <c r="ARP179" s="201"/>
      <c r="ARQ179" s="201"/>
      <c r="ARR179" s="201"/>
      <c r="ARS179" s="201"/>
      <c r="ART179" s="201"/>
      <c r="ARU179" s="201"/>
      <c r="ARV179" s="201"/>
      <c r="ARW179" s="201"/>
      <c r="ARX179" s="201"/>
      <c r="ARY179" s="201"/>
      <c r="ARZ179" s="201"/>
      <c r="ASA179" s="201"/>
      <c r="ASB179" s="201"/>
      <c r="ASC179" s="201"/>
      <c r="ASD179" s="201"/>
      <c r="ASE179" s="201"/>
      <c r="ASF179" s="201"/>
      <c r="ASG179" s="201"/>
      <c r="ASH179" s="201"/>
      <c r="ASI179" s="201"/>
      <c r="ASJ179" s="201"/>
      <c r="ASK179" s="201"/>
      <c r="ASL179" s="201"/>
      <c r="ASM179" s="201"/>
      <c r="ASN179" s="201"/>
      <c r="ASO179" s="201"/>
      <c r="ASP179" s="201"/>
      <c r="ASQ179" s="201"/>
      <c r="ASR179" s="201"/>
      <c r="ASS179" s="201"/>
      <c r="AST179" s="201"/>
      <c r="ASU179" s="201"/>
      <c r="ASV179" s="201"/>
      <c r="ASW179" s="201"/>
      <c r="ASX179" s="201"/>
      <c r="ASY179" s="201"/>
      <c r="ASZ179" s="201"/>
      <c r="ATA179" s="201"/>
      <c r="ATB179" s="201"/>
      <c r="ATC179" s="201"/>
      <c r="ATD179" s="201"/>
      <c r="ATE179" s="201"/>
      <c r="ATF179" s="201"/>
      <c r="ATG179" s="201"/>
      <c r="ATH179" s="201"/>
      <c r="ATI179" s="201"/>
      <c r="ATJ179" s="201"/>
      <c r="ATK179" s="201"/>
      <c r="ATL179" s="201"/>
      <c r="ATM179" s="201"/>
      <c r="ATN179" s="201"/>
      <c r="ATO179" s="201"/>
      <c r="ATP179" s="201"/>
      <c r="ATQ179" s="201"/>
      <c r="ATR179" s="201"/>
      <c r="ATS179" s="201"/>
      <c r="ATT179" s="201"/>
      <c r="ATU179" s="201"/>
      <c r="ATV179" s="201"/>
      <c r="ATW179" s="201"/>
      <c r="ATX179" s="201"/>
      <c r="ATY179" s="201"/>
      <c r="ATZ179" s="201"/>
      <c r="AUA179" s="201"/>
      <c r="AUB179" s="201"/>
      <c r="AUC179" s="201"/>
      <c r="AUD179" s="201"/>
      <c r="AUE179" s="201"/>
      <c r="AUF179" s="201"/>
      <c r="AUG179" s="201"/>
      <c r="AUH179" s="201"/>
      <c r="AUI179" s="201"/>
      <c r="AUJ179" s="201"/>
      <c r="AUK179" s="201"/>
      <c r="AUL179" s="201"/>
      <c r="AUM179" s="201"/>
      <c r="AUN179" s="201"/>
      <c r="AUO179" s="201"/>
      <c r="AUP179" s="201"/>
      <c r="AUQ179" s="201"/>
      <c r="AUR179" s="201"/>
      <c r="AUS179" s="201"/>
      <c r="AUT179" s="201"/>
      <c r="AUU179" s="201"/>
      <c r="AUV179" s="201"/>
      <c r="AUW179" s="201"/>
      <c r="AUX179" s="201"/>
      <c r="AUY179" s="201"/>
      <c r="AUZ179" s="201"/>
      <c r="AVA179" s="201"/>
      <c r="AVB179" s="201"/>
      <c r="AVC179" s="201"/>
      <c r="AVD179" s="201"/>
      <c r="AVE179" s="201"/>
      <c r="AVF179" s="201"/>
      <c r="AVG179" s="201"/>
      <c r="AVH179" s="201"/>
      <c r="AVI179" s="201"/>
      <c r="AVJ179" s="201"/>
      <c r="AVK179" s="201"/>
      <c r="AVL179" s="201"/>
      <c r="AVM179" s="201"/>
      <c r="AVN179" s="201"/>
      <c r="AVO179" s="201"/>
      <c r="AVP179" s="201"/>
      <c r="AVQ179" s="201"/>
      <c r="AVR179" s="201"/>
      <c r="AVS179" s="201"/>
      <c r="AVT179" s="201"/>
      <c r="AVU179" s="201"/>
      <c r="AVV179" s="201"/>
      <c r="AVW179" s="201"/>
      <c r="AVX179" s="201"/>
      <c r="AVY179" s="201"/>
      <c r="AVZ179" s="201"/>
      <c r="AWA179" s="201"/>
      <c r="AWB179" s="201"/>
      <c r="AWC179" s="201"/>
      <c r="AWD179" s="201"/>
      <c r="AWE179" s="201"/>
      <c r="AWF179" s="201"/>
      <c r="AWG179" s="201"/>
      <c r="AWH179" s="201"/>
      <c r="AWI179" s="201"/>
      <c r="AWJ179" s="201"/>
      <c r="AWK179" s="201"/>
      <c r="AWL179" s="201"/>
      <c r="AWM179" s="201"/>
      <c r="AWN179" s="201"/>
      <c r="AWO179" s="201"/>
      <c r="AWP179" s="201"/>
      <c r="AWQ179" s="201"/>
      <c r="AWR179" s="201"/>
      <c r="AWS179" s="201"/>
      <c r="AWT179" s="201"/>
      <c r="AWU179" s="201"/>
      <c r="AWV179" s="201"/>
      <c r="AWW179" s="201"/>
      <c r="AWX179" s="201"/>
      <c r="AWY179" s="201"/>
      <c r="AWZ179" s="201"/>
      <c r="AXA179" s="201"/>
      <c r="AXB179" s="201"/>
      <c r="AXC179" s="201"/>
      <c r="AXD179" s="201"/>
      <c r="AXE179" s="201"/>
      <c r="AXF179" s="201"/>
      <c r="AXG179" s="201"/>
      <c r="AXH179" s="201"/>
      <c r="AXI179" s="201"/>
      <c r="AXJ179" s="201"/>
      <c r="AXK179" s="201"/>
      <c r="AXL179" s="201"/>
      <c r="AXM179" s="201"/>
      <c r="AXN179" s="201"/>
      <c r="AXO179" s="201"/>
      <c r="AXP179" s="201"/>
      <c r="AXQ179" s="201"/>
      <c r="AXR179" s="201"/>
      <c r="AXS179" s="201"/>
      <c r="AXT179" s="201"/>
      <c r="AXU179" s="201"/>
      <c r="AXV179" s="201"/>
      <c r="AXW179" s="201"/>
      <c r="AXX179" s="201"/>
      <c r="AXY179" s="201"/>
      <c r="AXZ179" s="201"/>
      <c r="AYA179" s="201"/>
      <c r="AYB179" s="201"/>
      <c r="AYC179" s="201"/>
      <c r="AYD179" s="201"/>
      <c r="AYE179" s="201"/>
      <c r="AYF179" s="201"/>
      <c r="AYG179" s="201"/>
      <c r="AYH179" s="201"/>
      <c r="AYI179" s="201"/>
      <c r="AYJ179" s="201"/>
      <c r="AYK179" s="201"/>
      <c r="AYL179" s="201"/>
      <c r="AYM179" s="201"/>
      <c r="AYN179" s="201"/>
      <c r="AYO179" s="201"/>
      <c r="AYP179" s="201"/>
      <c r="AYQ179" s="201"/>
      <c r="AYR179" s="201"/>
      <c r="AYS179" s="201"/>
      <c r="AYT179" s="201"/>
      <c r="AYU179" s="201"/>
      <c r="AYV179" s="201"/>
      <c r="AYW179" s="201"/>
      <c r="AYX179" s="201"/>
      <c r="AYY179" s="201"/>
      <c r="AYZ179" s="201"/>
      <c r="AZA179" s="201"/>
      <c r="AZB179" s="201"/>
      <c r="AZC179" s="201"/>
      <c r="AZD179" s="201"/>
      <c r="AZE179" s="201"/>
      <c r="AZF179" s="201"/>
      <c r="AZG179" s="201"/>
      <c r="AZH179" s="201"/>
      <c r="AZI179" s="201"/>
      <c r="AZJ179" s="201"/>
      <c r="AZK179" s="201"/>
      <c r="AZL179" s="201"/>
      <c r="AZM179" s="201"/>
      <c r="AZN179" s="201"/>
      <c r="AZO179" s="201"/>
      <c r="AZP179" s="201"/>
      <c r="AZQ179" s="201"/>
      <c r="AZR179" s="201"/>
      <c r="AZS179" s="201"/>
      <c r="AZT179" s="201"/>
      <c r="AZU179" s="201"/>
      <c r="AZV179" s="201"/>
      <c r="AZW179" s="201"/>
      <c r="AZX179" s="201"/>
      <c r="AZY179" s="201"/>
      <c r="AZZ179" s="201"/>
      <c r="BAA179" s="201"/>
      <c r="BAB179" s="201"/>
      <c r="BAC179" s="201"/>
      <c r="BAD179" s="201"/>
      <c r="BAE179" s="201"/>
      <c r="BAF179" s="201"/>
      <c r="BAG179" s="201"/>
      <c r="BAH179" s="201"/>
      <c r="BAI179" s="201"/>
      <c r="BAJ179" s="201"/>
      <c r="BAK179" s="201"/>
      <c r="BAL179" s="201"/>
      <c r="BAM179" s="201"/>
      <c r="BAN179" s="201"/>
      <c r="BAO179" s="201"/>
      <c r="BAP179" s="201"/>
      <c r="BAQ179" s="201"/>
      <c r="BAR179" s="201"/>
      <c r="BAS179" s="201"/>
      <c r="BAT179" s="201"/>
      <c r="BAU179" s="201"/>
      <c r="BAV179" s="201"/>
      <c r="BAW179" s="201"/>
      <c r="BAX179" s="201"/>
      <c r="BAY179" s="201"/>
      <c r="BAZ179" s="201"/>
      <c r="BBA179" s="201"/>
      <c r="BBB179" s="201"/>
      <c r="BBC179" s="201"/>
      <c r="BBD179" s="201"/>
      <c r="BBE179" s="201"/>
      <c r="BBF179" s="201"/>
      <c r="BBG179" s="201"/>
      <c r="BBH179" s="201"/>
      <c r="BBI179" s="201"/>
      <c r="BBJ179" s="201"/>
      <c r="BBK179" s="201"/>
      <c r="BBL179" s="201"/>
      <c r="BBM179" s="201"/>
      <c r="BBN179" s="201"/>
      <c r="BBO179" s="201"/>
      <c r="BBP179" s="201"/>
      <c r="BBQ179" s="201"/>
      <c r="BBR179" s="201"/>
      <c r="BBS179" s="201"/>
      <c r="BBT179" s="201"/>
      <c r="BBU179" s="201"/>
      <c r="BBV179" s="201"/>
      <c r="BBW179" s="201"/>
      <c r="BBX179" s="201"/>
      <c r="BBY179" s="201"/>
      <c r="BBZ179" s="201"/>
      <c r="BCA179" s="201"/>
      <c r="BCB179" s="201"/>
      <c r="BCC179" s="201"/>
      <c r="BCD179" s="201"/>
      <c r="BCE179" s="201"/>
      <c r="BCF179" s="201"/>
      <c r="BCG179" s="201"/>
      <c r="BCH179" s="201"/>
      <c r="BCI179" s="201"/>
      <c r="BCJ179" s="201"/>
      <c r="BCK179" s="201"/>
      <c r="BCL179" s="201"/>
      <c r="BCM179" s="201"/>
      <c r="BCN179" s="201"/>
      <c r="BCO179" s="201"/>
      <c r="BCP179" s="201"/>
      <c r="BCQ179" s="201"/>
      <c r="BCR179" s="201"/>
      <c r="BCS179" s="201"/>
      <c r="BCT179" s="201"/>
      <c r="BCU179" s="201"/>
      <c r="BCV179" s="201"/>
      <c r="BCW179" s="201"/>
      <c r="BCX179" s="201"/>
      <c r="BCY179" s="201"/>
      <c r="BCZ179" s="201"/>
      <c r="BDA179" s="201"/>
      <c r="BDB179" s="201"/>
      <c r="BDC179" s="201"/>
      <c r="BDD179" s="201"/>
      <c r="BDE179" s="201"/>
      <c r="BDF179" s="201"/>
      <c r="BDG179" s="201"/>
      <c r="BDH179" s="201"/>
      <c r="BDI179" s="201"/>
      <c r="BDJ179" s="201"/>
      <c r="BDK179" s="201"/>
      <c r="BDL179" s="201"/>
      <c r="BDM179" s="201"/>
      <c r="BDN179" s="201"/>
      <c r="BDO179" s="201"/>
      <c r="BDP179" s="201"/>
      <c r="BDQ179" s="201"/>
      <c r="BDR179" s="201"/>
      <c r="BDS179" s="201"/>
      <c r="BDT179" s="201"/>
      <c r="BDU179" s="201"/>
      <c r="BDV179" s="201"/>
      <c r="BDW179" s="201"/>
      <c r="BDX179" s="201"/>
      <c r="BDY179" s="201"/>
      <c r="BDZ179" s="201"/>
      <c r="BEA179" s="201"/>
      <c r="BEB179" s="201"/>
      <c r="BEC179" s="201"/>
      <c r="BED179" s="201"/>
      <c r="BEE179" s="201"/>
      <c r="BEF179" s="201"/>
      <c r="BEG179" s="201"/>
      <c r="BEH179" s="201"/>
      <c r="BEI179" s="201"/>
      <c r="BEJ179" s="201"/>
      <c r="BEK179" s="201"/>
      <c r="BEL179" s="201"/>
      <c r="BEM179" s="201"/>
      <c r="BEN179" s="201"/>
      <c r="BEO179" s="201"/>
      <c r="BEP179" s="201"/>
      <c r="BEQ179" s="201"/>
      <c r="BER179" s="201"/>
      <c r="BES179" s="201"/>
      <c r="BET179" s="201"/>
      <c r="BEU179" s="201"/>
      <c r="BEV179" s="201"/>
      <c r="BEW179" s="201"/>
      <c r="BEX179" s="201"/>
      <c r="BEY179" s="201"/>
      <c r="BEZ179" s="201"/>
      <c r="BFA179" s="201"/>
      <c r="BFB179" s="201"/>
      <c r="BFC179" s="201"/>
      <c r="BFD179" s="201"/>
      <c r="BFE179" s="201"/>
      <c r="BFF179" s="201"/>
      <c r="BFG179" s="201"/>
      <c r="BFH179" s="201"/>
      <c r="BFI179" s="201"/>
      <c r="BFJ179" s="201"/>
      <c r="BFK179" s="201"/>
      <c r="BFL179" s="201"/>
      <c r="BFM179" s="201"/>
      <c r="BFN179" s="201"/>
      <c r="BFO179" s="201"/>
      <c r="BFP179" s="201"/>
      <c r="BFQ179" s="201"/>
      <c r="BFR179" s="201"/>
      <c r="BFS179" s="201"/>
      <c r="BFT179" s="201"/>
      <c r="BFU179" s="201"/>
      <c r="BFV179" s="201"/>
      <c r="BFW179" s="201"/>
      <c r="BFX179" s="201"/>
      <c r="BFY179" s="201"/>
      <c r="BFZ179" s="201"/>
      <c r="BGA179" s="201"/>
      <c r="BGB179" s="201"/>
      <c r="BGC179" s="201"/>
      <c r="BGD179" s="201"/>
      <c r="BGE179" s="201"/>
      <c r="BGF179" s="201"/>
      <c r="BGG179" s="201"/>
      <c r="BGH179" s="201"/>
      <c r="BGI179" s="201"/>
      <c r="BGJ179" s="201"/>
      <c r="BGK179" s="201"/>
      <c r="BGL179" s="201"/>
      <c r="BGM179" s="201"/>
      <c r="BGN179" s="201"/>
      <c r="BGO179" s="201"/>
      <c r="BGP179" s="201"/>
      <c r="BGQ179" s="201"/>
      <c r="BGR179" s="201"/>
      <c r="BGS179" s="201"/>
      <c r="BGT179" s="201"/>
      <c r="BGU179" s="201"/>
      <c r="BGV179" s="201"/>
      <c r="BGW179" s="201"/>
      <c r="BGX179" s="201"/>
      <c r="BGY179" s="201"/>
      <c r="BGZ179" s="201"/>
      <c r="BHA179" s="201"/>
      <c r="BHB179" s="201"/>
      <c r="BHC179" s="201"/>
      <c r="BHD179" s="201"/>
      <c r="BHE179" s="201"/>
      <c r="BHF179" s="201"/>
      <c r="BHG179" s="201"/>
      <c r="BHH179" s="201"/>
      <c r="BHI179" s="201"/>
      <c r="BHJ179" s="201"/>
      <c r="BHK179" s="201"/>
      <c r="BHL179" s="201"/>
      <c r="BHM179" s="201"/>
      <c r="BHN179" s="201"/>
      <c r="BHO179" s="201"/>
      <c r="BHP179" s="201"/>
      <c r="BHQ179" s="201"/>
      <c r="BHR179" s="201"/>
      <c r="BHS179" s="201"/>
      <c r="BHT179" s="201"/>
      <c r="BHU179" s="201"/>
      <c r="BHV179" s="201"/>
      <c r="BHW179" s="201"/>
      <c r="BHX179" s="201"/>
      <c r="BHY179" s="201"/>
      <c r="BHZ179" s="201"/>
      <c r="BIA179" s="201"/>
      <c r="BIB179" s="201"/>
      <c r="BIC179" s="201"/>
      <c r="BID179" s="201"/>
      <c r="BIE179" s="201"/>
      <c r="BIF179" s="201"/>
      <c r="BIG179" s="201"/>
      <c r="BIH179" s="201"/>
      <c r="BII179" s="201"/>
      <c r="BIJ179" s="201"/>
      <c r="BIK179" s="201"/>
      <c r="BIL179" s="201"/>
      <c r="BIM179" s="201"/>
      <c r="BIN179" s="201"/>
      <c r="BIO179" s="201"/>
      <c r="BIP179" s="201"/>
      <c r="BIQ179" s="201"/>
      <c r="BIR179" s="201"/>
      <c r="BIS179" s="201"/>
      <c r="BIT179" s="201"/>
      <c r="BIU179" s="201"/>
      <c r="BIV179" s="201"/>
      <c r="BIW179" s="201"/>
      <c r="BIX179" s="201"/>
      <c r="BIY179" s="201"/>
      <c r="BIZ179" s="201"/>
      <c r="BJA179" s="201"/>
      <c r="BJB179" s="201"/>
      <c r="BJC179" s="201"/>
      <c r="BJD179" s="201"/>
      <c r="BJE179" s="201"/>
      <c r="BJF179" s="201"/>
      <c r="BJG179" s="201"/>
      <c r="BJH179" s="201"/>
      <c r="BJI179" s="201"/>
      <c r="BJJ179" s="201"/>
      <c r="BJK179" s="201"/>
      <c r="BJL179" s="201"/>
      <c r="BJM179" s="201"/>
      <c r="BJN179" s="201"/>
      <c r="BJO179" s="201"/>
      <c r="BJP179" s="201"/>
      <c r="BJQ179" s="201"/>
      <c r="BJR179" s="201"/>
      <c r="BJS179" s="201"/>
      <c r="BJT179" s="201"/>
      <c r="BJU179" s="201"/>
      <c r="BJV179" s="201"/>
      <c r="BJW179" s="201"/>
      <c r="BJX179" s="201"/>
      <c r="BJY179" s="201"/>
      <c r="BJZ179" s="201"/>
      <c r="BKA179" s="201"/>
      <c r="BKB179" s="201"/>
      <c r="BKC179" s="201"/>
      <c r="BKD179" s="201"/>
      <c r="BKE179" s="201"/>
      <c r="BKF179" s="201"/>
      <c r="BKG179" s="201"/>
      <c r="BKH179" s="201"/>
      <c r="BKI179" s="201"/>
      <c r="BKJ179" s="201"/>
      <c r="BKK179" s="201"/>
      <c r="BKL179" s="201"/>
      <c r="BKM179" s="201"/>
      <c r="BKN179" s="201"/>
      <c r="BKO179" s="201"/>
      <c r="BKP179" s="201"/>
      <c r="BKQ179" s="201"/>
      <c r="BKR179" s="201"/>
      <c r="BKS179" s="201"/>
      <c r="BKT179" s="201"/>
      <c r="BKU179" s="201"/>
      <c r="BKV179" s="201"/>
      <c r="BKW179" s="201"/>
      <c r="BKX179" s="201"/>
      <c r="BKY179" s="201"/>
      <c r="BKZ179" s="201"/>
      <c r="BLA179" s="201"/>
      <c r="BLB179" s="201"/>
      <c r="BLC179" s="201"/>
      <c r="BLD179" s="201"/>
      <c r="BLE179" s="201"/>
      <c r="BLF179" s="201"/>
      <c r="BLG179" s="201"/>
      <c r="BLH179" s="201"/>
      <c r="BLI179" s="201"/>
      <c r="BLJ179" s="201"/>
      <c r="BLK179" s="201"/>
      <c r="BLL179" s="201"/>
      <c r="BLM179" s="201"/>
      <c r="BLN179" s="201"/>
      <c r="BLO179" s="201"/>
      <c r="BLP179" s="201"/>
      <c r="BLQ179" s="201"/>
      <c r="BLR179" s="201"/>
      <c r="BLS179" s="201"/>
      <c r="BLT179" s="201"/>
      <c r="BLU179" s="201"/>
      <c r="BLV179" s="201"/>
      <c r="BLW179" s="201"/>
      <c r="BLX179" s="201"/>
      <c r="BLY179" s="201"/>
      <c r="BLZ179" s="201"/>
      <c r="BMA179" s="201"/>
      <c r="BMB179" s="201"/>
      <c r="BMC179" s="201"/>
      <c r="BMD179" s="201"/>
      <c r="BME179" s="201"/>
      <c r="BMF179" s="201"/>
      <c r="BMG179" s="201"/>
      <c r="BMH179" s="201"/>
      <c r="BMI179" s="201"/>
      <c r="BMJ179" s="201"/>
      <c r="BMK179" s="201"/>
      <c r="BML179" s="201"/>
      <c r="BMM179" s="201"/>
      <c r="BMN179" s="201"/>
      <c r="BMO179" s="201"/>
      <c r="BMP179" s="201"/>
      <c r="BMQ179" s="201"/>
      <c r="BMR179" s="201"/>
      <c r="BMS179" s="201"/>
      <c r="BMT179" s="201"/>
      <c r="BMU179" s="201"/>
      <c r="BMV179" s="201"/>
      <c r="BMW179" s="201"/>
      <c r="BMX179" s="201"/>
      <c r="BMY179" s="201"/>
      <c r="BMZ179" s="201"/>
      <c r="BNA179" s="201"/>
      <c r="BNB179" s="201"/>
      <c r="BNC179" s="201"/>
      <c r="BND179" s="201"/>
      <c r="BNE179" s="201"/>
      <c r="BNF179" s="201"/>
      <c r="BNG179" s="201"/>
      <c r="BNH179" s="201"/>
      <c r="BNI179" s="201"/>
      <c r="BNJ179" s="201"/>
      <c r="BNK179" s="201"/>
      <c r="BNL179" s="201"/>
      <c r="BNM179" s="201"/>
      <c r="BNN179" s="201"/>
      <c r="BNO179" s="201"/>
      <c r="BNP179" s="201"/>
      <c r="BNQ179" s="201"/>
      <c r="BNR179" s="201"/>
      <c r="BNS179" s="201"/>
      <c r="BNT179" s="201"/>
      <c r="BNU179" s="201"/>
      <c r="BNV179" s="201"/>
      <c r="BNW179" s="201"/>
      <c r="BNX179" s="201"/>
      <c r="BNY179" s="201"/>
      <c r="BNZ179" s="201"/>
      <c r="BOA179" s="201"/>
      <c r="BOB179" s="201"/>
      <c r="BOC179" s="201"/>
      <c r="BOD179" s="201"/>
      <c r="BOE179" s="201"/>
      <c r="BOF179" s="201"/>
      <c r="BOG179" s="201"/>
      <c r="BOH179" s="201"/>
      <c r="BOI179" s="201"/>
      <c r="BOJ179" s="201"/>
      <c r="BOK179" s="201"/>
      <c r="BOL179" s="201"/>
      <c r="BOM179" s="201"/>
      <c r="BON179" s="201"/>
      <c r="BOO179" s="201"/>
      <c r="BOP179" s="201"/>
      <c r="BOQ179" s="201"/>
      <c r="BOR179" s="201"/>
      <c r="BOS179" s="201"/>
      <c r="BOT179" s="201"/>
      <c r="BOU179" s="201"/>
      <c r="BOV179" s="201"/>
      <c r="BOW179" s="201"/>
      <c r="BOX179" s="201"/>
      <c r="BOY179" s="201"/>
      <c r="BOZ179" s="201"/>
      <c r="BPA179" s="201"/>
      <c r="BPB179" s="201"/>
      <c r="BPC179" s="201"/>
      <c r="BPD179" s="201"/>
      <c r="BPE179" s="201"/>
      <c r="BPF179" s="201"/>
      <c r="BPG179" s="201"/>
      <c r="BPH179" s="201"/>
      <c r="BPI179" s="201"/>
      <c r="BPJ179" s="201"/>
      <c r="BPK179" s="201"/>
      <c r="BPL179" s="201"/>
      <c r="BPM179" s="201"/>
      <c r="BPN179" s="201"/>
      <c r="BPO179" s="201"/>
      <c r="BPP179" s="201"/>
      <c r="BPQ179" s="201"/>
      <c r="BPR179" s="201"/>
      <c r="BPS179" s="201"/>
      <c r="BPT179" s="201"/>
      <c r="BPU179" s="201"/>
      <c r="BPV179" s="201"/>
      <c r="BPW179" s="201"/>
      <c r="BPX179" s="201"/>
      <c r="BPY179" s="201"/>
      <c r="BPZ179" s="201"/>
      <c r="BQA179" s="201"/>
      <c r="BQB179" s="201"/>
      <c r="BQC179" s="201"/>
      <c r="BQD179" s="201"/>
      <c r="BQE179" s="201"/>
      <c r="BQF179" s="201"/>
      <c r="BQG179" s="201"/>
      <c r="BQH179" s="201"/>
      <c r="BQI179" s="201"/>
      <c r="BQJ179" s="201"/>
      <c r="BQK179" s="201"/>
      <c r="BQL179" s="201"/>
      <c r="BQM179" s="201"/>
      <c r="BQN179" s="201"/>
      <c r="BQO179" s="201"/>
      <c r="BQP179" s="201"/>
      <c r="BQQ179" s="201"/>
      <c r="BQR179" s="201"/>
      <c r="BQS179" s="201"/>
      <c r="BQT179" s="201"/>
      <c r="BQU179" s="201"/>
      <c r="BQV179" s="201"/>
      <c r="BQW179" s="201"/>
      <c r="BQX179" s="201"/>
      <c r="BQY179" s="201"/>
      <c r="BQZ179" s="201"/>
      <c r="BRA179" s="201"/>
      <c r="BRB179" s="201"/>
      <c r="BRC179" s="201"/>
      <c r="BRD179" s="201"/>
      <c r="BRE179" s="201"/>
      <c r="BRF179" s="201"/>
      <c r="BRG179" s="201"/>
      <c r="BRH179" s="201"/>
      <c r="BRI179" s="201"/>
      <c r="BRJ179" s="201"/>
      <c r="BRK179" s="201"/>
      <c r="BRL179" s="201"/>
      <c r="BRM179" s="201"/>
      <c r="BRN179" s="201"/>
      <c r="BRO179" s="201"/>
      <c r="BRP179" s="201"/>
      <c r="BRQ179" s="201"/>
      <c r="BRR179" s="201"/>
      <c r="BRS179" s="201"/>
      <c r="BRT179" s="201"/>
      <c r="BRU179" s="201"/>
      <c r="BRV179" s="201"/>
      <c r="BRW179" s="201"/>
      <c r="BRX179" s="201"/>
      <c r="BRY179" s="201"/>
      <c r="BRZ179" s="201"/>
      <c r="BSA179" s="201"/>
      <c r="BSB179" s="201"/>
      <c r="BSC179" s="201"/>
      <c r="BSD179" s="201"/>
      <c r="BSE179" s="201"/>
      <c r="BSF179" s="201"/>
      <c r="BSG179" s="201"/>
      <c r="BSH179" s="201"/>
      <c r="BSI179" s="201"/>
      <c r="BSJ179" s="201"/>
      <c r="BSK179" s="201"/>
      <c r="BSL179" s="201"/>
      <c r="BSM179" s="201"/>
      <c r="BSN179" s="201"/>
      <c r="BSO179" s="201"/>
      <c r="BSP179" s="201"/>
      <c r="BSQ179" s="201"/>
      <c r="BSR179" s="201"/>
      <c r="BSS179" s="201"/>
      <c r="BST179" s="201"/>
      <c r="BSU179" s="201"/>
      <c r="BSV179" s="201"/>
      <c r="BSW179" s="201"/>
      <c r="BSX179" s="201"/>
      <c r="BSY179" s="201"/>
      <c r="BSZ179" s="201"/>
      <c r="BTA179" s="201"/>
      <c r="BTB179" s="201"/>
      <c r="BTC179" s="201"/>
      <c r="BTD179" s="201"/>
      <c r="BTE179" s="201"/>
      <c r="BTF179" s="201"/>
      <c r="BTG179" s="201"/>
      <c r="BTH179" s="201"/>
      <c r="BTI179" s="201"/>
      <c r="BTJ179" s="201"/>
      <c r="BTK179" s="201"/>
      <c r="BTL179" s="201"/>
      <c r="BTM179" s="201"/>
      <c r="BTN179" s="201"/>
      <c r="BTO179" s="201"/>
      <c r="BTP179" s="201"/>
      <c r="BTQ179" s="201"/>
      <c r="BTR179" s="201"/>
      <c r="BTS179" s="201"/>
      <c r="BTT179" s="201"/>
      <c r="BTU179" s="201"/>
      <c r="BTV179" s="201"/>
      <c r="BTW179" s="201"/>
      <c r="BTX179" s="201"/>
      <c r="BTY179" s="201"/>
      <c r="BTZ179" s="201"/>
      <c r="BUA179" s="201"/>
      <c r="BUB179" s="201"/>
      <c r="BUC179" s="201"/>
      <c r="BUD179" s="201"/>
      <c r="BUE179" s="201"/>
      <c r="BUF179" s="201"/>
      <c r="BUG179" s="201"/>
      <c r="BUH179" s="201"/>
      <c r="BUI179" s="201"/>
      <c r="BUJ179" s="201"/>
      <c r="BUK179" s="201"/>
      <c r="BUL179" s="201"/>
      <c r="BUM179" s="201"/>
      <c r="BUN179" s="201"/>
      <c r="BUO179" s="201"/>
      <c r="BUP179" s="201"/>
      <c r="BUQ179" s="201"/>
      <c r="BUR179" s="201"/>
      <c r="BUS179" s="201"/>
      <c r="BUT179" s="201"/>
      <c r="BUU179" s="201"/>
      <c r="BUV179" s="201"/>
      <c r="BUW179" s="201"/>
      <c r="BUX179" s="201"/>
      <c r="BUY179" s="201"/>
      <c r="BUZ179" s="201"/>
      <c r="BVA179" s="201"/>
      <c r="BVB179" s="201"/>
      <c r="BVC179" s="201"/>
      <c r="BVD179" s="201"/>
      <c r="BVE179" s="201"/>
      <c r="BVF179" s="201"/>
      <c r="BVG179" s="201"/>
      <c r="BVH179" s="201"/>
      <c r="BVI179" s="201"/>
      <c r="BVJ179" s="201"/>
      <c r="BVK179" s="201"/>
      <c r="BVL179" s="201"/>
      <c r="BVM179" s="201"/>
      <c r="BVN179" s="201"/>
      <c r="BVO179" s="201"/>
      <c r="BVP179" s="201"/>
      <c r="BVQ179" s="201"/>
      <c r="BVR179" s="201"/>
      <c r="BVS179" s="201"/>
      <c r="BVT179" s="201"/>
      <c r="BVU179" s="201"/>
      <c r="BVV179" s="201"/>
      <c r="BVW179" s="201"/>
      <c r="BVX179" s="201"/>
      <c r="BVY179" s="201"/>
      <c r="BVZ179" s="201"/>
      <c r="BWA179" s="201"/>
      <c r="BWB179" s="201"/>
      <c r="BWC179" s="201"/>
      <c r="BWD179" s="201"/>
      <c r="BWE179" s="201"/>
      <c r="BWF179" s="201"/>
      <c r="BWG179" s="201"/>
      <c r="BWH179" s="201"/>
      <c r="BWI179" s="201"/>
      <c r="BWJ179" s="201"/>
      <c r="BWK179" s="201"/>
      <c r="BWL179" s="201"/>
      <c r="BWM179" s="201"/>
      <c r="BWN179" s="201"/>
      <c r="BWO179" s="201"/>
      <c r="BWP179" s="201"/>
      <c r="BWQ179" s="201"/>
      <c r="BWR179" s="201"/>
      <c r="BWS179" s="201"/>
      <c r="BWT179" s="201"/>
      <c r="BWU179" s="201"/>
      <c r="BWV179" s="201"/>
      <c r="BWW179" s="201"/>
      <c r="BWX179" s="201"/>
      <c r="BWY179" s="201"/>
      <c r="BWZ179" s="201"/>
      <c r="BXA179" s="201"/>
      <c r="BXB179" s="201"/>
      <c r="BXC179" s="201"/>
      <c r="BXD179" s="201"/>
      <c r="BXE179" s="201"/>
      <c r="BXF179" s="201"/>
      <c r="BXG179" s="201"/>
      <c r="BXH179" s="201"/>
      <c r="BXI179" s="201"/>
      <c r="BXJ179" s="201"/>
      <c r="BXK179" s="201"/>
      <c r="BXL179" s="201"/>
      <c r="BXM179" s="201"/>
      <c r="BXN179" s="201"/>
      <c r="BXO179" s="201"/>
      <c r="BXP179" s="201"/>
      <c r="BXQ179" s="201"/>
      <c r="BXR179" s="201"/>
      <c r="BXS179" s="201"/>
      <c r="BXT179" s="201"/>
      <c r="BXU179" s="201"/>
      <c r="BXV179" s="201"/>
      <c r="BXW179" s="201"/>
      <c r="BXX179" s="201"/>
      <c r="BXY179" s="201"/>
      <c r="BXZ179" s="201"/>
      <c r="BYA179" s="201"/>
      <c r="BYB179" s="201"/>
      <c r="BYC179" s="201"/>
      <c r="BYD179" s="201"/>
      <c r="BYE179" s="201"/>
      <c r="BYF179" s="201"/>
      <c r="BYG179" s="201"/>
      <c r="BYH179" s="201"/>
      <c r="BYI179" s="201"/>
      <c r="BYJ179" s="201"/>
      <c r="BYK179" s="201"/>
      <c r="BYL179" s="201"/>
      <c r="BYM179" s="201"/>
      <c r="BYN179" s="201"/>
      <c r="BYO179" s="201"/>
      <c r="BYP179" s="201"/>
      <c r="BYQ179" s="201"/>
      <c r="BYR179" s="201"/>
      <c r="BYS179" s="201"/>
      <c r="BYT179" s="201"/>
      <c r="BYU179" s="201"/>
      <c r="BYV179" s="201"/>
      <c r="BYW179" s="201"/>
      <c r="BYX179" s="201"/>
      <c r="BYY179" s="201"/>
      <c r="BYZ179" s="201"/>
      <c r="BZA179" s="201"/>
      <c r="BZB179" s="201"/>
      <c r="BZC179" s="201"/>
      <c r="BZD179" s="201"/>
      <c r="BZE179" s="201"/>
      <c r="BZF179" s="201"/>
      <c r="BZG179" s="201"/>
      <c r="BZH179" s="201"/>
      <c r="BZI179" s="201"/>
      <c r="BZJ179" s="201"/>
      <c r="BZK179" s="201"/>
      <c r="BZL179" s="201"/>
      <c r="BZM179" s="201"/>
      <c r="BZN179" s="201"/>
      <c r="BZO179" s="201"/>
      <c r="BZP179" s="201"/>
      <c r="BZQ179" s="201"/>
      <c r="BZR179" s="201"/>
      <c r="BZS179" s="201"/>
      <c r="BZT179" s="201"/>
      <c r="BZU179" s="201"/>
      <c r="BZV179" s="201"/>
      <c r="BZW179" s="201"/>
      <c r="BZX179" s="201"/>
      <c r="BZY179" s="201"/>
      <c r="BZZ179" s="201"/>
      <c r="CAA179" s="201"/>
      <c r="CAB179" s="201"/>
      <c r="CAC179" s="201"/>
      <c r="CAD179" s="201"/>
      <c r="CAE179" s="201"/>
      <c r="CAF179" s="201"/>
      <c r="CAG179" s="201"/>
      <c r="CAH179" s="201"/>
      <c r="CAI179" s="201"/>
      <c r="CAJ179" s="201"/>
      <c r="CAK179" s="201"/>
      <c r="CAL179" s="201"/>
      <c r="CAM179" s="201"/>
      <c r="CAN179" s="201"/>
      <c r="CAO179" s="201"/>
      <c r="CAP179" s="201"/>
      <c r="CAQ179" s="201"/>
      <c r="CAR179" s="201"/>
      <c r="CAS179" s="201"/>
      <c r="CAT179" s="201"/>
      <c r="CAU179" s="201"/>
      <c r="CAV179" s="201"/>
      <c r="CAW179" s="201"/>
      <c r="CAX179" s="201"/>
      <c r="CAY179" s="201"/>
      <c r="CAZ179" s="201"/>
      <c r="CBA179" s="201"/>
      <c r="CBB179" s="201"/>
      <c r="CBC179" s="201"/>
      <c r="CBD179" s="201"/>
      <c r="CBE179" s="201"/>
      <c r="CBF179" s="201"/>
      <c r="CBG179" s="201"/>
      <c r="CBH179" s="201"/>
      <c r="CBI179" s="201"/>
      <c r="CBJ179" s="201"/>
      <c r="CBK179" s="201"/>
      <c r="CBL179" s="201"/>
      <c r="CBM179" s="201"/>
      <c r="CBN179" s="201"/>
      <c r="CBO179" s="201"/>
      <c r="CBP179" s="201"/>
      <c r="CBQ179" s="201"/>
      <c r="CBR179" s="201"/>
      <c r="CBS179" s="201"/>
      <c r="CBT179" s="201"/>
      <c r="CBU179" s="201"/>
      <c r="CBV179" s="201"/>
      <c r="CBW179" s="201"/>
      <c r="CBX179" s="201"/>
      <c r="CBY179" s="201"/>
      <c r="CBZ179" s="201"/>
      <c r="CCA179" s="201"/>
      <c r="CCB179" s="201"/>
      <c r="CCC179" s="201"/>
      <c r="CCD179" s="201"/>
      <c r="CCE179" s="201"/>
      <c r="CCF179" s="201"/>
      <c r="CCG179" s="201"/>
      <c r="CCH179" s="201"/>
      <c r="CCI179" s="201"/>
      <c r="CCJ179" s="201"/>
      <c r="CCK179" s="201"/>
      <c r="CCL179" s="201"/>
      <c r="CCM179" s="201"/>
      <c r="CCN179" s="201"/>
      <c r="CCO179" s="201"/>
      <c r="CCP179" s="201"/>
      <c r="CCQ179" s="201"/>
      <c r="CCR179" s="201"/>
      <c r="CCS179" s="201"/>
      <c r="CCT179" s="201"/>
      <c r="CCU179" s="201"/>
      <c r="CCV179" s="201"/>
      <c r="CCW179" s="201"/>
      <c r="CCX179" s="201"/>
      <c r="CCY179" s="201"/>
      <c r="CCZ179" s="201"/>
      <c r="CDA179" s="201"/>
      <c r="CDB179" s="201"/>
      <c r="CDC179" s="201"/>
      <c r="CDD179" s="201"/>
      <c r="CDE179" s="201"/>
      <c r="CDF179" s="201"/>
      <c r="CDG179" s="201"/>
      <c r="CDH179" s="201"/>
      <c r="CDI179" s="201"/>
      <c r="CDJ179" s="201"/>
      <c r="CDK179" s="201"/>
      <c r="CDL179" s="201"/>
      <c r="CDM179" s="201"/>
      <c r="CDN179" s="201"/>
      <c r="CDO179" s="201"/>
      <c r="CDP179" s="201"/>
      <c r="CDQ179" s="201"/>
      <c r="CDR179" s="201"/>
      <c r="CDS179" s="201"/>
      <c r="CDT179" s="201"/>
      <c r="CDU179" s="201"/>
      <c r="CDV179" s="201"/>
      <c r="CDW179" s="201"/>
      <c r="CDX179" s="201"/>
      <c r="CDY179" s="201"/>
      <c r="CDZ179" s="201"/>
      <c r="CEA179" s="201"/>
      <c r="CEB179" s="201"/>
      <c r="CEC179" s="201"/>
      <c r="CED179" s="201"/>
      <c r="CEE179" s="201"/>
      <c r="CEF179" s="201"/>
      <c r="CEG179" s="201"/>
      <c r="CEH179" s="201"/>
      <c r="CEI179" s="201"/>
      <c r="CEJ179" s="201"/>
      <c r="CEK179" s="201"/>
      <c r="CEL179" s="201"/>
      <c r="CEM179" s="201"/>
      <c r="CEN179" s="201"/>
      <c r="CEO179" s="201"/>
      <c r="CEP179" s="201"/>
      <c r="CEQ179" s="201"/>
      <c r="CER179" s="201"/>
      <c r="CES179" s="201"/>
      <c r="CET179" s="201"/>
      <c r="CEU179" s="201"/>
      <c r="CEV179" s="201"/>
      <c r="CEW179" s="201"/>
      <c r="CEX179" s="201"/>
      <c r="CEY179" s="201"/>
      <c r="CEZ179" s="201"/>
      <c r="CFA179" s="201"/>
      <c r="CFB179" s="201"/>
      <c r="CFC179" s="201"/>
      <c r="CFD179" s="201"/>
      <c r="CFE179" s="201"/>
      <c r="CFF179" s="201"/>
      <c r="CFG179" s="201"/>
      <c r="CFH179" s="201"/>
      <c r="CFI179" s="201"/>
      <c r="CFJ179" s="201"/>
      <c r="CFK179" s="201"/>
      <c r="CFL179" s="201"/>
      <c r="CFM179" s="201"/>
      <c r="CFN179" s="201"/>
      <c r="CFO179" s="201"/>
      <c r="CFP179" s="201"/>
      <c r="CFQ179" s="201"/>
      <c r="CFR179" s="201"/>
      <c r="CFS179" s="201"/>
      <c r="CFT179" s="201"/>
      <c r="CFU179" s="201"/>
      <c r="CFV179" s="201"/>
      <c r="CFW179" s="201"/>
      <c r="CFX179" s="201"/>
      <c r="CFY179" s="201"/>
      <c r="CFZ179" s="201"/>
      <c r="CGA179" s="201"/>
      <c r="CGB179" s="201"/>
      <c r="CGC179" s="201"/>
      <c r="CGD179" s="201"/>
      <c r="CGE179" s="201"/>
      <c r="CGF179" s="201"/>
      <c r="CGG179" s="201"/>
      <c r="CGH179" s="201"/>
      <c r="CGI179" s="201"/>
      <c r="CGJ179" s="201"/>
      <c r="CGK179" s="201"/>
      <c r="CGL179" s="201"/>
      <c r="CGM179" s="201"/>
      <c r="CGN179" s="201"/>
      <c r="CGO179" s="201"/>
      <c r="CGP179" s="201"/>
      <c r="CGQ179" s="201"/>
      <c r="CGR179" s="201"/>
      <c r="CGS179" s="201"/>
      <c r="CGT179" s="201"/>
      <c r="CGU179" s="201"/>
      <c r="CGV179" s="201"/>
      <c r="CGW179" s="201"/>
      <c r="CGX179" s="201"/>
      <c r="CGY179" s="201"/>
      <c r="CGZ179" s="201"/>
      <c r="CHA179" s="201"/>
      <c r="CHB179" s="201"/>
      <c r="CHC179" s="201"/>
      <c r="CHD179" s="201"/>
      <c r="CHE179" s="201"/>
      <c r="CHF179" s="201"/>
      <c r="CHG179" s="201"/>
      <c r="CHH179" s="201"/>
      <c r="CHI179" s="201"/>
      <c r="CHJ179" s="201"/>
      <c r="CHK179" s="201"/>
      <c r="CHL179" s="201"/>
      <c r="CHM179" s="201"/>
      <c r="CHN179" s="201"/>
      <c r="CHO179" s="201"/>
      <c r="CHP179" s="201"/>
      <c r="CHQ179" s="201"/>
      <c r="CHR179" s="201"/>
      <c r="CHS179" s="201"/>
      <c r="CHT179" s="201"/>
      <c r="CHU179" s="201"/>
      <c r="CHV179" s="201"/>
      <c r="CHW179" s="201"/>
      <c r="CHX179" s="201"/>
      <c r="CHY179" s="201"/>
      <c r="CHZ179" s="201"/>
      <c r="CIA179" s="201"/>
      <c r="CIB179" s="201"/>
      <c r="CIC179" s="201"/>
      <c r="CID179" s="201"/>
      <c r="CIE179" s="201"/>
      <c r="CIF179" s="201"/>
      <c r="CIG179" s="201"/>
      <c r="CIH179" s="201"/>
      <c r="CII179" s="201"/>
      <c r="CIJ179" s="201"/>
      <c r="CIK179" s="201"/>
      <c r="CIL179" s="201"/>
      <c r="CIM179" s="201"/>
      <c r="CIN179" s="201"/>
      <c r="CIO179" s="201"/>
      <c r="CIP179" s="201"/>
      <c r="CIQ179" s="201"/>
      <c r="CIR179" s="201"/>
      <c r="CIS179" s="201"/>
      <c r="CIT179" s="201"/>
      <c r="CIU179" s="201"/>
      <c r="CIV179" s="201"/>
      <c r="CIW179" s="201"/>
      <c r="CIX179" s="201"/>
      <c r="CIY179" s="201"/>
      <c r="CIZ179" s="201"/>
      <c r="CJA179" s="201"/>
      <c r="CJB179" s="201"/>
      <c r="CJC179" s="201"/>
      <c r="CJD179" s="201"/>
      <c r="CJE179" s="201"/>
      <c r="CJF179" s="201"/>
      <c r="CJG179" s="201"/>
      <c r="CJH179" s="201"/>
      <c r="CJI179" s="201"/>
      <c r="CJJ179" s="201"/>
      <c r="CJK179" s="201"/>
      <c r="CJL179" s="201"/>
      <c r="CJM179" s="201"/>
      <c r="CJN179" s="201"/>
      <c r="CJO179" s="201"/>
      <c r="CJP179" s="201"/>
      <c r="CJQ179" s="201"/>
      <c r="CJR179" s="201"/>
      <c r="CJS179" s="201"/>
      <c r="CJT179" s="201"/>
      <c r="CJU179" s="201"/>
      <c r="CJV179" s="201"/>
      <c r="CJW179" s="201"/>
      <c r="CJX179" s="201"/>
      <c r="CJY179" s="201"/>
      <c r="CJZ179" s="201"/>
      <c r="CKA179" s="201"/>
      <c r="CKB179" s="201"/>
      <c r="CKC179" s="201"/>
      <c r="CKD179" s="201"/>
      <c r="CKE179" s="201"/>
      <c r="CKF179" s="201"/>
      <c r="CKG179" s="201"/>
      <c r="CKH179" s="201"/>
      <c r="CKI179" s="201"/>
      <c r="CKJ179" s="201"/>
      <c r="CKK179" s="201"/>
      <c r="CKL179" s="201"/>
      <c r="CKM179" s="201"/>
      <c r="CKN179" s="201"/>
      <c r="CKO179" s="201"/>
      <c r="CKP179" s="201"/>
      <c r="CKQ179" s="201"/>
      <c r="CKR179" s="201"/>
      <c r="CKS179" s="201"/>
      <c r="CKT179" s="201"/>
      <c r="CKU179" s="201"/>
      <c r="CKV179" s="201"/>
      <c r="CKW179" s="201"/>
      <c r="CKX179" s="201"/>
      <c r="CKY179" s="201"/>
      <c r="CKZ179" s="201"/>
      <c r="CLA179" s="201"/>
      <c r="CLB179" s="201"/>
      <c r="CLC179" s="201"/>
      <c r="CLD179" s="201"/>
      <c r="CLE179" s="201"/>
      <c r="CLF179" s="201"/>
      <c r="CLG179" s="201"/>
      <c r="CLH179" s="201"/>
      <c r="CLI179" s="201"/>
      <c r="CLJ179" s="201"/>
      <c r="CLK179" s="201"/>
      <c r="CLL179" s="201"/>
      <c r="CLM179" s="201"/>
      <c r="CLN179" s="201"/>
      <c r="CLO179" s="201"/>
      <c r="CLP179" s="201"/>
      <c r="CLQ179" s="201"/>
      <c r="CLR179" s="201"/>
      <c r="CLS179" s="201"/>
      <c r="CLT179" s="201"/>
      <c r="CLU179" s="201"/>
      <c r="CLV179" s="201"/>
      <c r="CLW179" s="201"/>
      <c r="CLX179" s="201"/>
      <c r="CLY179" s="201"/>
      <c r="CLZ179" s="201"/>
      <c r="CMA179" s="201"/>
      <c r="CMB179" s="201"/>
      <c r="CMC179" s="201"/>
      <c r="CMD179" s="201"/>
      <c r="CME179" s="201"/>
      <c r="CMF179" s="201"/>
      <c r="CMG179" s="201"/>
      <c r="CMH179" s="201"/>
      <c r="CMI179" s="201"/>
      <c r="CMJ179" s="201"/>
      <c r="CMK179" s="201"/>
      <c r="CML179" s="201"/>
      <c r="CMM179" s="201"/>
      <c r="CMN179" s="201"/>
      <c r="CMO179" s="201"/>
      <c r="CMP179" s="201"/>
      <c r="CMQ179" s="201"/>
      <c r="CMR179" s="201"/>
      <c r="CMS179" s="201"/>
      <c r="CMT179" s="201"/>
      <c r="CMU179" s="201"/>
      <c r="CMV179" s="201"/>
      <c r="CMW179" s="201"/>
      <c r="CMX179" s="201"/>
      <c r="CMY179" s="201"/>
      <c r="CMZ179" s="201"/>
      <c r="CNA179" s="201"/>
      <c r="CNB179" s="201"/>
      <c r="CNC179" s="201"/>
      <c r="CND179" s="201"/>
      <c r="CNE179" s="201"/>
      <c r="CNF179" s="201"/>
      <c r="CNG179" s="201"/>
      <c r="CNH179" s="201"/>
      <c r="CNI179" s="201"/>
      <c r="CNJ179" s="201"/>
      <c r="CNK179" s="201"/>
      <c r="CNL179" s="201"/>
      <c r="CNM179" s="201"/>
      <c r="CNN179" s="201"/>
      <c r="CNO179" s="201"/>
      <c r="CNP179" s="201"/>
      <c r="CNQ179" s="201"/>
      <c r="CNR179" s="201"/>
      <c r="CNS179" s="201"/>
      <c r="CNT179" s="201"/>
      <c r="CNU179" s="201"/>
      <c r="CNV179" s="201"/>
      <c r="CNW179" s="201"/>
      <c r="CNX179" s="201"/>
      <c r="CNY179" s="201"/>
      <c r="CNZ179" s="201"/>
      <c r="COA179" s="201"/>
      <c r="COB179" s="201"/>
      <c r="COC179" s="201"/>
      <c r="COD179" s="201"/>
      <c r="COE179" s="201"/>
      <c r="COF179" s="201"/>
      <c r="COG179" s="201"/>
      <c r="COH179" s="201"/>
      <c r="COI179" s="201"/>
      <c r="COJ179" s="201"/>
      <c r="COK179" s="201"/>
      <c r="COL179" s="201"/>
      <c r="COM179" s="201"/>
      <c r="CON179" s="201"/>
      <c r="COO179" s="201"/>
      <c r="COP179" s="201"/>
      <c r="COQ179" s="201"/>
      <c r="COR179" s="201"/>
      <c r="COS179" s="201"/>
      <c r="COT179" s="201"/>
      <c r="COU179" s="201"/>
      <c r="COV179" s="201"/>
      <c r="COW179" s="201"/>
      <c r="COX179" s="201"/>
      <c r="COY179" s="201"/>
      <c r="COZ179" s="201"/>
      <c r="CPA179" s="201"/>
      <c r="CPB179" s="201"/>
      <c r="CPC179" s="201"/>
      <c r="CPD179" s="201"/>
      <c r="CPE179" s="201"/>
      <c r="CPF179" s="201"/>
      <c r="CPG179" s="201"/>
      <c r="CPH179" s="201"/>
      <c r="CPI179" s="201"/>
      <c r="CPJ179" s="201"/>
      <c r="CPK179" s="201"/>
      <c r="CPL179" s="201"/>
      <c r="CPM179" s="201"/>
      <c r="CPN179" s="201"/>
      <c r="CPO179" s="201"/>
      <c r="CPP179" s="201"/>
      <c r="CPQ179" s="201"/>
      <c r="CPR179" s="201"/>
      <c r="CPS179" s="201"/>
      <c r="CPT179" s="201"/>
      <c r="CPU179" s="201"/>
      <c r="CPV179" s="201"/>
      <c r="CPW179" s="201"/>
      <c r="CPX179" s="201"/>
      <c r="CPY179" s="201"/>
      <c r="CPZ179" s="201"/>
      <c r="CQA179" s="201"/>
      <c r="CQB179" s="201"/>
      <c r="CQC179" s="201"/>
      <c r="CQD179" s="201"/>
      <c r="CQE179" s="201"/>
      <c r="CQF179" s="201"/>
      <c r="CQG179" s="201"/>
      <c r="CQH179" s="201"/>
      <c r="CQI179" s="201"/>
      <c r="CQJ179" s="201"/>
      <c r="CQK179" s="201"/>
      <c r="CQL179" s="201"/>
      <c r="CQM179" s="201"/>
      <c r="CQN179" s="201"/>
      <c r="CQO179" s="201"/>
      <c r="CQP179" s="201"/>
      <c r="CQQ179" s="201"/>
      <c r="CQR179" s="201"/>
      <c r="CQS179" s="201"/>
      <c r="CQT179" s="201"/>
      <c r="CQU179" s="201"/>
      <c r="CQV179" s="201"/>
      <c r="CQW179" s="201"/>
      <c r="CQX179" s="201"/>
      <c r="CQY179" s="201"/>
      <c r="CQZ179" s="201"/>
      <c r="CRA179" s="201"/>
      <c r="CRB179" s="201"/>
      <c r="CRC179" s="201"/>
      <c r="CRD179" s="201"/>
      <c r="CRE179" s="201"/>
      <c r="CRF179" s="201"/>
      <c r="CRG179" s="201"/>
      <c r="CRH179" s="201"/>
      <c r="CRI179" s="201"/>
      <c r="CRJ179" s="201"/>
      <c r="CRK179" s="201"/>
      <c r="CRL179" s="201"/>
      <c r="CRM179" s="201"/>
      <c r="CRN179" s="201"/>
      <c r="CRO179" s="201"/>
      <c r="CRP179" s="201"/>
      <c r="CRQ179" s="201"/>
      <c r="CRR179" s="201"/>
      <c r="CRS179" s="201"/>
      <c r="CRT179" s="201"/>
      <c r="CRU179" s="201"/>
      <c r="CRV179" s="201"/>
      <c r="CRW179" s="201"/>
      <c r="CRX179" s="201"/>
      <c r="CRY179" s="201"/>
      <c r="CRZ179" s="201"/>
      <c r="CSA179" s="201"/>
      <c r="CSB179" s="201"/>
      <c r="CSC179" s="201"/>
      <c r="CSD179" s="201"/>
      <c r="CSE179" s="201"/>
      <c r="CSF179" s="201"/>
      <c r="CSG179" s="201"/>
      <c r="CSH179" s="201"/>
      <c r="CSI179" s="201"/>
      <c r="CSJ179" s="201"/>
      <c r="CSK179" s="201"/>
      <c r="CSL179" s="201"/>
      <c r="CSM179" s="201"/>
      <c r="CSN179" s="201"/>
      <c r="CSO179" s="201"/>
      <c r="CSP179" s="201"/>
      <c r="CSQ179" s="201"/>
      <c r="CSR179" s="201"/>
      <c r="CSS179" s="201"/>
      <c r="CST179" s="201"/>
      <c r="CSU179" s="201"/>
      <c r="CSV179" s="201"/>
      <c r="CSW179" s="201"/>
      <c r="CSX179" s="201"/>
      <c r="CSY179" s="201"/>
      <c r="CSZ179" s="201"/>
      <c r="CTA179" s="201"/>
      <c r="CTB179" s="201"/>
      <c r="CTC179" s="201"/>
      <c r="CTD179" s="201"/>
      <c r="CTE179" s="201"/>
      <c r="CTF179" s="201"/>
      <c r="CTG179" s="201"/>
      <c r="CTH179" s="201"/>
      <c r="CTI179" s="201"/>
      <c r="CTJ179" s="201"/>
      <c r="CTK179" s="201"/>
      <c r="CTL179" s="201"/>
      <c r="CTM179" s="201"/>
      <c r="CTN179" s="201"/>
      <c r="CTO179" s="201"/>
      <c r="CTP179" s="201"/>
      <c r="CTQ179" s="201"/>
      <c r="CTR179" s="201"/>
      <c r="CTS179" s="201"/>
      <c r="CTT179" s="201"/>
      <c r="CTU179" s="201"/>
      <c r="CTV179" s="201"/>
      <c r="CTW179" s="201"/>
      <c r="CTX179" s="201"/>
      <c r="CTY179" s="201"/>
      <c r="CTZ179" s="201"/>
      <c r="CUA179" s="201"/>
      <c r="CUB179" s="201"/>
      <c r="CUC179" s="201"/>
      <c r="CUD179" s="201"/>
      <c r="CUE179" s="201"/>
      <c r="CUF179" s="201"/>
      <c r="CUG179" s="201"/>
      <c r="CUH179" s="201"/>
      <c r="CUI179" s="201"/>
      <c r="CUJ179" s="201"/>
      <c r="CUK179" s="201"/>
      <c r="CUL179" s="201"/>
      <c r="CUM179" s="201"/>
      <c r="CUN179" s="201"/>
      <c r="CUO179" s="201"/>
      <c r="CUP179" s="201"/>
      <c r="CUQ179" s="201"/>
      <c r="CUR179" s="201"/>
      <c r="CUS179" s="201"/>
      <c r="CUT179" s="201"/>
      <c r="CUU179" s="201"/>
      <c r="CUV179" s="201"/>
      <c r="CUW179" s="201"/>
      <c r="CUX179" s="201"/>
      <c r="CUY179" s="201"/>
      <c r="CUZ179" s="201"/>
      <c r="CVA179" s="201"/>
      <c r="CVB179" s="201"/>
      <c r="CVC179" s="201"/>
      <c r="CVD179" s="201"/>
      <c r="CVE179" s="201"/>
      <c r="CVF179" s="201"/>
      <c r="CVG179" s="201"/>
      <c r="CVH179" s="201"/>
      <c r="CVI179" s="201"/>
      <c r="CVJ179" s="201"/>
      <c r="CVK179" s="201"/>
      <c r="CVL179" s="201"/>
      <c r="CVM179" s="201"/>
      <c r="CVN179" s="201"/>
      <c r="CVO179" s="201"/>
      <c r="CVP179" s="201"/>
      <c r="CVQ179" s="201"/>
      <c r="CVR179" s="201"/>
      <c r="CVS179" s="201"/>
      <c r="CVT179" s="201"/>
      <c r="CVU179" s="201"/>
      <c r="CVV179" s="201"/>
      <c r="CVW179" s="201"/>
      <c r="CVX179" s="201"/>
      <c r="CVY179" s="201"/>
      <c r="CVZ179" s="201"/>
      <c r="CWA179" s="201"/>
      <c r="CWB179" s="201"/>
      <c r="CWC179" s="201"/>
      <c r="CWD179" s="201"/>
      <c r="CWE179" s="201"/>
      <c r="CWF179" s="201"/>
      <c r="CWG179" s="201"/>
      <c r="CWH179" s="201"/>
      <c r="CWI179" s="201"/>
      <c r="CWJ179" s="201"/>
      <c r="CWK179" s="201"/>
      <c r="CWL179" s="201"/>
      <c r="CWM179" s="201"/>
      <c r="CWN179" s="201"/>
      <c r="CWO179" s="201"/>
      <c r="CWP179" s="201"/>
      <c r="CWQ179" s="201"/>
      <c r="CWR179" s="201"/>
      <c r="CWS179" s="201"/>
      <c r="CWT179" s="201"/>
      <c r="CWU179" s="201"/>
      <c r="CWV179" s="201"/>
      <c r="CWW179" s="201"/>
      <c r="CWX179" s="201"/>
      <c r="CWY179" s="201"/>
      <c r="CWZ179" s="201"/>
      <c r="CXA179" s="201"/>
      <c r="CXB179" s="201"/>
      <c r="CXC179" s="201"/>
      <c r="CXD179" s="201"/>
      <c r="CXE179" s="201"/>
      <c r="CXF179" s="201"/>
      <c r="CXG179" s="201"/>
      <c r="CXH179" s="201"/>
      <c r="CXI179" s="201"/>
      <c r="CXJ179" s="201"/>
      <c r="CXK179" s="201"/>
      <c r="CXL179" s="201"/>
      <c r="CXM179" s="201"/>
      <c r="CXN179" s="201"/>
      <c r="CXO179" s="201"/>
      <c r="CXP179" s="201"/>
      <c r="CXQ179" s="201"/>
      <c r="CXR179" s="201"/>
      <c r="CXS179" s="201"/>
      <c r="CXT179" s="201"/>
      <c r="CXU179" s="201"/>
      <c r="CXV179" s="201"/>
      <c r="CXW179" s="201"/>
      <c r="CXX179" s="201"/>
      <c r="CXY179" s="201"/>
      <c r="CXZ179" s="201"/>
      <c r="CYA179" s="201"/>
      <c r="CYB179" s="201"/>
      <c r="CYC179" s="201"/>
      <c r="CYD179" s="201"/>
      <c r="CYE179" s="201"/>
      <c r="CYF179" s="201"/>
      <c r="CYG179" s="201"/>
      <c r="CYH179" s="201"/>
      <c r="CYI179" s="201"/>
      <c r="CYJ179" s="201"/>
      <c r="CYK179" s="201"/>
      <c r="CYL179" s="201"/>
      <c r="CYM179" s="201"/>
      <c r="CYN179" s="201"/>
      <c r="CYO179" s="201"/>
      <c r="CYP179" s="201"/>
      <c r="CYQ179" s="201"/>
      <c r="CYR179" s="201"/>
      <c r="CYS179" s="201"/>
      <c r="CYT179" s="201"/>
      <c r="CYU179" s="201"/>
      <c r="CYV179" s="201"/>
      <c r="CYW179" s="201"/>
      <c r="CYX179" s="201"/>
      <c r="CYY179" s="201"/>
      <c r="CYZ179" s="201"/>
      <c r="CZA179" s="201"/>
      <c r="CZB179" s="201"/>
      <c r="CZC179" s="201"/>
      <c r="CZD179" s="201"/>
      <c r="CZE179" s="201"/>
      <c r="CZF179" s="201"/>
      <c r="CZG179" s="201"/>
      <c r="CZH179" s="201"/>
      <c r="CZI179" s="201"/>
      <c r="CZJ179" s="201"/>
      <c r="CZK179" s="201"/>
      <c r="CZL179" s="201"/>
      <c r="CZM179" s="201"/>
      <c r="CZN179" s="201"/>
      <c r="CZO179" s="201"/>
      <c r="CZP179" s="201"/>
      <c r="CZQ179" s="201"/>
      <c r="CZR179" s="201"/>
      <c r="CZS179" s="201"/>
      <c r="CZT179" s="201"/>
      <c r="CZU179" s="201"/>
      <c r="CZV179" s="201"/>
      <c r="CZW179" s="201"/>
      <c r="CZX179" s="201"/>
      <c r="CZY179" s="201"/>
      <c r="CZZ179" s="201"/>
      <c r="DAA179" s="201"/>
      <c r="DAB179" s="201"/>
      <c r="DAC179" s="201"/>
      <c r="DAD179" s="201"/>
      <c r="DAE179" s="201"/>
      <c r="DAF179" s="201"/>
      <c r="DAG179" s="201"/>
      <c r="DAH179" s="201"/>
      <c r="DAI179" s="201"/>
      <c r="DAJ179" s="201"/>
      <c r="DAK179" s="201"/>
      <c r="DAL179" s="201"/>
      <c r="DAM179" s="201"/>
      <c r="DAN179" s="201"/>
      <c r="DAO179" s="201"/>
      <c r="DAP179" s="201"/>
      <c r="DAQ179" s="201"/>
      <c r="DAR179" s="201"/>
      <c r="DAS179" s="201"/>
      <c r="DAT179" s="201"/>
      <c r="DAU179" s="201"/>
      <c r="DAV179" s="201"/>
      <c r="DAW179" s="201"/>
      <c r="DAX179" s="201"/>
      <c r="DAY179" s="201"/>
      <c r="DAZ179" s="201"/>
      <c r="DBA179" s="201"/>
      <c r="DBB179" s="201"/>
      <c r="DBC179" s="201"/>
      <c r="DBD179" s="201"/>
      <c r="DBE179" s="201"/>
      <c r="DBF179" s="201"/>
      <c r="DBG179" s="201"/>
      <c r="DBH179" s="201"/>
      <c r="DBI179" s="201"/>
      <c r="DBJ179" s="201"/>
      <c r="DBK179" s="201"/>
      <c r="DBL179" s="201"/>
      <c r="DBM179" s="201"/>
      <c r="DBN179" s="201"/>
      <c r="DBO179" s="201"/>
      <c r="DBP179" s="201"/>
      <c r="DBQ179" s="201"/>
      <c r="DBR179" s="201"/>
      <c r="DBS179" s="201"/>
      <c r="DBT179" s="201"/>
      <c r="DBU179" s="201"/>
      <c r="DBV179" s="201"/>
      <c r="DBW179" s="201"/>
      <c r="DBX179" s="201"/>
      <c r="DBY179" s="201"/>
      <c r="DBZ179" s="201"/>
      <c r="DCA179" s="201"/>
      <c r="DCB179" s="201"/>
      <c r="DCC179" s="201"/>
      <c r="DCD179" s="201"/>
      <c r="DCE179" s="201"/>
      <c r="DCF179" s="201"/>
      <c r="DCG179" s="201"/>
      <c r="DCH179" s="201"/>
      <c r="DCI179" s="201"/>
      <c r="DCJ179" s="201"/>
      <c r="DCK179" s="201"/>
      <c r="DCL179" s="201"/>
      <c r="DCM179" s="201"/>
      <c r="DCN179" s="201"/>
      <c r="DCO179" s="201"/>
      <c r="DCP179" s="201"/>
      <c r="DCQ179" s="201"/>
      <c r="DCR179" s="201"/>
      <c r="DCS179" s="201"/>
      <c r="DCT179" s="201"/>
      <c r="DCU179" s="201"/>
      <c r="DCV179" s="201"/>
      <c r="DCW179" s="201"/>
      <c r="DCX179" s="201"/>
      <c r="DCY179" s="201"/>
      <c r="DCZ179" s="201"/>
      <c r="DDA179" s="201"/>
      <c r="DDB179" s="201"/>
      <c r="DDC179" s="201"/>
      <c r="DDD179" s="201"/>
      <c r="DDE179" s="201"/>
      <c r="DDF179" s="201"/>
      <c r="DDG179" s="201"/>
      <c r="DDH179" s="201"/>
      <c r="DDI179" s="201"/>
      <c r="DDJ179" s="201"/>
      <c r="DDK179" s="201"/>
      <c r="DDL179" s="201"/>
      <c r="DDM179" s="201"/>
      <c r="DDN179" s="201"/>
      <c r="DDO179" s="201"/>
      <c r="DDP179" s="201"/>
      <c r="DDQ179" s="201"/>
      <c r="DDR179" s="201"/>
      <c r="DDS179" s="201"/>
      <c r="DDT179" s="201"/>
      <c r="DDU179" s="201"/>
      <c r="DDV179" s="201"/>
      <c r="DDW179" s="201"/>
      <c r="DDX179" s="201"/>
      <c r="DDY179" s="201"/>
      <c r="DDZ179" s="201"/>
      <c r="DEA179" s="201"/>
      <c r="DEB179" s="201"/>
      <c r="DEC179" s="201"/>
      <c r="DED179" s="201"/>
      <c r="DEE179" s="201"/>
      <c r="DEF179" s="201"/>
      <c r="DEG179" s="201"/>
      <c r="DEH179" s="201"/>
      <c r="DEI179" s="201"/>
      <c r="DEJ179" s="201"/>
      <c r="DEK179" s="201"/>
      <c r="DEL179" s="201"/>
      <c r="DEM179" s="201"/>
      <c r="DEN179" s="201"/>
      <c r="DEO179" s="201"/>
      <c r="DEP179" s="201"/>
      <c r="DEQ179" s="201"/>
      <c r="DER179" s="201"/>
      <c r="DES179" s="201"/>
      <c r="DET179" s="201"/>
      <c r="DEU179" s="201"/>
      <c r="DEV179" s="201"/>
      <c r="DEW179" s="201"/>
      <c r="DEX179" s="201"/>
      <c r="DEY179" s="201"/>
      <c r="DEZ179" s="201"/>
      <c r="DFA179" s="201"/>
      <c r="DFB179" s="201"/>
      <c r="DFC179" s="201"/>
      <c r="DFD179" s="201"/>
      <c r="DFE179" s="201"/>
      <c r="DFF179" s="201"/>
      <c r="DFG179" s="201"/>
      <c r="DFH179" s="201"/>
      <c r="DFI179" s="201"/>
      <c r="DFJ179" s="201"/>
      <c r="DFK179" s="201"/>
      <c r="DFL179" s="201"/>
      <c r="DFM179" s="201"/>
      <c r="DFN179" s="201"/>
      <c r="DFO179" s="201"/>
      <c r="DFP179" s="201"/>
      <c r="DFQ179" s="201"/>
      <c r="DFR179" s="201"/>
      <c r="DFS179" s="201"/>
      <c r="DFT179" s="201"/>
      <c r="DFU179" s="201"/>
      <c r="DFV179" s="201"/>
      <c r="DFW179" s="201"/>
      <c r="DFX179" s="201"/>
      <c r="DFY179" s="201"/>
      <c r="DFZ179" s="201"/>
      <c r="DGA179" s="201"/>
      <c r="DGB179" s="201"/>
      <c r="DGC179" s="201"/>
      <c r="DGD179" s="201"/>
      <c r="DGE179" s="201"/>
      <c r="DGF179" s="201"/>
      <c r="DGG179" s="201"/>
      <c r="DGH179" s="201"/>
      <c r="DGI179" s="201"/>
      <c r="DGJ179" s="201"/>
      <c r="DGK179" s="201"/>
      <c r="DGL179" s="201"/>
      <c r="DGM179" s="201"/>
      <c r="DGN179" s="201"/>
      <c r="DGO179" s="201"/>
      <c r="DGP179" s="201"/>
      <c r="DGQ179" s="201"/>
      <c r="DGR179" s="201"/>
      <c r="DGS179" s="201"/>
      <c r="DGT179" s="201"/>
      <c r="DGU179" s="201"/>
      <c r="DGV179" s="201"/>
      <c r="DGW179" s="201"/>
      <c r="DGX179" s="201"/>
      <c r="DGY179" s="201"/>
      <c r="DGZ179" s="201"/>
      <c r="DHA179" s="201"/>
      <c r="DHB179" s="201"/>
      <c r="DHC179" s="201"/>
      <c r="DHD179" s="201"/>
      <c r="DHE179" s="201"/>
      <c r="DHF179" s="201"/>
      <c r="DHG179" s="201"/>
      <c r="DHH179" s="201"/>
      <c r="DHI179" s="201"/>
      <c r="DHJ179" s="201"/>
      <c r="DHK179" s="201"/>
      <c r="DHL179" s="201"/>
      <c r="DHM179" s="201"/>
      <c r="DHN179" s="201"/>
      <c r="DHO179" s="201"/>
      <c r="DHP179" s="201"/>
      <c r="DHQ179" s="201"/>
      <c r="DHR179" s="201"/>
      <c r="DHS179" s="201"/>
      <c r="DHT179" s="201"/>
      <c r="DHU179" s="201"/>
      <c r="DHV179" s="201"/>
      <c r="DHW179" s="201"/>
      <c r="DHX179" s="201"/>
      <c r="DHY179" s="201"/>
      <c r="DHZ179" s="201"/>
      <c r="DIA179" s="201"/>
      <c r="DIB179" s="201"/>
      <c r="DIC179" s="201"/>
      <c r="DID179" s="201"/>
      <c r="DIE179" s="201"/>
      <c r="DIF179" s="201"/>
      <c r="DIG179" s="201"/>
      <c r="DIH179" s="201"/>
      <c r="DII179" s="201"/>
      <c r="DIJ179" s="201"/>
      <c r="DIK179" s="201"/>
      <c r="DIL179" s="201"/>
      <c r="DIM179" s="201"/>
      <c r="DIN179" s="201"/>
      <c r="DIO179" s="201"/>
      <c r="DIP179" s="201"/>
      <c r="DIQ179" s="201"/>
      <c r="DIR179" s="201"/>
      <c r="DIS179" s="201"/>
      <c r="DIT179" s="201"/>
      <c r="DIU179" s="201"/>
      <c r="DIV179" s="201"/>
      <c r="DIW179" s="201"/>
      <c r="DIX179" s="201"/>
      <c r="DIY179" s="201"/>
      <c r="DIZ179" s="201"/>
      <c r="DJA179" s="201"/>
      <c r="DJB179" s="201"/>
      <c r="DJC179" s="201"/>
      <c r="DJD179" s="201"/>
      <c r="DJE179" s="201"/>
      <c r="DJF179" s="201"/>
      <c r="DJG179" s="201"/>
      <c r="DJH179" s="201"/>
      <c r="DJI179" s="201"/>
      <c r="DJJ179" s="201"/>
      <c r="DJK179" s="201"/>
      <c r="DJL179" s="201"/>
      <c r="DJM179" s="201"/>
      <c r="DJN179" s="201"/>
      <c r="DJO179" s="201"/>
      <c r="DJP179" s="201"/>
      <c r="DJQ179" s="201"/>
      <c r="DJR179" s="201"/>
      <c r="DJS179" s="201"/>
      <c r="DJT179" s="201"/>
      <c r="DJU179" s="201"/>
      <c r="DJV179" s="201"/>
      <c r="DJW179" s="201"/>
      <c r="DJX179" s="201"/>
      <c r="DJY179" s="201"/>
      <c r="DJZ179" s="201"/>
      <c r="DKA179" s="201"/>
      <c r="DKB179" s="201"/>
      <c r="DKC179" s="201"/>
      <c r="DKD179" s="201"/>
      <c r="DKE179" s="201"/>
      <c r="DKF179" s="201"/>
      <c r="DKG179" s="201"/>
      <c r="DKH179" s="201"/>
      <c r="DKI179" s="201"/>
      <c r="DKJ179" s="201"/>
      <c r="DKK179" s="201"/>
      <c r="DKL179" s="201"/>
      <c r="DKM179" s="201"/>
      <c r="DKN179" s="201"/>
      <c r="DKO179" s="201"/>
      <c r="DKP179" s="201"/>
      <c r="DKQ179" s="201"/>
      <c r="DKR179" s="201"/>
      <c r="DKS179" s="201"/>
      <c r="DKT179" s="201"/>
      <c r="DKU179" s="201"/>
      <c r="DKV179" s="201"/>
      <c r="DKW179" s="201"/>
      <c r="DKX179" s="201"/>
      <c r="DKY179" s="201"/>
      <c r="DKZ179" s="201"/>
      <c r="DLA179" s="201"/>
      <c r="DLB179" s="201"/>
      <c r="DLC179" s="201"/>
      <c r="DLD179" s="201"/>
      <c r="DLE179" s="201"/>
      <c r="DLF179" s="201"/>
      <c r="DLG179" s="201"/>
      <c r="DLH179" s="201"/>
      <c r="DLI179" s="201"/>
      <c r="DLJ179" s="201"/>
      <c r="DLK179" s="201"/>
      <c r="DLL179" s="201"/>
      <c r="DLM179" s="201"/>
      <c r="DLN179" s="201"/>
      <c r="DLO179" s="201"/>
      <c r="DLP179" s="201"/>
      <c r="DLQ179" s="201"/>
      <c r="DLR179" s="201"/>
      <c r="DLS179" s="201"/>
      <c r="DLT179" s="201"/>
      <c r="DLU179" s="201"/>
      <c r="DLV179" s="201"/>
      <c r="DLW179" s="201"/>
      <c r="DLX179" s="201"/>
      <c r="DLY179" s="201"/>
      <c r="DLZ179" s="201"/>
      <c r="DMA179" s="201"/>
      <c r="DMB179" s="201"/>
      <c r="DMC179" s="201"/>
      <c r="DMD179" s="201"/>
      <c r="DME179" s="201"/>
      <c r="DMF179" s="201"/>
      <c r="DMG179" s="201"/>
      <c r="DMH179" s="201"/>
      <c r="DMI179" s="201"/>
      <c r="DMJ179" s="201"/>
      <c r="DMK179" s="201"/>
      <c r="DML179" s="201"/>
      <c r="DMM179" s="201"/>
      <c r="DMN179" s="201"/>
      <c r="DMO179" s="201"/>
      <c r="DMP179" s="201"/>
      <c r="DMQ179" s="201"/>
      <c r="DMR179" s="201"/>
      <c r="DMS179" s="201"/>
      <c r="DMT179" s="201"/>
      <c r="DMU179" s="201"/>
      <c r="DMV179" s="201"/>
      <c r="DMW179" s="201"/>
      <c r="DMX179" s="201"/>
      <c r="DMY179" s="201"/>
      <c r="DMZ179" s="201"/>
      <c r="DNA179" s="201"/>
      <c r="DNB179" s="201"/>
      <c r="DNC179" s="201"/>
      <c r="DND179" s="201"/>
      <c r="DNE179" s="201"/>
      <c r="DNF179" s="201"/>
      <c r="DNG179" s="201"/>
      <c r="DNH179" s="201"/>
      <c r="DNI179" s="201"/>
      <c r="DNJ179" s="201"/>
      <c r="DNK179" s="201"/>
      <c r="DNL179" s="201"/>
      <c r="DNM179" s="201"/>
      <c r="DNN179" s="201"/>
      <c r="DNO179" s="201"/>
      <c r="DNP179" s="201"/>
      <c r="DNQ179" s="201"/>
      <c r="DNR179" s="201"/>
      <c r="DNS179" s="201"/>
      <c r="DNT179" s="201"/>
      <c r="DNU179" s="201"/>
      <c r="DNV179" s="201"/>
      <c r="DNW179" s="201"/>
      <c r="DNX179" s="201"/>
      <c r="DNY179" s="201"/>
      <c r="DNZ179" s="201"/>
      <c r="DOA179" s="201"/>
      <c r="DOB179" s="201"/>
      <c r="DOC179" s="201"/>
      <c r="DOD179" s="201"/>
      <c r="DOE179" s="201"/>
      <c r="DOF179" s="201"/>
      <c r="DOG179" s="201"/>
      <c r="DOH179" s="201"/>
      <c r="DOI179" s="201"/>
      <c r="DOJ179" s="201"/>
      <c r="DOK179" s="201"/>
      <c r="DOL179" s="201"/>
      <c r="DOM179" s="201"/>
      <c r="DON179" s="201"/>
      <c r="DOO179" s="201"/>
      <c r="DOP179" s="201"/>
      <c r="DOQ179" s="201"/>
      <c r="DOR179" s="201"/>
      <c r="DOS179" s="201"/>
      <c r="DOT179" s="201"/>
      <c r="DOU179" s="201"/>
      <c r="DOV179" s="201"/>
      <c r="DOW179" s="201"/>
      <c r="DOX179" s="201"/>
      <c r="DOY179" s="201"/>
      <c r="DOZ179" s="201"/>
      <c r="DPA179" s="201"/>
      <c r="DPB179" s="201"/>
      <c r="DPC179" s="201"/>
      <c r="DPD179" s="201"/>
      <c r="DPE179" s="201"/>
      <c r="DPF179" s="201"/>
      <c r="DPG179" s="201"/>
      <c r="DPH179" s="201"/>
      <c r="DPI179" s="201"/>
      <c r="DPJ179" s="201"/>
      <c r="DPK179" s="201"/>
      <c r="DPL179" s="201"/>
      <c r="DPM179" s="201"/>
      <c r="DPN179" s="201"/>
      <c r="DPO179" s="201"/>
      <c r="DPP179" s="201"/>
      <c r="DPQ179" s="201"/>
      <c r="DPR179" s="201"/>
      <c r="DPS179" s="201"/>
      <c r="DPT179" s="201"/>
      <c r="DPU179" s="201"/>
      <c r="DPV179" s="201"/>
      <c r="DPW179" s="201"/>
      <c r="DPX179" s="201"/>
      <c r="DPY179" s="201"/>
      <c r="DPZ179" s="201"/>
      <c r="DQA179" s="201"/>
      <c r="DQB179" s="201"/>
      <c r="DQC179" s="201"/>
      <c r="DQD179" s="201"/>
      <c r="DQE179" s="201"/>
      <c r="DQF179" s="201"/>
      <c r="DQG179" s="201"/>
      <c r="DQH179" s="201"/>
      <c r="DQI179" s="201"/>
      <c r="DQJ179" s="201"/>
      <c r="DQK179" s="201"/>
      <c r="DQL179" s="201"/>
      <c r="DQM179" s="201"/>
      <c r="DQN179" s="201"/>
      <c r="DQO179" s="201"/>
      <c r="DQP179" s="201"/>
      <c r="DQQ179" s="201"/>
      <c r="DQR179" s="201"/>
      <c r="DQS179" s="201"/>
      <c r="DQT179" s="201"/>
      <c r="DQU179" s="201"/>
      <c r="DQV179" s="201"/>
      <c r="DQW179" s="201"/>
      <c r="DQX179" s="201"/>
      <c r="DQY179" s="201"/>
      <c r="DQZ179" s="201"/>
      <c r="DRA179" s="201"/>
      <c r="DRB179" s="201"/>
      <c r="DRC179" s="201"/>
      <c r="DRD179" s="201"/>
      <c r="DRE179" s="201"/>
      <c r="DRF179" s="201"/>
      <c r="DRG179" s="201"/>
      <c r="DRH179" s="201"/>
      <c r="DRI179" s="201"/>
      <c r="DRJ179" s="201"/>
      <c r="DRK179" s="201"/>
      <c r="DRL179" s="201"/>
      <c r="DRM179" s="201"/>
      <c r="DRN179" s="201"/>
      <c r="DRO179" s="201"/>
      <c r="DRP179" s="201"/>
      <c r="DRQ179" s="201"/>
      <c r="DRR179" s="201"/>
      <c r="DRS179" s="201"/>
      <c r="DRT179" s="201"/>
      <c r="DRU179" s="201"/>
      <c r="DRV179" s="201"/>
      <c r="DRW179" s="201"/>
      <c r="DRX179" s="201"/>
      <c r="DRY179" s="201"/>
      <c r="DRZ179" s="201"/>
      <c r="DSA179" s="201"/>
      <c r="DSB179" s="201"/>
      <c r="DSC179" s="201"/>
      <c r="DSD179" s="201"/>
      <c r="DSE179" s="201"/>
      <c r="DSF179" s="201"/>
      <c r="DSG179" s="201"/>
      <c r="DSH179" s="201"/>
      <c r="DSI179" s="201"/>
      <c r="DSJ179" s="201"/>
      <c r="DSK179" s="201"/>
      <c r="DSL179" s="201"/>
      <c r="DSM179" s="201"/>
      <c r="DSN179" s="201"/>
      <c r="DSO179" s="201"/>
      <c r="DSP179" s="201"/>
      <c r="DSQ179" s="201"/>
      <c r="DSR179" s="201"/>
      <c r="DSS179" s="201"/>
      <c r="DST179" s="201"/>
      <c r="DSU179" s="201"/>
      <c r="DSV179" s="201"/>
      <c r="DSW179" s="201"/>
      <c r="DSX179" s="201"/>
      <c r="DSY179" s="201"/>
      <c r="DSZ179" s="201"/>
      <c r="DTA179" s="201"/>
      <c r="DTB179" s="201"/>
      <c r="DTC179" s="201"/>
      <c r="DTD179" s="201"/>
      <c r="DTE179" s="201"/>
      <c r="DTF179" s="201"/>
      <c r="DTG179" s="201"/>
      <c r="DTH179" s="201"/>
      <c r="DTI179" s="201"/>
      <c r="DTJ179" s="201"/>
      <c r="DTK179" s="201"/>
      <c r="DTL179" s="201"/>
      <c r="DTM179" s="201"/>
      <c r="DTN179" s="201"/>
      <c r="DTO179" s="201"/>
      <c r="DTP179" s="201"/>
      <c r="DTQ179" s="201"/>
      <c r="DTR179" s="201"/>
      <c r="DTS179" s="201"/>
      <c r="DTT179" s="201"/>
      <c r="DTU179" s="201"/>
      <c r="DTV179" s="201"/>
      <c r="DTW179" s="201"/>
      <c r="DTX179" s="201"/>
      <c r="DTY179" s="201"/>
      <c r="DTZ179" s="201"/>
      <c r="DUA179" s="201"/>
      <c r="DUB179" s="201"/>
      <c r="DUC179" s="201"/>
      <c r="DUD179" s="201"/>
      <c r="DUE179" s="201"/>
      <c r="DUF179" s="201"/>
      <c r="DUG179" s="201"/>
      <c r="DUH179" s="201"/>
      <c r="DUI179" s="201"/>
      <c r="DUJ179" s="201"/>
      <c r="DUK179" s="201"/>
      <c r="DUL179" s="201"/>
      <c r="DUM179" s="201"/>
      <c r="DUN179" s="201"/>
      <c r="DUO179" s="201"/>
      <c r="DUP179" s="201"/>
      <c r="DUQ179" s="201"/>
      <c r="DUR179" s="201"/>
      <c r="DUS179" s="201"/>
      <c r="DUT179" s="201"/>
      <c r="DUU179" s="201"/>
      <c r="DUV179" s="201"/>
      <c r="DUW179" s="201"/>
      <c r="DUX179" s="201"/>
      <c r="DUY179" s="201"/>
      <c r="DUZ179" s="201"/>
      <c r="DVA179" s="201"/>
      <c r="DVB179" s="201"/>
      <c r="DVC179" s="201"/>
      <c r="DVD179" s="201"/>
      <c r="DVE179" s="201"/>
      <c r="DVF179" s="201"/>
      <c r="DVG179" s="201"/>
      <c r="DVH179" s="201"/>
      <c r="DVI179" s="201"/>
      <c r="DVJ179" s="201"/>
      <c r="DVK179" s="201"/>
      <c r="DVL179" s="201"/>
      <c r="DVM179" s="201"/>
      <c r="DVN179" s="201"/>
      <c r="DVO179" s="201"/>
      <c r="DVP179" s="201"/>
      <c r="DVQ179" s="201"/>
      <c r="DVR179" s="201"/>
      <c r="DVS179" s="201"/>
      <c r="DVT179" s="201"/>
      <c r="DVU179" s="201"/>
      <c r="DVV179" s="201"/>
      <c r="DVW179" s="201"/>
      <c r="DVX179" s="201"/>
      <c r="DVY179" s="201"/>
      <c r="DVZ179" s="201"/>
      <c r="DWA179" s="201"/>
      <c r="DWB179" s="201"/>
      <c r="DWC179" s="201"/>
      <c r="DWD179" s="201"/>
      <c r="DWE179" s="201"/>
      <c r="DWF179" s="201"/>
      <c r="DWG179" s="201"/>
      <c r="DWH179" s="201"/>
      <c r="DWI179" s="201"/>
      <c r="DWJ179" s="201"/>
      <c r="DWK179" s="201"/>
      <c r="DWL179" s="201"/>
      <c r="DWM179" s="201"/>
      <c r="DWN179" s="201"/>
      <c r="DWO179" s="201"/>
      <c r="DWP179" s="201"/>
      <c r="DWQ179" s="201"/>
      <c r="DWR179" s="201"/>
      <c r="DWS179" s="201"/>
      <c r="DWT179" s="201"/>
      <c r="DWU179" s="201"/>
      <c r="DWV179" s="201"/>
      <c r="DWW179" s="201"/>
      <c r="DWX179" s="201"/>
      <c r="DWY179" s="201"/>
      <c r="DWZ179" s="201"/>
      <c r="DXA179" s="201"/>
      <c r="DXB179" s="201"/>
      <c r="DXC179" s="201"/>
      <c r="DXD179" s="201"/>
      <c r="DXE179" s="201"/>
      <c r="DXF179" s="201"/>
      <c r="DXG179" s="201"/>
      <c r="DXH179" s="201"/>
      <c r="DXI179" s="201"/>
      <c r="DXJ179" s="201"/>
      <c r="DXK179" s="201"/>
      <c r="DXL179" s="201"/>
      <c r="DXM179" s="201"/>
      <c r="DXN179" s="201"/>
      <c r="DXO179" s="201"/>
      <c r="DXP179" s="201"/>
      <c r="DXQ179" s="201"/>
      <c r="DXR179" s="201"/>
      <c r="DXS179" s="201"/>
      <c r="DXT179" s="201"/>
      <c r="DXU179" s="201"/>
      <c r="DXV179" s="201"/>
      <c r="DXW179" s="201"/>
      <c r="DXX179" s="201"/>
      <c r="DXY179" s="201"/>
      <c r="DXZ179" s="201"/>
      <c r="DYA179" s="201"/>
      <c r="DYB179" s="201"/>
      <c r="DYC179" s="201"/>
      <c r="DYD179" s="201"/>
      <c r="DYE179" s="201"/>
      <c r="DYF179" s="201"/>
      <c r="DYG179" s="201"/>
      <c r="DYH179" s="201"/>
      <c r="DYI179" s="201"/>
      <c r="DYJ179" s="201"/>
      <c r="DYK179" s="201"/>
      <c r="DYL179" s="201"/>
      <c r="DYM179" s="201"/>
      <c r="DYN179" s="201"/>
      <c r="DYO179" s="201"/>
      <c r="DYP179" s="201"/>
      <c r="DYQ179" s="201"/>
      <c r="DYR179" s="201"/>
      <c r="DYS179" s="201"/>
      <c r="DYT179" s="201"/>
      <c r="DYU179" s="201"/>
      <c r="DYV179" s="201"/>
      <c r="DYW179" s="201"/>
      <c r="DYX179" s="201"/>
      <c r="DYY179" s="201"/>
      <c r="DYZ179" s="201"/>
      <c r="DZA179" s="201"/>
      <c r="DZB179" s="201"/>
      <c r="DZC179" s="201"/>
      <c r="DZD179" s="201"/>
      <c r="DZE179" s="201"/>
      <c r="DZF179" s="201"/>
      <c r="DZG179" s="201"/>
      <c r="DZH179" s="201"/>
      <c r="DZI179" s="201"/>
      <c r="DZJ179" s="201"/>
      <c r="DZK179" s="201"/>
      <c r="DZL179" s="201"/>
      <c r="DZM179" s="201"/>
      <c r="DZN179" s="201"/>
      <c r="DZO179" s="201"/>
      <c r="DZP179" s="201"/>
      <c r="DZQ179" s="201"/>
      <c r="DZR179" s="201"/>
      <c r="DZS179" s="201"/>
      <c r="DZT179" s="201"/>
      <c r="DZU179" s="201"/>
      <c r="DZV179" s="201"/>
      <c r="DZW179" s="201"/>
      <c r="DZX179" s="201"/>
      <c r="DZY179" s="201"/>
      <c r="DZZ179" s="201"/>
      <c r="EAA179" s="201"/>
      <c r="EAB179" s="201"/>
      <c r="EAC179" s="201"/>
      <c r="EAD179" s="201"/>
      <c r="EAE179" s="201"/>
      <c r="EAF179" s="201"/>
      <c r="EAG179" s="201"/>
      <c r="EAH179" s="201"/>
      <c r="EAI179" s="201"/>
      <c r="EAJ179" s="201"/>
      <c r="EAK179" s="201"/>
      <c r="EAL179" s="201"/>
      <c r="EAM179" s="201"/>
      <c r="EAN179" s="201"/>
      <c r="EAO179" s="201"/>
      <c r="EAP179" s="201"/>
      <c r="EAQ179" s="201"/>
      <c r="EAR179" s="201"/>
      <c r="EAS179" s="201"/>
      <c r="EAT179" s="201"/>
      <c r="EAU179" s="201"/>
      <c r="EAV179" s="201"/>
      <c r="EAW179" s="201"/>
      <c r="EAX179" s="201"/>
      <c r="EAY179" s="201"/>
      <c r="EAZ179" s="201"/>
      <c r="EBA179" s="201"/>
      <c r="EBB179" s="201"/>
      <c r="EBC179" s="201"/>
      <c r="EBD179" s="201"/>
      <c r="EBE179" s="201"/>
      <c r="EBF179" s="201"/>
      <c r="EBG179" s="201"/>
      <c r="EBH179" s="201"/>
      <c r="EBI179" s="201"/>
      <c r="EBJ179" s="201"/>
      <c r="EBK179" s="201"/>
      <c r="EBL179" s="201"/>
      <c r="EBM179" s="201"/>
      <c r="EBN179" s="201"/>
      <c r="EBO179" s="201"/>
      <c r="EBP179" s="201"/>
      <c r="EBQ179" s="201"/>
      <c r="EBR179" s="201"/>
      <c r="EBS179" s="201"/>
      <c r="EBT179" s="201"/>
      <c r="EBU179" s="201"/>
      <c r="EBV179" s="201"/>
      <c r="EBW179" s="201"/>
      <c r="EBX179" s="201"/>
      <c r="EBY179" s="201"/>
      <c r="EBZ179" s="201"/>
      <c r="ECA179" s="201"/>
      <c r="ECB179" s="201"/>
      <c r="ECC179" s="201"/>
      <c r="ECD179" s="201"/>
      <c r="ECE179" s="201"/>
      <c r="ECF179" s="201"/>
      <c r="ECG179" s="201"/>
      <c r="ECH179" s="201"/>
      <c r="ECI179" s="201"/>
      <c r="ECJ179" s="201"/>
      <c r="ECK179" s="201"/>
      <c r="ECL179" s="201"/>
      <c r="ECM179" s="201"/>
      <c r="ECN179" s="201"/>
      <c r="ECO179" s="201"/>
      <c r="ECP179" s="201"/>
      <c r="ECQ179" s="201"/>
      <c r="ECR179" s="201"/>
      <c r="ECS179" s="201"/>
      <c r="ECT179" s="201"/>
      <c r="ECU179" s="201"/>
      <c r="ECV179" s="201"/>
      <c r="ECW179" s="201"/>
      <c r="ECX179" s="201"/>
      <c r="ECY179" s="201"/>
      <c r="ECZ179" s="201"/>
      <c r="EDA179" s="201"/>
      <c r="EDB179" s="201"/>
      <c r="EDC179" s="201"/>
      <c r="EDD179" s="201"/>
      <c r="EDE179" s="201"/>
      <c r="EDF179" s="201"/>
      <c r="EDG179" s="201"/>
      <c r="EDH179" s="201"/>
      <c r="EDI179" s="201"/>
      <c r="EDJ179" s="201"/>
      <c r="EDK179" s="201"/>
      <c r="EDL179" s="201"/>
      <c r="EDM179" s="201"/>
      <c r="EDN179" s="201"/>
      <c r="EDO179" s="201"/>
      <c r="EDP179" s="201"/>
      <c r="EDQ179" s="201"/>
      <c r="EDR179" s="201"/>
      <c r="EDS179" s="201"/>
      <c r="EDT179" s="201"/>
      <c r="EDU179" s="201"/>
      <c r="EDV179" s="201"/>
      <c r="EDW179" s="201"/>
      <c r="EDX179" s="201"/>
      <c r="EDY179" s="201"/>
      <c r="EDZ179" s="201"/>
      <c r="EEA179" s="201"/>
      <c r="EEB179" s="201"/>
      <c r="EEC179" s="201"/>
      <c r="EED179" s="201"/>
      <c r="EEE179" s="201"/>
      <c r="EEF179" s="201"/>
      <c r="EEG179" s="201"/>
      <c r="EEH179" s="201"/>
      <c r="EEI179" s="201"/>
      <c r="EEJ179" s="201"/>
      <c r="EEK179" s="201"/>
      <c r="EEL179" s="201"/>
      <c r="EEM179" s="201"/>
      <c r="EEN179" s="201"/>
      <c r="EEO179" s="201"/>
      <c r="EEP179" s="201"/>
      <c r="EEQ179" s="201"/>
      <c r="EER179" s="201"/>
      <c r="EES179" s="201"/>
      <c r="EET179" s="201"/>
      <c r="EEU179" s="201"/>
      <c r="EEV179" s="201"/>
      <c r="EEW179" s="201"/>
      <c r="EEX179" s="201"/>
      <c r="EEY179" s="201"/>
      <c r="EEZ179" s="201"/>
      <c r="EFA179" s="201"/>
      <c r="EFB179" s="201"/>
      <c r="EFC179" s="201"/>
      <c r="EFD179" s="201"/>
      <c r="EFE179" s="201"/>
      <c r="EFF179" s="201"/>
      <c r="EFG179" s="201"/>
      <c r="EFH179" s="201"/>
      <c r="EFI179" s="201"/>
      <c r="EFJ179" s="201"/>
      <c r="EFK179" s="201"/>
      <c r="EFL179" s="201"/>
      <c r="EFM179" s="201"/>
      <c r="EFN179" s="201"/>
      <c r="EFO179" s="201"/>
      <c r="EFP179" s="201"/>
      <c r="EFQ179" s="201"/>
      <c r="EFR179" s="201"/>
      <c r="EFS179" s="201"/>
      <c r="EFT179" s="201"/>
      <c r="EFU179" s="201"/>
      <c r="EFV179" s="201"/>
      <c r="EFW179" s="201"/>
      <c r="EFX179" s="201"/>
      <c r="EFY179" s="201"/>
      <c r="EFZ179" s="201"/>
      <c r="EGA179" s="201"/>
      <c r="EGB179" s="201"/>
      <c r="EGC179" s="201"/>
      <c r="EGD179" s="201"/>
      <c r="EGE179" s="201"/>
      <c r="EGF179" s="201"/>
      <c r="EGG179" s="201"/>
      <c r="EGH179" s="201"/>
      <c r="EGI179" s="201"/>
      <c r="EGJ179" s="201"/>
      <c r="EGK179" s="201"/>
      <c r="EGL179" s="201"/>
      <c r="EGM179" s="201"/>
      <c r="EGN179" s="201"/>
      <c r="EGO179" s="201"/>
      <c r="EGP179" s="201"/>
      <c r="EGQ179" s="201"/>
      <c r="EGR179" s="201"/>
      <c r="EGS179" s="201"/>
      <c r="EGT179" s="201"/>
      <c r="EGU179" s="201"/>
      <c r="EGV179" s="201"/>
      <c r="EGW179" s="201"/>
      <c r="EGX179" s="201"/>
      <c r="EGY179" s="201"/>
      <c r="EGZ179" s="201"/>
      <c r="EHA179" s="201"/>
      <c r="EHB179" s="201"/>
      <c r="EHC179" s="201"/>
      <c r="EHD179" s="201"/>
      <c r="EHE179" s="201"/>
      <c r="EHF179" s="201"/>
      <c r="EHG179" s="201"/>
      <c r="EHH179" s="201"/>
      <c r="EHI179" s="201"/>
      <c r="EHJ179" s="201"/>
      <c r="EHK179" s="201"/>
      <c r="EHL179" s="201"/>
      <c r="EHM179" s="201"/>
      <c r="EHN179" s="201"/>
      <c r="EHO179" s="201"/>
      <c r="EHP179" s="201"/>
      <c r="EHQ179" s="201"/>
      <c r="EHR179" s="201"/>
      <c r="EHS179" s="201"/>
      <c r="EHT179" s="201"/>
      <c r="EHU179" s="201"/>
      <c r="EHV179" s="201"/>
      <c r="EHW179" s="201"/>
      <c r="EHX179" s="201"/>
      <c r="EHY179" s="201"/>
      <c r="EHZ179" s="201"/>
      <c r="EIA179" s="201"/>
      <c r="EIB179" s="201"/>
      <c r="EIC179" s="201"/>
      <c r="EID179" s="201"/>
      <c r="EIE179" s="201"/>
      <c r="EIF179" s="201"/>
      <c r="EIG179" s="201"/>
      <c r="EIH179" s="201"/>
      <c r="EII179" s="201"/>
      <c r="EIJ179" s="201"/>
      <c r="EIK179" s="201"/>
      <c r="EIL179" s="201"/>
      <c r="EIM179" s="201"/>
      <c r="EIN179" s="201"/>
      <c r="EIO179" s="201"/>
      <c r="EIP179" s="201"/>
      <c r="EIQ179" s="201"/>
      <c r="EIR179" s="201"/>
      <c r="EIS179" s="201"/>
      <c r="EIT179" s="201"/>
      <c r="EIU179" s="201"/>
      <c r="EIV179" s="201"/>
      <c r="EIW179" s="201"/>
      <c r="EIX179" s="201"/>
      <c r="EIY179" s="201"/>
      <c r="EIZ179" s="201"/>
      <c r="EJA179" s="201"/>
      <c r="EJB179" s="201"/>
      <c r="EJC179" s="201"/>
      <c r="EJD179" s="201"/>
      <c r="EJE179" s="201"/>
      <c r="EJF179" s="201"/>
      <c r="EJG179" s="201"/>
      <c r="EJH179" s="201"/>
      <c r="EJI179" s="201"/>
      <c r="EJJ179" s="201"/>
      <c r="EJK179" s="201"/>
      <c r="EJL179" s="201"/>
      <c r="EJM179" s="201"/>
      <c r="EJN179" s="201"/>
      <c r="EJO179" s="201"/>
      <c r="EJP179" s="201"/>
      <c r="EJQ179" s="201"/>
      <c r="EJR179" s="201"/>
      <c r="EJS179" s="201"/>
      <c r="EJT179" s="201"/>
      <c r="EJU179" s="201"/>
      <c r="EJV179" s="201"/>
      <c r="EJW179" s="201"/>
      <c r="EJX179" s="201"/>
      <c r="EJY179" s="201"/>
      <c r="EJZ179" s="201"/>
      <c r="EKA179" s="201"/>
      <c r="EKB179" s="201"/>
      <c r="EKC179" s="201"/>
      <c r="EKD179" s="201"/>
      <c r="EKE179" s="201"/>
      <c r="EKF179" s="201"/>
      <c r="EKG179" s="201"/>
      <c r="EKH179" s="201"/>
      <c r="EKI179" s="201"/>
      <c r="EKJ179" s="201"/>
      <c r="EKK179" s="201"/>
      <c r="EKL179" s="201"/>
      <c r="EKM179" s="201"/>
      <c r="EKN179" s="201"/>
      <c r="EKO179" s="201"/>
      <c r="EKP179" s="201"/>
      <c r="EKQ179" s="201"/>
      <c r="EKR179" s="201"/>
      <c r="EKS179" s="201"/>
      <c r="EKT179" s="201"/>
      <c r="EKU179" s="201"/>
      <c r="EKV179" s="201"/>
      <c r="EKW179" s="201"/>
      <c r="EKX179" s="201"/>
      <c r="EKY179" s="201"/>
      <c r="EKZ179" s="201"/>
      <c r="ELA179" s="201"/>
      <c r="ELB179" s="201"/>
      <c r="ELC179" s="201"/>
      <c r="ELD179" s="201"/>
      <c r="ELE179" s="201"/>
      <c r="ELF179" s="201"/>
      <c r="ELG179" s="201"/>
      <c r="ELH179" s="201"/>
      <c r="ELI179" s="201"/>
      <c r="ELJ179" s="201"/>
      <c r="ELK179" s="201"/>
      <c r="ELL179" s="201"/>
      <c r="ELM179" s="201"/>
      <c r="ELN179" s="201"/>
      <c r="ELO179" s="201"/>
      <c r="ELP179" s="201"/>
      <c r="ELQ179" s="201"/>
      <c r="ELR179" s="201"/>
      <c r="ELS179" s="201"/>
      <c r="ELT179" s="201"/>
      <c r="ELU179" s="201"/>
      <c r="ELV179" s="201"/>
      <c r="ELW179" s="201"/>
      <c r="ELX179" s="201"/>
      <c r="ELY179" s="201"/>
      <c r="ELZ179" s="201"/>
      <c r="EMA179" s="201"/>
      <c r="EMB179" s="201"/>
      <c r="EMC179" s="201"/>
      <c r="EMD179" s="201"/>
      <c r="EME179" s="201"/>
      <c r="EMF179" s="201"/>
      <c r="EMG179" s="201"/>
      <c r="EMH179" s="201"/>
      <c r="EMI179" s="201"/>
      <c r="EMJ179" s="201"/>
      <c r="EMK179" s="201"/>
      <c r="EML179" s="201"/>
      <c r="EMM179" s="201"/>
      <c r="EMN179" s="201"/>
      <c r="EMO179" s="201"/>
      <c r="EMP179" s="201"/>
      <c r="EMQ179" s="201"/>
      <c r="EMR179" s="201"/>
      <c r="EMS179" s="201"/>
      <c r="EMT179" s="201"/>
      <c r="EMU179" s="201"/>
      <c r="EMV179" s="201"/>
      <c r="EMW179" s="201"/>
      <c r="EMX179" s="201"/>
      <c r="EMY179" s="201"/>
      <c r="EMZ179" s="201"/>
      <c r="ENA179" s="201"/>
      <c r="ENB179" s="201"/>
      <c r="ENC179" s="201"/>
      <c r="END179" s="201"/>
      <c r="ENE179" s="201"/>
      <c r="ENF179" s="201"/>
      <c r="ENG179" s="201"/>
      <c r="ENH179" s="201"/>
      <c r="ENI179" s="201"/>
      <c r="ENJ179" s="201"/>
      <c r="ENK179" s="201"/>
      <c r="ENL179" s="201"/>
      <c r="ENM179" s="201"/>
      <c r="ENN179" s="201"/>
      <c r="ENO179" s="201"/>
      <c r="ENP179" s="201"/>
      <c r="ENQ179" s="201"/>
      <c r="ENR179" s="201"/>
      <c r="ENS179" s="201"/>
      <c r="ENT179" s="201"/>
      <c r="ENU179" s="201"/>
      <c r="ENV179" s="201"/>
      <c r="ENW179" s="201"/>
      <c r="ENX179" s="201"/>
      <c r="ENY179" s="201"/>
      <c r="ENZ179" s="201"/>
      <c r="EOA179" s="201"/>
      <c r="EOB179" s="201"/>
      <c r="EOC179" s="201"/>
      <c r="EOD179" s="201"/>
      <c r="EOE179" s="201"/>
      <c r="EOF179" s="201"/>
      <c r="EOG179" s="201"/>
      <c r="EOH179" s="201"/>
      <c r="EOI179" s="201"/>
      <c r="EOJ179" s="201"/>
      <c r="EOK179" s="201"/>
      <c r="EOL179" s="201"/>
      <c r="EOM179" s="201"/>
      <c r="EON179" s="201"/>
      <c r="EOO179" s="201"/>
      <c r="EOP179" s="201"/>
      <c r="EOQ179" s="201"/>
      <c r="EOR179" s="201"/>
      <c r="EOS179" s="201"/>
      <c r="EOT179" s="201"/>
      <c r="EOU179" s="201"/>
      <c r="EOV179" s="201"/>
      <c r="EOW179" s="201"/>
      <c r="EOX179" s="201"/>
      <c r="EOY179" s="201"/>
      <c r="EOZ179" s="201"/>
      <c r="EPA179" s="201"/>
      <c r="EPB179" s="201"/>
      <c r="EPC179" s="201"/>
      <c r="EPD179" s="201"/>
      <c r="EPE179" s="201"/>
      <c r="EPF179" s="201"/>
      <c r="EPG179" s="201"/>
      <c r="EPH179" s="201"/>
      <c r="EPI179" s="201"/>
      <c r="EPJ179" s="201"/>
      <c r="EPK179" s="201"/>
      <c r="EPL179" s="201"/>
      <c r="EPM179" s="201"/>
      <c r="EPN179" s="201"/>
      <c r="EPO179" s="201"/>
      <c r="EPP179" s="201"/>
      <c r="EPQ179" s="201"/>
      <c r="EPR179" s="201"/>
      <c r="EPS179" s="201"/>
      <c r="EPT179" s="201"/>
      <c r="EPU179" s="201"/>
      <c r="EPV179" s="201"/>
      <c r="EPW179" s="201"/>
      <c r="EPX179" s="201"/>
      <c r="EPY179" s="201"/>
      <c r="EPZ179" s="201"/>
      <c r="EQA179" s="201"/>
      <c r="EQB179" s="201"/>
      <c r="EQC179" s="201"/>
      <c r="EQD179" s="201"/>
      <c r="EQE179" s="201"/>
      <c r="EQF179" s="201"/>
      <c r="EQG179" s="201"/>
      <c r="EQH179" s="201"/>
      <c r="EQI179" s="201"/>
      <c r="EQJ179" s="201"/>
      <c r="EQK179" s="201"/>
      <c r="EQL179" s="201"/>
      <c r="EQM179" s="201"/>
      <c r="EQN179" s="201"/>
      <c r="EQO179" s="201"/>
      <c r="EQP179" s="201"/>
      <c r="EQQ179" s="201"/>
      <c r="EQR179" s="201"/>
      <c r="EQS179" s="201"/>
      <c r="EQT179" s="201"/>
      <c r="EQU179" s="201"/>
      <c r="EQV179" s="201"/>
      <c r="EQW179" s="201"/>
      <c r="EQX179" s="201"/>
      <c r="EQY179" s="201"/>
      <c r="EQZ179" s="201"/>
      <c r="ERA179" s="201"/>
      <c r="ERB179" s="201"/>
      <c r="ERC179" s="201"/>
      <c r="ERD179" s="201"/>
      <c r="ERE179" s="201"/>
      <c r="ERF179" s="201"/>
      <c r="ERG179" s="201"/>
      <c r="ERH179" s="201"/>
      <c r="ERI179" s="201"/>
      <c r="ERJ179" s="201"/>
      <c r="ERK179" s="201"/>
      <c r="ERL179" s="201"/>
      <c r="ERM179" s="201"/>
      <c r="ERN179" s="201"/>
      <c r="ERO179" s="201"/>
      <c r="ERP179" s="201"/>
      <c r="ERQ179" s="201"/>
      <c r="ERR179" s="201"/>
      <c r="ERS179" s="201"/>
      <c r="ERT179" s="201"/>
      <c r="ERU179" s="201"/>
      <c r="ERV179" s="201"/>
      <c r="ERW179" s="201"/>
      <c r="ERX179" s="201"/>
      <c r="ERY179" s="201"/>
      <c r="ERZ179" s="201"/>
      <c r="ESA179" s="201"/>
      <c r="ESB179" s="201"/>
      <c r="ESC179" s="201"/>
      <c r="ESD179" s="201"/>
      <c r="ESE179" s="201"/>
      <c r="ESF179" s="201"/>
      <c r="ESG179" s="201"/>
      <c r="ESH179" s="201"/>
      <c r="ESI179" s="201"/>
      <c r="ESJ179" s="201"/>
      <c r="ESK179" s="201"/>
      <c r="ESL179" s="201"/>
      <c r="ESM179" s="201"/>
      <c r="ESN179" s="201"/>
      <c r="ESO179" s="201"/>
      <c r="ESP179" s="201"/>
      <c r="ESQ179" s="201"/>
      <c r="ESR179" s="201"/>
      <c r="ESS179" s="201"/>
      <c r="EST179" s="201"/>
      <c r="ESU179" s="201"/>
      <c r="ESV179" s="201"/>
      <c r="ESW179" s="201"/>
      <c r="ESX179" s="201"/>
      <c r="ESY179" s="201"/>
      <c r="ESZ179" s="201"/>
      <c r="ETA179" s="201"/>
      <c r="ETB179" s="201"/>
      <c r="ETC179" s="201"/>
      <c r="ETD179" s="201"/>
      <c r="ETE179" s="201"/>
      <c r="ETF179" s="201"/>
      <c r="ETG179" s="201"/>
      <c r="ETH179" s="201"/>
      <c r="ETI179" s="201"/>
      <c r="ETJ179" s="201"/>
      <c r="ETK179" s="201"/>
      <c r="ETL179" s="201"/>
      <c r="ETM179" s="201"/>
      <c r="ETN179" s="201"/>
      <c r="ETO179" s="201"/>
      <c r="ETP179" s="201"/>
      <c r="ETQ179" s="201"/>
      <c r="ETR179" s="201"/>
      <c r="ETS179" s="201"/>
      <c r="ETT179" s="201"/>
      <c r="ETU179" s="201"/>
      <c r="ETV179" s="201"/>
      <c r="ETW179" s="201"/>
      <c r="ETX179" s="201"/>
      <c r="ETY179" s="201"/>
      <c r="ETZ179" s="201"/>
      <c r="EUA179" s="201"/>
      <c r="EUB179" s="201"/>
      <c r="EUC179" s="201"/>
      <c r="EUD179" s="201"/>
      <c r="EUE179" s="201"/>
      <c r="EUF179" s="201"/>
      <c r="EUG179" s="201"/>
      <c r="EUH179" s="201"/>
      <c r="EUI179" s="201"/>
      <c r="EUJ179" s="201"/>
      <c r="EUK179" s="201"/>
      <c r="EUL179" s="201"/>
      <c r="EUM179" s="201"/>
      <c r="EUN179" s="201"/>
      <c r="EUO179" s="201"/>
      <c r="EUP179" s="201"/>
      <c r="EUQ179" s="201"/>
      <c r="EUR179" s="201"/>
      <c r="EUS179" s="201"/>
      <c r="EUT179" s="201"/>
      <c r="EUU179" s="201"/>
      <c r="EUV179" s="201"/>
      <c r="EUW179" s="201"/>
      <c r="EUX179" s="201"/>
      <c r="EUY179" s="201"/>
      <c r="EUZ179" s="201"/>
      <c r="EVA179" s="201"/>
      <c r="EVB179" s="201"/>
      <c r="EVC179" s="201"/>
      <c r="EVD179" s="201"/>
      <c r="EVE179" s="201"/>
      <c r="EVF179" s="201"/>
      <c r="EVG179" s="201"/>
      <c r="EVH179" s="201"/>
      <c r="EVI179" s="201"/>
      <c r="EVJ179" s="201"/>
      <c r="EVK179" s="201"/>
      <c r="EVL179" s="201"/>
      <c r="EVM179" s="201"/>
      <c r="EVN179" s="201"/>
      <c r="EVO179" s="201"/>
      <c r="EVP179" s="201"/>
      <c r="EVQ179" s="201"/>
      <c r="EVR179" s="201"/>
      <c r="EVS179" s="201"/>
      <c r="EVT179" s="201"/>
      <c r="EVU179" s="201"/>
      <c r="EVV179" s="201"/>
      <c r="EVW179" s="201"/>
      <c r="EVX179" s="201"/>
      <c r="EVY179" s="201"/>
      <c r="EVZ179" s="201"/>
      <c r="EWA179" s="201"/>
      <c r="EWB179" s="201"/>
      <c r="EWC179" s="201"/>
      <c r="EWD179" s="201"/>
      <c r="EWE179" s="201"/>
      <c r="EWF179" s="201"/>
      <c r="EWG179" s="201"/>
      <c r="EWH179" s="201"/>
      <c r="EWI179" s="201"/>
      <c r="EWJ179" s="201"/>
      <c r="EWK179" s="201"/>
      <c r="EWL179" s="201"/>
      <c r="EWM179" s="201"/>
      <c r="EWN179" s="201"/>
      <c r="EWO179" s="201"/>
      <c r="EWP179" s="201"/>
      <c r="EWQ179" s="201"/>
      <c r="EWR179" s="201"/>
      <c r="EWS179" s="201"/>
      <c r="EWT179" s="201"/>
      <c r="EWU179" s="201"/>
      <c r="EWV179" s="201"/>
      <c r="EWW179" s="201"/>
      <c r="EWX179" s="201"/>
      <c r="EWY179" s="201"/>
      <c r="EWZ179" s="201"/>
      <c r="EXA179" s="201"/>
      <c r="EXB179" s="201"/>
      <c r="EXC179" s="201"/>
      <c r="EXD179" s="201"/>
      <c r="EXE179" s="201"/>
      <c r="EXF179" s="201"/>
      <c r="EXG179" s="201"/>
      <c r="EXH179" s="201"/>
      <c r="EXI179" s="201"/>
      <c r="EXJ179" s="201"/>
      <c r="EXK179" s="201"/>
      <c r="EXL179" s="201"/>
      <c r="EXM179" s="201"/>
      <c r="EXN179" s="201"/>
      <c r="EXO179" s="201"/>
      <c r="EXP179" s="201"/>
      <c r="EXQ179" s="201"/>
      <c r="EXR179" s="201"/>
      <c r="EXS179" s="201"/>
      <c r="EXT179" s="201"/>
      <c r="EXU179" s="201"/>
      <c r="EXV179" s="201"/>
      <c r="EXW179" s="201"/>
      <c r="EXX179" s="201"/>
      <c r="EXY179" s="201"/>
      <c r="EXZ179" s="201"/>
      <c r="EYA179" s="201"/>
      <c r="EYB179" s="201"/>
      <c r="EYC179" s="201"/>
      <c r="EYD179" s="201"/>
      <c r="EYE179" s="201"/>
      <c r="EYF179" s="201"/>
      <c r="EYG179" s="201"/>
      <c r="EYH179" s="201"/>
      <c r="EYI179" s="201"/>
      <c r="EYJ179" s="201"/>
      <c r="EYK179" s="201"/>
      <c r="EYL179" s="201"/>
      <c r="EYM179" s="201"/>
      <c r="EYN179" s="201"/>
      <c r="EYO179" s="201"/>
      <c r="EYP179" s="201"/>
      <c r="EYQ179" s="201"/>
      <c r="EYR179" s="201"/>
      <c r="EYS179" s="201"/>
      <c r="EYT179" s="201"/>
      <c r="EYU179" s="201"/>
      <c r="EYV179" s="201"/>
      <c r="EYW179" s="201"/>
      <c r="EYX179" s="201"/>
      <c r="EYY179" s="201"/>
      <c r="EYZ179" s="201"/>
      <c r="EZA179" s="201"/>
      <c r="EZB179" s="201"/>
      <c r="EZC179" s="201"/>
      <c r="EZD179" s="201"/>
      <c r="EZE179" s="201"/>
      <c r="EZF179" s="201"/>
      <c r="EZG179" s="201"/>
      <c r="EZH179" s="201"/>
      <c r="EZI179" s="201"/>
      <c r="EZJ179" s="201"/>
      <c r="EZK179" s="201"/>
      <c r="EZL179" s="201"/>
      <c r="EZM179" s="201"/>
      <c r="EZN179" s="201"/>
      <c r="EZO179" s="201"/>
      <c r="EZP179" s="201"/>
      <c r="EZQ179" s="201"/>
      <c r="EZR179" s="201"/>
      <c r="EZS179" s="201"/>
      <c r="EZT179" s="201"/>
      <c r="EZU179" s="201"/>
      <c r="EZV179" s="201"/>
      <c r="EZW179" s="201"/>
      <c r="EZX179" s="201"/>
      <c r="EZY179" s="201"/>
      <c r="EZZ179" s="201"/>
      <c r="FAA179" s="201"/>
      <c r="FAB179" s="201"/>
      <c r="FAC179" s="201"/>
      <c r="FAD179" s="201"/>
      <c r="FAE179" s="201"/>
      <c r="FAF179" s="201"/>
      <c r="FAG179" s="201"/>
      <c r="FAH179" s="201"/>
      <c r="FAI179" s="201"/>
      <c r="FAJ179" s="201"/>
      <c r="FAK179" s="201"/>
      <c r="FAL179" s="201"/>
      <c r="FAM179" s="201"/>
      <c r="FAN179" s="201"/>
      <c r="FAO179" s="201"/>
      <c r="FAP179" s="201"/>
      <c r="FAQ179" s="201"/>
      <c r="FAR179" s="201"/>
      <c r="FAS179" s="201"/>
      <c r="FAT179" s="201"/>
      <c r="FAU179" s="201"/>
      <c r="FAV179" s="201"/>
      <c r="FAW179" s="201"/>
      <c r="FAX179" s="201"/>
      <c r="FAY179" s="201"/>
      <c r="FAZ179" s="201"/>
      <c r="FBA179" s="201"/>
      <c r="FBB179" s="201"/>
      <c r="FBC179" s="201"/>
      <c r="FBD179" s="201"/>
      <c r="FBE179" s="201"/>
      <c r="FBF179" s="201"/>
      <c r="FBG179" s="201"/>
      <c r="FBH179" s="201"/>
      <c r="FBI179" s="201"/>
      <c r="FBJ179" s="201"/>
      <c r="FBK179" s="201"/>
      <c r="FBL179" s="201"/>
      <c r="FBM179" s="201"/>
      <c r="FBN179" s="201"/>
      <c r="FBO179" s="201"/>
      <c r="FBP179" s="201"/>
      <c r="FBQ179" s="201"/>
      <c r="FBR179" s="201"/>
      <c r="FBS179" s="201"/>
      <c r="FBT179" s="201"/>
      <c r="FBU179" s="201"/>
      <c r="FBV179" s="201"/>
      <c r="FBW179" s="201"/>
      <c r="FBX179" s="201"/>
      <c r="FBY179" s="201"/>
      <c r="FBZ179" s="201"/>
      <c r="FCA179" s="201"/>
      <c r="FCB179" s="201"/>
      <c r="FCC179" s="201"/>
      <c r="FCD179" s="201"/>
      <c r="FCE179" s="201"/>
      <c r="FCF179" s="201"/>
      <c r="FCG179" s="201"/>
      <c r="FCH179" s="201"/>
      <c r="FCI179" s="201"/>
      <c r="FCJ179" s="201"/>
      <c r="FCK179" s="201"/>
      <c r="FCL179" s="201"/>
      <c r="FCM179" s="201"/>
      <c r="FCN179" s="201"/>
      <c r="FCO179" s="201"/>
      <c r="FCP179" s="201"/>
      <c r="FCQ179" s="201"/>
      <c r="FCR179" s="201"/>
      <c r="FCS179" s="201"/>
      <c r="FCT179" s="201"/>
      <c r="FCU179" s="201"/>
      <c r="FCV179" s="201"/>
      <c r="FCW179" s="201"/>
      <c r="FCX179" s="201"/>
      <c r="FCY179" s="201"/>
      <c r="FCZ179" s="201"/>
      <c r="FDA179" s="201"/>
      <c r="FDB179" s="201"/>
      <c r="FDC179" s="201"/>
      <c r="FDD179" s="201"/>
      <c r="FDE179" s="201"/>
      <c r="FDF179" s="201"/>
      <c r="FDG179" s="201"/>
      <c r="FDH179" s="201"/>
      <c r="FDI179" s="201"/>
      <c r="FDJ179" s="201"/>
      <c r="FDK179" s="201"/>
      <c r="FDL179" s="201"/>
      <c r="FDM179" s="201"/>
      <c r="FDN179" s="201"/>
      <c r="FDO179" s="201"/>
      <c r="FDP179" s="201"/>
      <c r="FDQ179" s="201"/>
      <c r="FDR179" s="201"/>
      <c r="FDS179" s="201"/>
      <c r="FDT179" s="201"/>
      <c r="FDU179" s="201"/>
      <c r="FDV179" s="201"/>
      <c r="FDW179" s="201"/>
      <c r="FDX179" s="201"/>
      <c r="FDY179" s="201"/>
      <c r="FDZ179" s="201"/>
      <c r="FEA179" s="201"/>
      <c r="FEB179" s="201"/>
      <c r="FEC179" s="201"/>
      <c r="FED179" s="201"/>
      <c r="FEE179" s="201"/>
      <c r="FEF179" s="201"/>
      <c r="FEG179" s="201"/>
      <c r="FEH179" s="201"/>
      <c r="FEI179" s="201"/>
      <c r="FEJ179" s="201"/>
      <c r="FEK179" s="201"/>
      <c r="FEL179" s="201"/>
      <c r="FEM179" s="201"/>
      <c r="FEN179" s="201"/>
      <c r="FEO179" s="201"/>
      <c r="FEP179" s="201"/>
      <c r="FEQ179" s="201"/>
      <c r="FER179" s="201"/>
      <c r="FES179" s="201"/>
      <c r="FET179" s="201"/>
      <c r="FEU179" s="201"/>
      <c r="FEV179" s="201"/>
      <c r="FEW179" s="201"/>
      <c r="FEX179" s="201"/>
      <c r="FEY179" s="201"/>
      <c r="FEZ179" s="201"/>
      <c r="FFA179" s="201"/>
      <c r="FFB179" s="201"/>
      <c r="FFC179" s="201"/>
      <c r="FFD179" s="201"/>
      <c r="FFE179" s="201"/>
      <c r="FFF179" s="201"/>
      <c r="FFG179" s="201"/>
      <c r="FFH179" s="201"/>
      <c r="FFI179" s="201"/>
      <c r="FFJ179" s="201"/>
      <c r="FFK179" s="201"/>
      <c r="FFL179" s="201"/>
      <c r="FFM179" s="201"/>
      <c r="FFN179" s="201"/>
      <c r="FFO179" s="201"/>
      <c r="FFP179" s="201"/>
      <c r="FFQ179" s="201"/>
      <c r="FFR179" s="201"/>
      <c r="FFS179" s="201"/>
      <c r="FFT179" s="201"/>
      <c r="FFU179" s="201"/>
      <c r="FFV179" s="201"/>
      <c r="FFW179" s="201"/>
      <c r="FFX179" s="201"/>
      <c r="FFY179" s="201"/>
      <c r="FFZ179" s="201"/>
      <c r="FGA179" s="201"/>
      <c r="FGB179" s="201"/>
      <c r="FGC179" s="201"/>
      <c r="FGD179" s="201"/>
      <c r="FGE179" s="201"/>
      <c r="FGF179" s="201"/>
      <c r="FGG179" s="201"/>
      <c r="FGH179" s="201"/>
      <c r="FGI179" s="201"/>
      <c r="FGJ179" s="201"/>
      <c r="FGK179" s="201"/>
      <c r="FGL179" s="201"/>
      <c r="FGM179" s="201"/>
      <c r="FGN179" s="201"/>
      <c r="FGO179" s="201"/>
      <c r="FGP179" s="201"/>
      <c r="FGQ179" s="201"/>
      <c r="FGR179" s="201"/>
      <c r="FGS179" s="201"/>
      <c r="FGT179" s="201"/>
      <c r="FGU179" s="201"/>
      <c r="FGV179" s="201"/>
      <c r="FGW179" s="201"/>
      <c r="FGX179" s="201"/>
      <c r="FGY179" s="201"/>
      <c r="FGZ179" s="201"/>
      <c r="FHA179" s="201"/>
      <c r="FHB179" s="201"/>
      <c r="FHC179" s="201"/>
      <c r="FHD179" s="201"/>
      <c r="FHE179" s="201"/>
      <c r="FHF179" s="201"/>
      <c r="FHG179" s="201"/>
      <c r="FHH179" s="201"/>
      <c r="FHI179" s="201"/>
      <c r="FHJ179" s="201"/>
      <c r="FHK179" s="201"/>
      <c r="FHL179" s="201"/>
      <c r="FHM179" s="201"/>
      <c r="FHN179" s="201"/>
      <c r="FHO179" s="201"/>
      <c r="FHP179" s="201"/>
      <c r="FHQ179" s="201"/>
      <c r="FHR179" s="201"/>
      <c r="FHS179" s="201"/>
      <c r="FHT179" s="201"/>
      <c r="FHU179" s="201"/>
      <c r="FHV179" s="201"/>
      <c r="FHW179" s="201"/>
      <c r="FHX179" s="201"/>
      <c r="FHY179" s="201"/>
      <c r="FHZ179" s="201"/>
      <c r="FIA179" s="201"/>
      <c r="FIB179" s="201"/>
      <c r="FIC179" s="201"/>
      <c r="FID179" s="201"/>
      <c r="FIE179" s="201"/>
      <c r="FIF179" s="201"/>
      <c r="FIG179" s="201"/>
      <c r="FIH179" s="201"/>
      <c r="FII179" s="201"/>
      <c r="FIJ179" s="201"/>
      <c r="FIK179" s="201"/>
      <c r="FIL179" s="201"/>
      <c r="FIM179" s="201"/>
      <c r="FIN179" s="201"/>
      <c r="FIO179" s="201"/>
      <c r="FIP179" s="201"/>
      <c r="FIQ179" s="201"/>
      <c r="FIR179" s="201"/>
      <c r="FIS179" s="201"/>
      <c r="FIT179" s="201"/>
      <c r="FIU179" s="201"/>
      <c r="FIV179" s="201"/>
      <c r="FIW179" s="201"/>
      <c r="FIX179" s="201"/>
      <c r="FIY179" s="201"/>
      <c r="FIZ179" s="201"/>
      <c r="FJA179" s="201"/>
      <c r="FJB179" s="201"/>
      <c r="FJC179" s="201"/>
      <c r="FJD179" s="201"/>
      <c r="FJE179" s="201"/>
      <c r="FJF179" s="201"/>
      <c r="FJG179" s="201"/>
      <c r="FJH179" s="201"/>
      <c r="FJI179" s="201"/>
      <c r="FJJ179" s="201"/>
      <c r="FJK179" s="201"/>
      <c r="FJL179" s="201"/>
      <c r="FJM179" s="201"/>
      <c r="FJN179" s="201"/>
      <c r="FJO179" s="201"/>
      <c r="FJP179" s="201"/>
      <c r="FJQ179" s="201"/>
      <c r="FJR179" s="201"/>
      <c r="FJS179" s="201"/>
      <c r="FJT179" s="201"/>
      <c r="FJU179" s="201"/>
      <c r="FJV179" s="201"/>
      <c r="FJW179" s="201"/>
      <c r="FJX179" s="201"/>
      <c r="FJY179" s="201"/>
      <c r="FJZ179" s="201"/>
      <c r="FKA179" s="201"/>
      <c r="FKB179" s="201"/>
      <c r="FKC179" s="201"/>
      <c r="FKD179" s="201"/>
      <c r="FKE179" s="201"/>
      <c r="FKF179" s="201"/>
      <c r="FKG179" s="201"/>
      <c r="FKH179" s="201"/>
      <c r="FKI179" s="201"/>
      <c r="FKJ179" s="201"/>
      <c r="FKK179" s="201"/>
      <c r="FKL179" s="201"/>
      <c r="FKM179" s="201"/>
      <c r="FKN179" s="201"/>
      <c r="FKO179" s="201"/>
      <c r="FKP179" s="201"/>
      <c r="FKQ179" s="201"/>
      <c r="FKR179" s="201"/>
      <c r="FKS179" s="201"/>
      <c r="FKT179" s="201"/>
      <c r="FKU179" s="201"/>
      <c r="FKV179" s="201"/>
      <c r="FKW179" s="201"/>
      <c r="FKX179" s="201"/>
      <c r="FKY179" s="201"/>
      <c r="FKZ179" s="201"/>
      <c r="FLA179" s="201"/>
      <c r="FLB179" s="201"/>
      <c r="FLC179" s="201"/>
      <c r="FLD179" s="201"/>
      <c r="FLE179" s="201"/>
      <c r="FLF179" s="201"/>
      <c r="FLG179" s="201"/>
      <c r="FLH179" s="201"/>
      <c r="FLI179" s="201"/>
      <c r="FLJ179" s="201"/>
      <c r="FLK179" s="201"/>
      <c r="FLL179" s="201"/>
      <c r="FLM179" s="201"/>
      <c r="FLN179" s="201"/>
      <c r="FLO179" s="201"/>
      <c r="FLP179" s="201"/>
      <c r="FLQ179" s="201"/>
      <c r="FLR179" s="201"/>
      <c r="FLS179" s="201"/>
      <c r="FLT179" s="201"/>
      <c r="FLU179" s="201"/>
      <c r="FLV179" s="201"/>
      <c r="FLW179" s="201"/>
      <c r="FLX179" s="201"/>
      <c r="FLY179" s="201"/>
      <c r="FLZ179" s="201"/>
      <c r="FMA179" s="201"/>
      <c r="FMB179" s="201"/>
      <c r="FMC179" s="201"/>
      <c r="FMD179" s="201"/>
      <c r="FME179" s="201"/>
      <c r="FMF179" s="201"/>
      <c r="FMG179" s="201"/>
      <c r="FMH179" s="201"/>
      <c r="FMI179" s="201"/>
      <c r="FMJ179" s="201"/>
      <c r="FMK179" s="201"/>
      <c r="FML179" s="201"/>
      <c r="FMM179" s="201"/>
      <c r="FMN179" s="201"/>
      <c r="FMO179" s="201"/>
      <c r="FMP179" s="201"/>
      <c r="FMQ179" s="201"/>
      <c r="FMR179" s="201"/>
      <c r="FMS179" s="201"/>
      <c r="FMT179" s="201"/>
      <c r="FMU179" s="201"/>
      <c r="FMV179" s="201"/>
      <c r="FMW179" s="201"/>
      <c r="FMX179" s="201"/>
      <c r="FMY179" s="201"/>
      <c r="FMZ179" s="201"/>
      <c r="FNA179" s="201"/>
      <c r="FNB179" s="201"/>
      <c r="FNC179" s="201"/>
      <c r="FND179" s="201"/>
      <c r="FNE179" s="201"/>
      <c r="FNF179" s="201"/>
      <c r="FNG179" s="201"/>
      <c r="FNH179" s="201"/>
      <c r="FNI179" s="201"/>
      <c r="FNJ179" s="201"/>
      <c r="FNK179" s="201"/>
      <c r="FNL179" s="201"/>
      <c r="FNM179" s="201"/>
      <c r="FNN179" s="201"/>
      <c r="FNO179" s="201"/>
      <c r="FNP179" s="201"/>
      <c r="FNQ179" s="201"/>
      <c r="FNR179" s="201"/>
      <c r="FNS179" s="201"/>
      <c r="FNT179" s="201"/>
      <c r="FNU179" s="201"/>
      <c r="FNV179" s="201"/>
      <c r="FNW179" s="201"/>
      <c r="FNX179" s="201"/>
      <c r="FNY179" s="201"/>
      <c r="FNZ179" s="201"/>
      <c r="FOA179" s="201"/>
      <c r="FOB179" s="201"/>
      <c r="FOC179" s="201"/>
      <c r="FOD179" s="201"/>
      <c r="FOE179" s="201"/>
      <c r="FOF179" s="201"/>
      <c r="FOG179" s="201"/>
      <c r="FOH179" s="201"/>
      <c r="FOI179" s="201"/>
      <c r="FOJ179" s="201"/>
      <c r="FOK179" s="201"/>
      <c r="FOL179" s="201"/>
      <c r="FOM179" s="201"/>
      <c r="FON179" s="201"/>
      <c r="FOO179" s="201"/>
      <c r="FOP179" s="201"/>
      <c r="FOQ179" s="201"/>
      <c r="FOR179" s="201"/>
      <c r="FOS179" s="201"/>
      <c r="FOT179" s="201"/>
      <c r="FOU179" s="201"/>
      <c r="FOV179" s="201"/>
      <c r="FOW179" s="201"/>
      <c r="FOX179" s="201"/>
      <c r="FOY179" s="201"/>
      <c r="FOZ179" s="201"/>
      <c r="FPA179" s="201"/>
      <c r="FPB179" s="201"/>
      <c r="FPC179" s="201"/>
      <c r="FPD179" s="201"/>
      <c r="FPE179" s="201"/>
      <c r="FPF179" s="201"/>
      <c r="FPG179" s="201"/>
      <c r="FPH179" s="201"/>
      <c r="FPI179" s="201"/>
      <c r="FPJ179" s="201"/>
      <c r="FPK179" s="201"/>
      <c r="FPL179" s="201"/>
      <c r="FPM179" s="201"/>
      <c r="FPN179" s="201"/>
      <c r="FPO179" s="201"/>
      <c r="FPP179" s="201"/>
      <c r="FPQ179" s="201"/>
      <c r="FPR179" s="201"/>
      <c r="FPS179" s="201"/>
      <c r="FPT179" s="201"/>
      <c r="FPU179" s="201"/>
      <c r="FPV179" s="201"/>
      <c r="FPW179" s="201"/>
      <c r="FPX179" s="201"/>
      <c r="FPY179" s="201"/>
      <c r="FPZ179" s="201"/>
      <c r="FQA179" s="201"/>
      <c r="FQB179" s="201"/>
      <c r="FQC179" s="201"/>
      <c r="FQD179" s="201"/>
      <c r="FQE179" s="201"/>
      <c r="FQF179" s="201"/>
      <c r="FQG179" s="201"/>
      <c r="FQH179" s="201"/>
      <c r="FQI179" s="201"/>
      <c r="FQJ179" s="201"/>
      <c r="FQK179" s="201"/>
      <c r="FQL179" s="201"/>
      <c r="FQM179" s="201"/>
      <c r="FQN179" s="201"/>
      <c r="FQO179" s="201"/>
      <c r="FQP179" s="201"/>
      <c r="FQQ179" s="201"/>
      <c r="FQR179" s="201"/>
      <c r="FQS179" s="201"/>
      <c r="FQT179" s="201"/>
      <c r="FQU179" s="201"/>
      <c r="FQV179" s="201"/>
      <c r="FQW179" s="201"/>
      <c r="FQX179" s="201"/>
      <c r="FQY179" s="201"/>
      <c r="FQZ179" s="201"/>
      <c r="FRA179" s="201"/>
      <c r="FRB179" s="201"/>
      <c r="FRC179" s="201"/>
      <c r="FRD179" s="201"/>
      <c r="FRE179" s="201"/>
      <c r="FRF179" s="201"/>
      <c r="FRG179" s="201"/>
      <c r="FRH179" s="201"/>
      <c r="FRI179" s="201"/>
      <c r="FRJ179" s="201"/>
      <c r="FRK179" s="201"/>
      <c r="FRL179" s="201"/>
      <c r="FRM179" s="201"/>
      <c r="FRN179" s="201"/>
      <c r="FRO179" s="201"/>
      <c r="FRP179" s="201"/>
      <c r="FRQ179" s="201"/>
      <c r="FRR179" s="201"/>
      <c r="FRS179" s="201"/>
      <c r="FRT179" s="201"/>
      <c r="FRU179" s="201"/>
      <c r="FRV179" s="201"/>
      <c r="FRW179" s="201"/>
      <c r="FRX179" s="201"/>
      <c r="FRY179" s="201"/>
      <c r="FRZ179" s="201"/>
      <c r="FSA179" s="201"/>
      <c r="FSB179" s="201"/>
      <c r="FSC179" s="201"/>
      <c r="FSD179" s="201"/>
      <c r="FSE179" s="201"/>
      <c r="FSF179" s="201"/>
      <c r="FSG179" s="201"/>
      <c r="FSH179" s="201"/>
      <c r="FSI179" s="201"/>
      <c r="FSJ179" s="201"/>
      <c r="FSK179" s="201"/>
      <c r="FSL179" s="201"/>
      <c r="FSM179" s="201"/>
      <c r="FSN179" s="201"/>
      <c r="FSO179" s="201"/>
      <c r="FSP179" s="201"/>
      <c r="FSQ179" s="201"/>
      <c r="FSR179" s="201"/>
      <c r="FSS179" s="201"/>
      <c r="FST179" s="201"/>
      <c r="FSU179" s="201"/>
      <c r="FSV179" s="201"/>
      <c r="FSW179" s="201"/>
      <c r="FSX179" s="201"/>
      <c r="FSY179" s="201"/>
      <c r="FSZ179" s="201"/>
      <c r="FTA179" s="201"/>
      <c r="FTB179" s="201"/>
      <c r="FTC179" s="201"/>
      <c r="FTD179" s="201"/>
      <c r="FTE179" s="201"/>
      <c r="FTF179" s="201"/>
      <c r="FTG179" s="201"/>
      <c r="FTH179" s="201"/>
      <c r="FTI179" s="201"/>
      <c r="FTJ179" s="201"/>
      <c r="FTK179" s="201"/>
      <c r="FTL179" s="201"/>
      <c r="FTM179" s="201"/>
      <c r="FTN179" s="201"/>
      <c r="FTO179" s="201"/>
      <c r="FTP179" s="201"/>
      <c r="FTQ179" s="201"/>
      <c r="FTR179" s="201"/>
      <c r="FTS179" s="201"/>
      <c r="FTT179" s="201"/>
      <c r="FTU179" s="201"/>
      <c r="FTV179" s="201"/>
      <c r="FTW179" s="201"/>
      <c r="FTX179" s="201"/>
      <c r="FTY179" s="201"/>
      <c r="FTZ179" s="201"/>
      <c r="FUA179" s="201"/>
      <c r="FUB179" s="201"/>
      <c r="FUC179" s="201"/>
      <c r="FUD179" s="201"/>
      <c r="FUE179" s="201"/>
      <c r="FUF179" s="201"/>
      <c r="FUG179" s="201"/>
      <c r="FUH179" s="201"/>
      <c r="FUI179" s="201"/>
      <c r="FUJ179" s="201"/>
      <c r="FUK179" s="201"/>
      <c r="FUL179" s="201"/>
      <c r="FUM179" s="201"/>
      <c r="FUN179" s="201"/>
      <c r="FUO179" s="201"/>
      <c r="FUP179" s="201"/>
      <c r="FUQ179" s="201"/>
      <c r="FUR179" s="201"/>
      <c r="FUS179" s="201"/>
      <c r="FUT179" s="201"/>
      <c r="FUU179" s="201"/>
      <c r="FUV179" s="201"/>
      <c r="FUW179" s="201"/>
      <c r="FUX179" s="201"/>
      <c r="FUY179" s="201"/>
      <c r="FUZ179" s="201"/>
      <c r="FVA179" s="201"/>
      <c r="FVB179" s="201"/>
      <c r="FVC179" s="201"/>
      <c r="FVD179" s="201"/>
      <c r="FVE179" s="201"/>
      <c r="FVF179" s="201"/>
      <c r="FVG179" s="201"/>
      <c r="FVH179" s="201"/>
      <c r="FVI179" s="201"/>
      <c r="FVJ179" s="201"/>
      <c r="FVK179" s="201"/>
      <c r="FVL179" s="201"/>
      <c r="FVM179" s="201"/>
      <c r="FVN179" s="201"/>
      <c r="FVO179" s="201"/>
      <c r="FVP179" s="201"/>
      <c r="FVQ179" s="201"/>
      <c r="FVR179" s="201"/>
      <c r="FVS179" s="201"/>
      <c r="FVT179" s="201"/>
      <c r="FVU179" s="201"/>
      <c r="FVV179" s="201"/>
      <c r="FVW179" s="201"/>
      <c r="FVX179" s="201"/>
      <c r="FVY179" s="201"/>
      <c r="FVZ179" s="201"/>
      <c r="FWA179" s="201"/>
      <c r="FWB179" s="201"/>
      <c r="FWC179" s="201"/>
      <c r="FWD179" s="201"/>
      <c r="FWE179" s="201"/>
      <c r="FWF179" s="201"/>
      <c r="FWG179" s="201"/>
      <c r="FWH179" s="201"/>
      <c r="FWI179" s="201"/>
      <c r="FWJ179" s="201"/>
      <c r="FWK179" s="201"/>
      <c r="FWL179" s="201"/>
      <c r="FWM179" s="201"/>
      <c r="FWN179" s="201"/>
      <c r="FWO179" s="201"/>
      <c r="FWP179" s="201"/>
      <c r="FWQ179" s="201"/>
      <c r="FWR179" s="201"/>
      <c r="FWS179" s="201"/>
      <c r="FWT179" s="201"/>
      <c r="FWU179" s="201"/>
      <c r="FWV179" s="201"/>
      <c r="FWW179" s="201"/>
      <c r="FWX179" s="201"/>
      <c r="FWY179" s="201"/>
      <c r="FWZ179" s="201"/>
      <c r="FXA179" s="201"/>
      <c r="FXB179" s="201"/>
      <c r="FXC179" s="201"/>
      <c r="FXD179" s="201"/>
      <c r="FXE179" s="201"/>
      <c r="FXF179" s="201"/>
      <c r="FXG179" s="201"/>
      <c r="FXH179" s="201"/>
      <c r="FXI179" s="201"/>
      <c r="FXJ179" s="201"/>
      <c r="FXK179" s="201"/>
      <c r="FXL179" s="201"/>
      <c r="FXM179" s="201"/>
      <c r="FXN179" s="201"/>
      <c r="FXO179" s="201"/>
      <c r="FXP179" s="201"/>
      <c r="FXQ179" s="201"/>
      <c r="FXR179" s="201"/>
      <c r="FXS179" s="201"/>
      <c r="FXT179" s="201"/>
      <c r="FXU179" s="201"/>
      <c r="FXV179" s="201"/>
      <c r="FXW179" s="201"/>
      <c r="FXX179" s="201"/>
      <c r="FXY179" s="201"/>
      <c r="FXZ179" s="201"/>
      <c r="FYA179" s="201"/>
      <c r="FYB179" s="201"/>
      <c r="FYC179" s="201"/>
      <c r="FYD179" s="201"/>
      <c r="FYE179" s="201"/>
      <c r="FYF179" s="201"/>
      <c r="FYG179" s="201"/>
      <c r="FYH179" s="201"/>
      <c r="FYI179" s="201"/>
      <c r="FYJ179" s="201"/>
      <c r="FYK179" s="201"/>
      <c r="FYL179" s="201"/>
      <c r="FYM179" s="201"/>
      <c r="FYN179" s="201"/>
      <c r="FYO179" s="201"/>
      <c r="FYP179" s="201"/>
      <c r="FYQ179" s="201"/>
      <c r="FYR179" s="201"/>
      <c r="FYS179" s="201"/>
      <c r="FYT179" s="201"/>
      <c r="FYU179" s="201"/>
      <c r="FYV179" s="201"/>
      <c r="FYW179" s="201"/>
      <c r="FYX179" s="201"/>
      <c r="FYY179" s="201"/>
      <c r="FYZ179" s="201"/>
      <c r="FZA179" s="201"/>
      <c r="FZB179" s="201"/>
      <c r="FZC179" s="201"/>
      <c r="FZD179" s="201"/>
      <c r="FZE179" s="201"/>
      <c r="FZF179" s="201"/>
      <c r="FZG179" s="201"/>
      <c r="FZH179" s="201"/>
      <c r="FZI179" s="201"/>
      <c r="FZJ179" s="201"/>
      <c r="FZK179" s="201"/>
      <c r="FZL179" s="201"/>
      <c r="FZM179" s="201"/>
      <c r="FZN179" s="201"/>
      <c r="FZO179" s="201"/>
      <c r="FZP179" s="201"/>
      <c r="FZQ179" s="201"/>
      <c r="FZR179" s="201"/>
      <c r="FZS179" s="201"/>
      <c r="FZT179" s="201"/>
      <c r="FZU179" s="201"/>
      <c r="FZV179" s="201"/>
      <c r="FZW179" s="201"/>
      <c r="FZX179" s="201"/>
      <c r="FZY179" s="201"/>
      <c r="FZZ179" s="201"/>
      <c r="GAA179" s="201"/>
      <c r="GAB179" s="201"/>
      <c r="GAC179" s="201"/>
      <c r="GAD179" s="201"/>
      <c r="GAE179" s="201"/>
      <c r="GAF179" s="201"/>
      <c r="GAG179" s="201"/>
      <c r="GAH179" s="201"/>
      <c r="GAI179" s="201"/>
      <c r="GAJ179" s="201"/>
      <c r="GAK179" s="201"/>
      <c r="GAL179" s="201"/>
      <c r="GAM179" s="201"/>
      <c r="GAN179" s="201"/>
      <c r="GAO179" s="201"/>
      <c r="GAP179" s="201"/>
      <c r="GAQ179" s="201"/>
      <c r="GAR179" s="201"/>
      <c r="GAS179" s="201"/>
      <c r="GAT179" s="201"/>
      <c r="GAU179" s="201"/>
      <c r="GAV179" s="201"/>
      <c r="GAW179" s="201"/>
      <c r="GAX179" s="201"/>
      <c r="GAY179" s="201"/>
      <c r="GAZ179" s="201"/>
      <c r="GBA179" s="201"/>
      <c r="GBB179" s="201"/>
      <c r="GBC179" s="201"/>
      <c r="GBD179" s="201"/>
      <c r="GBE179" s="201"/>
      <c r="GBF179" s="201"/>
      <c r="GBG179" s="201"/>
      <c r="GBH179" s="201"/>
      <c r="GBI179" s="201"/>
      <c r="GBJ179" s="201"/>
      <c r="GBK179" s="201"/>
      <c r="GBL179" s="201"/>
      <c r="GBM179" s="201"/>
      <c r="GBN179" s="201"/>
      <c r="GBO179" s="201"/>
      <c r="GBP179" s="201"/>
      <c r="GBQ179" s="201"/>
      <c r="GBR179" s="201"/>
      <c r="GBS179" s="201"/>
      <c r="GBT179" s="201"/>
      <c r="GBU179" s="201"/>
      <c r="GBV179" s="201"/>
      <c r="GBW179" s="201"/>
      <c r="GBX179" s="201"/>
      <c r="GBY179" s="201"/>
      <c r="GBZ179" s="201"/>
      <c r="GCA179" s="201"/>
      <c r="GCB179" s="201"/>
      <c r="GCC179" s="201"/>
      <c r="GCD179" s="201"/>
      <c r="GCE179" s="201"/>
      <c r="GCF179" s="201"/>
      <c r="GCG179" s="201"/>
      <c r="GCH179" s="201"/>
      <c r="GCI179" s="201"/>
      <c r="GCJ179" s="201"/>
      <c r="GCK179" s="201"/>
      <c r="GCL179" s="201"/>
      <c r="GCM179" s="201"/>
      <c r="GCN179" s="201"/>
      <c r="GCO179" s="201"/>
      <c r="GCP179" s="201"/>
      <c r="GCQ179" s="201"/>
      <c r="GCR179" s="201"/>
      <c r="GCS179" s="201"/>
      <c r="GCT179" s="201"/>
      <c r="GCU179" s="201"/>
      <c r="GCV179" s="201"/>
      <c r="GCW179" s="201"/>
      <c r="GCX179" s="201"/>
      <c r="GCY179" s="201"/>
      <c r="GCZ179" s="201"/>
      <c r="GDA179" s="201"/>
      <c r="GDB179" s="201"/>
      <c r="GDC179" s="201"/>
      <c r="GDD179" s="201"/>
      <c r="GDE179" s="201"/>
      <c r="GDF179" s="201"/>
      <c r="GDG179" s="201"/>
      <c r="GDH179" s="201"/>
      <c r="GDI179" s="201"/>
      <c r="GDJ179" s="201"/>
      <c r="GDK179" s="201"/>
      <c r="GDL179" s="201"/>
      <c r="GDM179" s="201"/>
      <c r="GDN179" s="201"/>
      <c r="GDO179" s="201"/>
      <c r="GDP179" s="201"/>
      <c r="GDQ179" s="201"/>
      <c r="GDR179" s="201"/>
      <c r="GDS179" s="201"/>
      <c r="GDT179" s="201"/>
      <c r="GDU179" s="201"/>
      <c r="GDV179" s="201"/>
      <c r="GDW179" s="201"/>
      <c r="GDX179" s="201"/>
      <c r="GDY179" s="201"/>
      <c r="GDZ179" s="201"/>
      <c r="GEA179" s="201"/>
      <c r="GEB179" s="201"/>
      <c r="GEC179" s="201"/>
      <c r="GED179" s="201"/>
      <c r="GEE179" s="201"/>
      <c r="GEF179" s="201"/>
      <c r="GEG179" s="201"/>
      <c r="GEH179" s="201"/>
      <c r="GEI179" s="201"/>
      <c r="GEJ179" s="201"/>
      <c r="GEK179" s="201"/>
      <c r="GEL179" s="201"/>
      <c r="GEM179" s="201"/>
      <c r="GEN179" s="201"/>
      <c r="GEO179" s="201"/>
      <c r="GEP179" s="201"/>
      <c r="GEQ179" s="201"/>
      <c r="GER179" s="201"/>
      <c r="GES179" s="201"/>
      <c r="GET179" s="201"/>
      <c r="GEU179" s="201"/>
      <c r="GEV179" s="201"/>
      <c r="GEW179" s="201"/>
      <c r="GEX179" s="201"/>
      <c r="GEY179" s="201"/>
      <c r="GEZ179" s="201"/>
      <c r="GFA179" s="201"/>
      <c r="GFB179" s="201"/>
      <c r="GFC179" s="201"/>
      <c r="GFD179" s="201"/>
      <c r="GFE179" s="201"/>
      <c r="GFF179" s="201"/>
      <c r="GFG179" s="201"/>
      <c r="GFH179" s="201"/>
      <c r="GFI179" s="201"/>
      <c r="GFJ179" s="201"/>
      <c r="GFK179" s="201"/>
      <c r="GFL179" s="201"/>
      <c r="GFM179" s="201"/>
      <c r="GFN179" s="201"/>
      <c r="GFO179" s="201"/>
      <c r="GFP179" s="201"/>
      <c r="GFQ179" s="201"/>
      <c r="GFR179" s="201"/>
      <c r="GFS179" s="201"/>
      <c r="GFT179" s="201"/>
      <c r="GFU179" s="201"/>
      <c r="GFV179" s="201"/>
      <c r="GFW179" s="201"/>
      <c r="GFX179" s="201"/>
      <c r="GFY179" s="201"/>
      <c r="GFZ179" s="201"/>
      <c r="GGA179" s="201"/>
      <c r="GGB179" s="201"/>
      <c r="GGC179" s="201"/>
      <c r="GGD179" s="201"/>
      <c r="GGE179" s="201"/>
      <c r="GGF179" s="201"/>
      <c r="GGG179" s="201"/>
      <c r="GGH179" s="201"/>
      <c r="GGI179" s="201"/>
      <c r="GGJ179" s="201"/>
      <c r="GGK179" s="201"/>
      <c r="GGL179" s="201"/>
      <c r="GGM179" s="201"/>
      <c r="GGN179" s="201"/>
      <c r="GGO179" s="201"/>
      <c r="GGP179" s="201"/>
      <c r="GGQ179" s="201"/>
      <c r="GGR179" s="201"/>
      <c r="GGS179" s="201"/>
      <c r="GGT179" s="201"/>
      <c r="GGU179" s="201"/>
      <c r="GGV179" s="201"/>
      <c r="GGW179" s="201"/>
      <c r="GGX179" s="201"/>
      <c r="GGY179" s="201"/>
      <c r="GGZ179" s="201"/>
      <c r="GHA179" s="201"/>
      <c r="GHB179" s="201"/>
      <c r="GHC179" s="201"/>
      <c r="GHD179" s="201"/>
      <c r="GHE179" s="201"/>
      <c r="GHF179" s="201"/>
      <c r="GHG179" s="201"/>
      <c r="GHH179" s="201"/>
      <c r="GHI179" s="201"/>
      <c r="GHJ179" s="201"/>
      <c r="GHK179" s="201"/>
      <c r="GHL179" s="201"/>
      <c r="GHM179" s="201"/>
      <c r="GHN179" s="201"/>
      <c r="GHO179" s="201"/>
      <c r="GHP179" s="201"/>
      <c r="GHQ179" s="201"/>
      <c r="GHR179" s="201"/>
      <c r="GHS179" s="201"/>
      <c r="GHT179" s="201"/>
      <c r="GHU179" s="201"/>
      <c r="GHV179" s="201"/>
      <c r="GHW179" s="201"/>
      <c r="GHX179" s="201"/>
      <c r="GHY179" s="201"/>
      <c r="GHZ179" s="201"/>
      <c r="GIA179" s="201"/>
      <c r="GIB179" s="201"/>
      <c r="GIC179" s="201"/>
      <c r="GID179" s="201"/>
      <c r="GIE179" s="201"/>
      <c r="GIF179" s="201"/>
      <c r="GIG179" s="201"/>
      <c r="GIH179" s="201"/>
      <c r="GII179" s="201"/>
      <c r="GIJ179" s="201"/>
      <c r="GIK179" s="201"/>
      <c r="GIL179" s="201"/>
      <c r="GIM179" s="201"/>
      <c r="GIN179" s="201"/>
      <c r="GIO179" s="201"/>
      <c r="GIP179" s="201"/>
      <c r="GIQ179" s="201"/>
      <c r="GIR179" s="201"/>
      <c r="GIS179" s="201"/>
      <c r="GIT179" s="201"/>
      <c r="GIU179" s="201"/>
      <c r="GIV179" s="201"/>
      <c r="GIW179" s="201"/>
      <c r="GIX179" s="201"/>
      <c r="GIY179" s="201"/>
      <c r="GIZ179" s="201"/>
      <c r="GJA179" s="201"/>
      <c r="GJB179" s="201"/>
      <c r="GJC179" s="201"/>
      <c r="GJD179" s="201"/>
      <c r="GJE179" s="201"/>
      <c r="GJF179" s="201"/>
      <c r="GJG179" s="201"/>
      <c r="GJH179" s="201"/>
      <c r="GJI179" s="201"/>
      <c r="GJJ179" s="201"/>
      <c r="GJK179" s="201"/>
      <c r="GJL179" s="201"/>
      <c r="GJM179" s="201"/>
      <c r="GJN179" s="201"/>
      <c r="GJO179" s="201"/>
      <c r="GJP179" s="201"/>
      <c r="GJQ179" s="201"/>
      <c r="GJR179" s="201"/>
      <c r="GJS179" s="201"/>
      <c r="GJT179" s="201"/>
      <c r="GJU179" s="201"/>
      <c r="GJV179" s="201"/>
      <c r="GJW179" s="201"/>
      <c r="GJX179" s="201"/>
      <c r="GJY179" s="201"/>
      <c r="GJZ179" s="201"/>
      <c r="GKA179" s="201"/>
      <c r="GKB179" s="201"/>
      <c r="GKC179" s="201"/>
      <c r="GKD179" s="201"/>
      <c r="GKE179" s="201"/>
      <c r="GKF179" s="201"/>
      <c r="GKG179" s="201"/>
      <c r="GKH179" s="201"/>
      <c r="GKI179" s="201"/>
      <c r="GKJ179" s="201"/>
      <c r="GKK179" s="201"/>
      <c r="GKL179" s="201"/>
      <c r="GKM179" s="201"/>
      <c r="GKN179" s="201"/>
      <c r="GKO179" s="201"/>
      <c r="GKP179" s="201"/>
      <c r="GKQ179" s="201"/>
      <c r="GKR179" s="201"/>
      <c r="GKS179" s="201"/>
      <c r="GKT179" s="201"/>
      <c r="GKU179" s="201"/>
      <c r="GKV179" s="201"/>
      <c r="GKW179" s="201"/>
      <c r="GKX179" s="201"/>
      <c r="GKY179" s="201"/>
      <c r="GKZ179" s="201"/>
      <c r="GLA179" s="201"/>
      <c r="GLB179" s="201"/>
      <c r="GLC179" s="201"/>
      <c r="GLD179" s="201"/>
      <c r="GLE179" s="201"/>
      <c r="GLF179" s="201"/>
      <c r="GLG179" s="201"/>
      <c r="GLH179" s="201"/>
      <c r="GLI179" s="201"/>
      <c r="GLJ179" s="201"/>
      <c r="GLK179" s="201"/>
      <c r="GLL179" s="201"/>
      <c r="GLM179" s="201"/>
      <c r="GLN179" s="201"/>
      <c r="GLO179" s="201"/>
      <c r="GLP179" s="201"/>
      <c r="GLQ179" s="201"/>
      <c r="GLR179" s="201"/>
      <c r="GLS179" s="201"/>
      <c r="GLT179" s="201"/>
      <c r="GLU179" s="201"/>
      <c r="GLV179" s="201"/>
      <c r="GLW179" s="201"/>
      <c r="GLX179" s="201"/>
      <c r="GLY179" s="201"/>
      <c r="GLZ179" s="201"/>
      <c r="GMA179" s="201"/>
      <c r="GMB179" s="201"/>
      <c r="GMC179" s="201"/>
      <c r="GMD179" s="201"/>
      <c r="GME179" s="201"/>
      <c r="GMF179" s="201"/>
      <c r="GMG179" s="201"/>
      <c r="GMH179" s="201"/>
      <c r="GMI179" s="201"/>
      <c r="GMJ179" s="201"/>
      <c r="GMK179" s="201"/>
      <c r="GML179" s="201"/>
      <c r="GMM179" s="201"/>
      <c r="GMN179" s="201"/>
      <c r="GMO179" s="201"/>
      <c r="GMP179" s="201"/>
      <c r="GMQ179" s="201"/>
      <c r="GMR179" s="201"/>
      <c r="GMS179" s="201"/>
      <c r="GMT179" s="201"/>
      <c r="GMU179" s="201"/>
      <c r="GMV179" s="201"/>
      <c r="GMW179" s="201"/>
      <c r="GMX179" s="201"/>
      <c r="GMY179" s="201"/>
      <c r="GMZ179" s="201"/>
      <c r="GNA179" s="201"/>
      <c r="GNB179" s="201"/>
      <c r="GNC179" s="201"/>
      <c r="GND179" s="201"/>
      <c r="GNE179" s="201"/>
      <c r="GNF179" s="201"/>
      <c r="GNG179" s="201"/>
      <c r="GNH179" s="201"/>
      <c r="GNI179" s="201"/>
      <c r="GNJ179" s="201"/>
      <c r="GNK179" s="201"/>
      <c r="GNL179" s="201"/>
      <c r="GNM179" s="201"/>
      <c r="GNN179" s="201"/>
      <c r="GNO179" s="201"/>
      <c r="GNP179" s="201"/>
      <c r="GNQ179" s="201"/>
      <c r="GNR179" s="201"/>
      <c r="GNS179" s="201"/>
      <c r="GNT179" s="201"/>
      <c r="GNU179" s="201"/>
      <c r="GNV179" s="201"/>
      <c r="GNW179" s="201"/>
      <c r="GNX179" s="201"/>
      <c r="GNY179" s="201"/>
      <c r="GNZ179" s="201"/>
      <c r="GOA179" s="201"/>
      <c r="GOB179" s="201"/>
      <c r="GOC179" s="201"/>
      <c r="GOD179" s="201"/>
      <c r="GOE179" s="201"/>
      <c r="GOF179" s="201"/>
      <c r="GOG179" s="201"/>
      <c r="GOH179" s="201"/>
      <c r="GOI179" s="201"/>
      <c r="GOJ179" s="201"/>
      <c r="GOK179" s="201"/>
      <c r="GOL179" s="201"/>
      <c r="GOM179" s="201"/>
      <c r="GON179" s="201"/>
      <c r="GOO179" s="201"/>
      <c r="GOP179" s="201"/>
      <c r="GOQ179" s="201"/>
      <c r="GOR179" s="201"/>
      <c r="GOS179" s="201"/>
      <c r="GOT179" s="201"/>
      <c r="GOU179" s="201"/>
      <c r="GOV179" s="201"/>
      <c r="GOW179" s="201"/>
      <c r="GOX179" s="201"/>
      <c r="GOY179" s="201"/>
      <c r="GOZ179" s="201"/>
      <c r="GPA179" s="201"/>
      <c r="GPB179" s="201"/>
      <c r="GPC179" s="201"/>
      <c r="GPD179" s="201"/>
      <c r="GPE179" s="201"/>
      <c r="GPF179" s="201"/>
      <c r="GPG179" s="201"/>
      <c r="GPH179" s="201"/>
      <c r="GPI179" s="201"/>
      <c r="GPJ179" s="201"/>
      <c r="GPK179" s="201"/>
      <c r="GPL179" s="201"/>
      <c r="GPM179" s="201"/>
      <c r="GPN179" s="201"/>
      <c r="GPO179" s="201"/>
      <c r="GPP179" s="201"/>
      <c r="GPQ179" s="201"/>
      <c r="GPR179" s="201"/>
      <c r="GPS179" s="201"/>
      <c r="GPT179" s="201"/>
      <c r="GPU179" s="201"/>
      <c r="GPV179" s="201"/>
      <c r="GPW179" s="201"/>
      <c r="GPX179" s="201"/>
      <c r="GPY179" s="201"/>
      <c r="GPZ179" s="201"/>
      <c r="GQA179" s="201"/>
      <c r="GQB179" s="201"/>
      <c r="GQC179" s="201"/>
      <c r="GQD179" s="201"/>
      <c r="GQE179" s="201"/>
      <c r="GQF179" s="201"/>
      <c r="GQG179" s="201"/>
      <c r="GQH179" s="201"/>
      <c r="GQI179" s="201"/>
      <c r="GQJ179" s="201"/>
      <c r="GQK179" s="201"/>
      <c r="GQL179" s="201"/>
      <c r="GQM179" s="201"/>
      <c r="GQN179" s="201"/>
      <c r="GQO179" s="201"/>
      <c r="GQP179" s="201"/>
      <c r="GQQ179" s="201"/>
      <c r="GQR179" s="201"/>
      <c r="GQS179" s="201"/>
      <c r="GQT179" s="201"/>
      <c r="GQU179" s="201"/>
      <c r="GQV179" s="201"/>
      <c r="GQW179" s="201"/>
      <c r="GQX179" s="201"/>
      <c r="GQY179" s="201"/>
      <c r="GQZ179" s="201"/>
      <c r="GRA179" s="201"/>
      <c r="GRB179" s="201"/>
      <c r="GRC179" s="201"/>
      <c r="GRD179" s="201"/>
      <c r="GRE179" s="201"/>
      <c r="GRF179" s="201"/>
      <c r="GRG179" s="201"/>
      <c r="GRH179" s="201"/>
      <c r="GRI179" s="201"/>
      <c r="GRJ179" s="201"/>
      <c r="GRK179" s="201"/>
      <c r="GRL179" s="201"/>
      <c r="GRM179" s="201"/>
      <c r="GRN179" s="201"/>
      <c r="GRO179" s="201"/>
      <c r="GRP179" s="201"/>
      <c r="GRQ179" s="201"/>
      <c r="GRR179" s="201"/>
      <c r="GRS179" s="201"/>
      <c r="GRT179" s="201"/>
      <c r="GRU179" s="201"/>
      <c r="GRV179" s="201"/>
      <c r="GRW179" s="201"/>
      <c r="GRX179" s="201"/>
      <c r="GRY179" s="201"/>
      <c r="GRZ179" s="201"/>
      <c r="GSA179" s="201"/>
      <c r="GSB179" s="201"/>
      <c r="GSC179" s="201"/>
      <c r="GSD179" s="201"/>
      <c r="GSE179" s="201"/>
      <c r="GSF179" s="201"/>
      <c r="GSG179" s="201"/>
      <c r="GSH179" s="201"/>
      <c r="GSI179" s="201"/>
      <c r="GSJ179" s="201"/>
      <c r="GSK179" s="201"/>
      <c r="GSL179" s="201"/>
      <c r="GSM179" s="201"/>
      <c r="GSN179" s="201"/>
      <c r="GSO179" s="201"/>
      <c r="GSP179" s="201"/>
      <c r="GSQ179" s="201"/>
      <c r="GSR179" s="201"/>
      <c r="GSS179" s="201"/>
      <c r="GST179" s="201"/>
      <c r="GSU179" s="201"/>
      <c r="GSV179" s="201"/>
      <c r="GSW179" s="201"/>
      <c r="GSX179" s="201"/>
      <c r="GSY179" s="201"/>
      <c r="GSZ179" s="201"/>
      <c r="GTA179" s="201"/>
      <c r="GTB179" s="201"/>
      <c r="GTC179" s="201"/>
      <c r="GTD179" s="201"/>
      <c r="GTE179" s="201"/>
      <c r="GTF179" s="201"/>
      <c r="GTG179" s="201"/>
      <c r="GTH179" s="201"/>
      <c r="GTI179" s="201"/>
      <c r="GTJ179" s="201"/>
      <c r="GTK179" s="201"/>
      <c r="GTL179" s="201"/>
      <c r="GTM179" s="201"/>
      <c r="GTN179" s="201"/>
      <c r="GTO179" s="201"/>
      <c r="GTP179" s="201"/>
      <c r="GTQ179" s="201"/>
      <c r="GTR179" s="201"/>
      <c r="GTS179" s="201"/>
      <c r="GTT179" s="201"/>
      <c r="GTU179" s="201"/>
      <c r="GTV179" s="201"/>
      <c r="GTW179" s="201"/>
      <c r="GTX179" s="201"/>
      <c r="GTY179" s="201"/>
      <c r="GTZ179" s="201"/>
      <c r="GUA179" s="201"/>
      <c r="GUB179" s="201"/>
      <c r="GUC179" s="201"/>
      <c r="GUD179" s="201"/>
      <c r="GUE179" s="201"/>
      <c r="GUF179" s="201"/>
      <c r="GUG179" s="201"/>
      <c r="GUH179" s="201"/>
      <c r="GUI179" s="201"/>
      <c r="GUJ179" s="201"/>
      <c r="GUK179" s="201"/>
      <c r="GUL179" s="201"/>
      <c r="GUM179" s="201"/>
      <c r="GUN179" s="201"/>
      <c r="GUO179" s="201"/>
      <c r="GUP179" s="201"/>
      <c r="GUQ179" s="201"/>
      <c r="GUR179" s="201"/>
      <c r="GUS179" s="201"/>
      <c r="GUT179" s="201"/>
      <c r="GUU179" s="201"/>
      <c r="GUV179" s="201"/>
      <c r="GUW179" s="201"/>
      <c r="GUX179" s="201"/>
      <c r="GUY179" s="201"/>
      <c r="GUZ179" s="201"/>
      <c r="GVA179" s="201"/>
      <c r="GVB179" s="201"/>
      <c r="GVC179" s="201"/>
      <c r="GVD179" s="201"/>
      <c r="GVE179" s="201"/>
      <c r="GVF179" s="201"/>
      <c r="GVG179" s="201"/>
      <c r="GVH179" s="201"/>
      <c r="GVI179" s="201"/>
      <c r="GVJ179" s="201"/>
      <c r="GVK179" s="201"/>
      <c r="GVL179" s="201"/>
      <c r="GVM179" s="201"/>
      <c r="GVN179" s="201"/>
      <c r="GVO179" s="201"/>
      <c r="GVP179" s="201"/>
      <c r="GVQ179" s="201"/>
      <c r="GVR179" s="201"/>
      <c r="GVS179" s="201"/>
      <c r="GVT179" s="201"/>
      <c r="GVU179" s="201"/>
      <c r="GVV179" s="201"/>
      <c r="GVW179" s="201"/>
      <c r="GVX179" s="201"/>
      <c r="GVY179" s="201"/>
      <c r="GVZ179" s="201"/>
      <c r="GWA179" s="201"/>
      <c r="GWB179" s="201"/>
      <c r="GWC179" s="201"/>
      <c r="GWD179" s="201"/>
      <c r="GWE179" s="201"/>
      <c r="GWF179" s="201"/>
      <c r="GWG179" s="201"/>
      <c r="GWH179" s="201"/>
      <c r="GWI179" s="201"/>
      <c r="GWJ179" s="201"/>
      <c r="GWK179" s="201"/>
      <c r="GWL179" s="201"/>
      <c r="GWM179" s="201"/>
      <c r="GWN179" s="201"/>
      <c r="GWO179" s="201"/>
      <c r="GWP179" s="201"/>
      <c r="GWQ179" s="201"/>
      <c r="GWR179" s="201"/>
      <c r="GWS179" s="201"/>
      <c r="GWT179" s="201"/>
      <c r="GWU179" s="201"/>
      <c r="GWV179" s="201"/>
      <c r="GWW179" s="201"/>
      <c r="GWX179" s="201"/>
      <c r="GWY179" s="201"/>
      <c r="GWZ179" s="201"/>
      <c r="GXA179" s="201"/>
      <c r="GXB179" s="201"/>
      <c r="GXC179" s="201"/>
      <c r="GXD179" s="201"/>
      <c r="GXE179" s="201"/>
      <c r="GXF179" s="201"/>
      <c r="GXG179" s="201"/>
      <c r="GXH179" s="201"/>
      <c r="GXI179" s="201"/>
      <c r="GXJ179" s="201"/>
      <c r="GXK179" s="201"/>
      <c r="GXL179" s="201"/>
      <c r="GXM179" s="201"/>
      <c r="GXN179" s="201"/>
      <c r="GXO179" s="201"/>
      <c r="GXP179" s="201"/>
      <c r="GXQ179" s="201"/>
      <c r="GXR179" s="201"/>
      <c r="GXS179" s="201"/>
      <c r="GXT179" s="201"/>
      <c r="GXU179" s="201"/>
      <c r="GXV179" s="201"/>
      <c r="GXW179" s="201"/>
      <c r="GXX179" s="201"/>
      <c r="GXY179" s="201"/>
      <c r="GXZ179" s="201"/>
      <c r="GYA179" s="201"/>
      <c r="GYB179" s="201"/>
      <c r="GYC179" s="201"/>
      <c r="GYD179" s="201"/>
      <c r="GYE179" s="201"/>
      <c r="GYF179" s="201"/>
      <c r="GYG179" s="201"/>
      <c r="GYH179" s="201"/>
      <c r="GYI179" s="201"/>
      <c r="GYJ179" s="201"/>
      <c r="GYK179" s="201"/>
      <c r="GYL179" s="201"/>
      <c r="GYM179" s="201"/>
      <c r="GYN179" s="201"/>
      <c r="GYO179" s="201"/>
      <c r="GYP179" s="201"/>
      <c r="GYQ179" s="201"/>
      <c r="GYR179" s="201"/>
      <c r="GYS179" s="201"/>
      <c r="GYT179" s="201"/>
      <c r="GYU179" s="201"/>
      <c r="GYV179" s="201"/>
      <c r="GYW179" s="201"/>
      <c r="GYX179" s="201"/>
      <c r="GYY179" s="201"/>
      <c r="GYZ179" s="201"/>
      <c r="GZA179" s="201"/>
      <c r="GZB179" s="201"/>
      <c r="GZC179" s="201"/>
      <c r="GZD179" s="201"/>
      <c r="GZE179" s="201"/>
      <c r="GZF179" s="201"/>
      <c r="GZG179" s="201"/>
      <c r="GZH179" s="201"/>
      <c r="GZI179" s="201"/>
      <c r="GZJ179" s="201"/>
      <c r="GZK179" s="201"/>
      <c r="GZL179" s="201"/>
      <c r="GZM179" s="201"/>
      <c r="GZN179" s="201"/>
      <c r="GZO179" s="201"/>
      <c r="GZP179" s="201"/>
      <c r="GZQ179" s="201"/>
      <c r="GZR179" s="201"/>
      <c r="GZS179" s="201"/>
      <c r="GZT179" s="201"/>
      <c r="GZU179" s="201"/>
      <c r="GZV179" s="201"/>
      <c r="GZW179" s="201"/>
      <c r="GZX179" s="201"/>
      <c r="GZY179" s="201"/>
      <c r="GZZ179" s="201"/>
      <c r="HAA179" s="201"/>
      <c r="HAB179" s="201"/>
      <c r="HAC179" s="201"/>
      <c r="HAD179" s="201"/>
      <c r="HAE179" s="201"/>
      <c r="HAF179" s="201"/>
      <c r="HAG179" s="201"/>
      <c r="HAH179" s="201"/>
      <c r="HAI179" s="201"/>
      <c r="HAJ179" s="201"/>
      <c r="HAK179" s="201"/>
      <c r="HAL179" s="201"/>
      <c r="HAM179" s="201"/>
      <c r="HAN179" s="201"/>
      <c r="HAO179" s="201"/>
      <c r="HAP179" s="201"/>
      <c r="HAQ179" s="201"/>
      <c r="HAR179" s="201"/>
      <c r="HAS179" s="201"/>
      <c r="HAT179" s="201"/>
      <c r="HAU179" s="201"/>
      <c r="HAV179" s="201"/>
      <c r="HAW179" s="201"/>
      <c r="HAX179" s="201"/>
      <c r="HAY179" s="201"/>
      <c r="HAZ179" s="201"/>
      <c r="HBA179" s="201"/>
      <c r="HBB179" s="201"/>
      <c r="HBC179" s="201"/>
      <c r="HBD179" s="201"/>
      <c r="HBE179" s="201"/>
      <c r="HBF179" s="201"/>
      <c r="HBG179" s="201"/>
      <c r="HBH179" s="201"/>
      <c r="HBI179" s="201"/>
      <c r="HBJ179" s="201"/>
      <c r="HBK179" s="201"/>
      <c r="HBL179" s="201"/>
      <c r="HBM179" s="201"/>
      <c r="HBN179" s="201"/>
      <c r="HBO179" s="201"/>
      <c r="HBP179" s="201"/>
      <c r="HBQ179" s="201"/>
      <c r="HBR179" s="201"/>
      <c r="HBS179" s="201"/>
      <c r="HBT179" s="201"/>
      <c r="HBU179" s="201"/>
      <c r="HBV179" s="201"/>
      <c r="HBW179" s="201"/>
      <c r="HBX179" s="201"/>
      <c r="HBY179" s="201"/>
      <c r="HBZ179" s="201"/>
      <c r="HCA179" s="201"/>
      <c r="HCB179" s="201"/>
      <c r="HCC179" s="201"/>
      <c r="HCD179" s="201"/>
      <c r="HCE179" s="201"/>
      <c r="HCF179" s="201"/>
      <c r="HCG179" s="201"/>
      <c r="HCH179" s="201"/>
      <c r="HCI179" s="201"/>
      <c r="HCJ179" s="201"/>
      <c r="HCK179" s="201"/>
      <c r="HCL179" s="201"/>
      <c r="HCM179" s="201"/>
      <c r="HCN179" s="201"/>
      <c r="HCO179" s="201"/>
      <c r="HCP179" s="201"/>
      <c r="HCQ179" s="201"/>
      <c r="HCR179" s="201"/>
      <c r="HCS179" s="201"/>
      <c r="HCT179" s="201"/>
      <c r="HCU179" s="201"/>
      <c r="HCV179" s="201"/>
      <c r="HCW179" s="201"/>
      <c r="HCX179" s="201"/>
      <c r="HCY179" s="201"/>
      <c r="HCZ179" s="201"/>
      <c r="HDA179" s="201"/>
      <c r="HDB179" s="201"/>
      <c r="HDC179" s="201"/>
      <c r="HDD179" s="201"/>
      <c r="HDE179" s="201"/>
      <c r="HDF179" s="201"/>
      <c r="HDG179" s="201"/>
      <c r="HDH179" s="201"/>
      <c r="HDI179" s="201"/>
      <c r="HDJ179" s="201"/>
      <c r="HDK179" s="201"/>
      <c r="HDL179" s="201"/>
      <c r="HDM179" s="201"/>
      <c r="HDN179" s="201"/>
      <c r="HDO179" s="201"/>
      <c r="HDP179" s="201"/>
      <c r="HDQ179" s="201"/>
      <c r="HDR179" s="201"/>
      <c r="HDS179" s="201"/>
      <c r="HDT179" s="201"/>
      <c r="HDU179" s="201"/>
      <c r="HDV179" s="201"/>
      <c r="HDW179" s="201"/>
      <c r="HDX179" s="201"/>
      <c r="HDY179" s="201"/>
      <c r="HDZ179" s="201"/>
      <c r="HEA179" s="201"/>
      <c r="HEB179" s="201"/>
      <c r="HEC179" s="201"/>
      <c r="HED179" s="201"/>
      <c r="HEE179" s="201"/>
      <c r="HEF179" s="201"/>
      <c r="HEG179" s="201"/>
      <c r="HEH179" s="201"/>
      <c r="HEI179" s="201"/>
      <c r="HEJ179" s="201"/>
      <c r="HEK179" s="201"/>
      <c r="HEL179" s="201"/>
      <c r="HEM179" s="201"/>
      <c r="HEN179" s="201"/>
      <c r="HEO179" s="201"/>
      <c r="HEP179" s="201"/>
      <c r="HEQ179" s="201"/>
      <c r="HER179" s="201"/>
      <c r="HES179" s="201"/>
      <c r="HET179" s="201"/>
      <c r="HEU179" s="201"/>
      <c r="HEV179" s="201"/>
      <c r="HEW179" s="201"/>
      <c r="HEX179" s="201"/>
      <c r="HEY179" s="201"/>
      <c r="HEZ179" s="201"/>
      <c r="HFA179" s="201"/>
      <c r="HFB179" s="201"/>
      <c r="HFC179" s="201"/>
      <c r="HFD179" s="201"/>
      <c r="HFE179" s="201"/>
      <c r="HFF179" s="201"/>
      <c r="HFG179" s="201"/>
      <c r="HFH179" s="201"/>
      <c r="HFI179" s="201"/>
      <c r="HFJ179" s="201"/>
      <c r="HFK179" s="201"/>
      <c r="HFL179" s="201"/>
      <c r="HFM179" s="201"/>
      <c r="HFN179" s="201"/>
      <c r="HFO179" s="201"/>
      <c r="HFP179" s="201"/>
      <c r="HFQ179" s="201"/>
      <c r="HFR179" s="201"/>
      <c r="HFS179" s="201"/>
      <c r="HFT179" s="201"/>
      <c r="HFU179" s="201"/>
      <c r="HFV179" s="201"/>
      <c r="HFW179" s="201"/>
      <c r="HFX179" s="201"/>
      <c r="HFY179" s="201"/>
      <c r="HFZ179" s="201"/>
      <c r="HGA179" s="201"/>
      <c r="HGB179" s="201"/>
      <c r="HGC179" s="201"/>
      <c r="HGD179" s="201"/>
      <c r="HGE179" s="201"/>
      <c r="HGF179" s="201"/>
      <c r="HGG179" s="201"/>
      <c r="HGH179" s="201"/>
      <c r="HGI179" s="201"/>
      <c r="HGJ179" s="201"/>
      <c r="HGK179" s="201"/>
      <c r="HGL179" s="201"/>
      <c r="HGM179" s="201"/>
      <c r="HGN179" s="201"/>
      <c r="HGO179" s="201"/>
      <c r="HGP179" s="201"/>
      <c r="HGQ179" s="201"/>
      <c r="HGR179" s="201"/>
      <c r="HGS179" s="201"/>
      <c r="HGT179" s="201"/>
      <c r="HGU179" s="201"/>
      <c r="HGV179" s="201"/>
      <c r="HGW179" s="201"/>
      <c r="HGX179" s="201"/>
      <c r="HGY179" s="201"/>
      <c r="HGZ179" s="201"/>
      <c r="HHA179" s="201"/>
      <c r="HHB179" s="201"/>
      <c r="HHC179" s="201"/>
      <c r="HHD179" s="201"/>
      <c r="HHE179" s="201"/>
      <c r="HHF179" s="201"/>
      <c r="HHG179" s="201"/>
      <c r="HHH179" s="201"/>
      <c r="HHI179" s="201"/>
      <c r="HHJ179" s="201"/>
      <c r="HHK179" s="201"/>
      <c r="HHL179" s="201"/>
      <c r="HHM179" s="201"/>
      <c r="HHN179" s="201"/>
      <c r="HHO179" s="201"/>
      <c r="HHP179" s="201"/>
      <c r="HHQ179" s="201"/>
      <c r="HHR179" s="201"/>
      <c r="HHS179" s="201"/>
      <c r="HHT179" s="201"/>
      <c r="HHU179" s="201"/>
      <c r="HHV179" s="201"/>
      <c r="HHW179" s="201"/>
      <c r="HHX179" s="201"/>
      <c r="HHY179" s="201"/>
      <c r="HHZ179" s="201"/>
      <c r="HIA179" s="201"/>
      <c r="HIB179" s="201"/>
      <c r="HIC179" s="201"/>
      <c r="HID179" s="201"/>
      <c r="HIE179" s="201"/>
      <c r="HIF179" s="201"/>
      <c r="HIG179" s="201"/>
      <c r="HIH179" s="201"/>
      <c r="HII179" s="201"/>
      <c r="HIJ179" s="201"/>
      <c r="HIK179" s="201"/>
      <c r="HIL179" s="201"/>
      <c r="HIM179" s="201"/>
      <c r="HIN179" s="201"/>
      <c r="HIO179" s="201"/>
      <c r="HIP179" s="201"/>
      <c r="HIQ179" s="201"/>
      <c r="HIR179" s="201"/>
      <c r="HIS179" s="201"/>
      <c r="HIT179" s="201"/>
      <c r="HIU179" s="201"/>
      <c r="HIV179" s="201"/>
      <c r="HIW179" s="201"/>
      <c r="HIX179" s="201"/>
      <c r="HIY179" s="201"/>
      <c r="HIZ179" s="201"/>
      <c r="HJA179" s="201"/>
      <c r="HJB179" s="201"/>
      <c r="HJC179" s="201"/>
      <c r="HJD179" s="201"/>
      <c r="HJE179" s="201"/>
      <c r="HJF179" s="201"/>
      <c r="HJG179" s="201"/>
      <c r="HJH179" s="201"/>
      <c r="HJI179" s="201"/>
      <c r="HJJ179" s="201"/>
      <c r="HJK179" s="201"/>
      <c r="HJL179" s="201"/>
      <c r="HJM179" s="201"/>
      <c r="HJN179" s="201"/>
      <c r="HJO179" s="201"/>
      <c r="HJP179" s="201"/>
      <c r="HJQ179" s="201"/>
      <c r="HJR179" s="201"/>
      <c r="HJS179" s="201"/>
      <c r="HJT179" s="201"/>
      <c r="HJU179" s="201"/>
      <c r="HJV179" s="201"/>
      <c r="HJW179" s="201"/>
      <c r="HJX179" s="201"/>
      <c r="HJY179" s="201"/>
      <c r="HJZ179" s="201"/>
      <c r="HKA179" s="201"/>
      <c r="HKB179" s="201"/>
      <c r="HKC179" s="201"/>
      <c r="HKD179" s="201"/>
      <c r="HKE179" s="201"/>
      <c r="HKF179" s="201"/>
      <c r="HKG179" s="201"/>
      <c r="HKH179" s="201"/>
      <c r="HKI179" s="201"/>
      <c r="HKJ179" s="201"/>
      <c r="HKK179" s="201"/>
      <c r="HKL179" s="201"/>
      <c r="HKM179" s="201"/>
      <c r="HKN179" s="201"/>
      <c r="HKO179" s="201"/>
      <c r="HKP179" s="201"/>
      <c r="HKQ179" s="201"/>
      <c r="HKR179" s="201"/>
      <c r="HKS179" s="201"/>
      <c r="HKT179" s="201"/>
      <c r="HKU179" s="201"/>
      <c r="HKV179" s="201"/>
      <c r="HKW179" s="201"/>
      <c r="HKX179" s="201"/>
      <c r="HKY179" s="201"/>
      <c r="HKZ179" s="201"/>
      <c r="HLA179" s="201"/>
      <c r="HLB179" s="201"/>
      <c r="HLC179" s="201"/>
      <c r="HLD179" s="201"/>
      <c r="HLE179" s="201"/>
      <c r="HLF179" s="201"/>
      <c r="HLG179" s="201"/>
      <c r="HLH179" s="201"/>
      <c r="HLI179" s="201"/>
      <c r="HLJ179" s="201"/>
      <c r="HLK179" s="201"/>
      <c r="HLL179" s="201"/>
      <c r="HLM179" s="201"/>
      <c r="HLN179" s="201"/>
      <c r="HLO179" s="201"/>
      <c r="HLP179" s="201"/>
      <c r="HLQ179" s="201"/>
      <c r="HLR179" s="201"/>
      <c r="HLS179" s="201"/>
      <c r="HLT179" s="201"/>
      <c r="HLU179" s="201"/>
      <c r="HLV179" s="201"/>
      <c r="HLW179" s="201"/>
      <c r="HLX179" s="201"/>
      <c r="HLY179" s="201"/>
      <c r="HLZ179" s="201"/>
      <c r="HMA179" s="201"/>
      <c r="HMB179" s="201"/>
      <c r="HMC179" s="201"/>
      <c r="HMD179" s="201"/>
      <c r="HME179" s="201"/>
      <c r="HMF179" s="201"/>
      <c r="HMG179" s="201"/>
      <c r="HMH179" s="201"/>
      <c r="HMI179" s="201"/>
      <c r="HMJ179" s="201"/>
      <c r="HMK179" s="201"/>
      <c r="HML179" s="201"/>
      <c r="HMM179" s="201"/>
      <c r="HMN179" s="201"/>
      <c r="HMO179" s="201"/>
      <c r="HMP179" s="201"/>
      <c r="HMQ179" s="201"/>
      <c r="HMR179" s="201"/>
      <c r="HMS179" s="201"/>
      <c r="HMT179" s="201"/>
      <c r="HMU179" s="201"/>
      <c r="HMV179" s="201"/>
      <c r="HMW179" s="201"/>
      <c r="HMX179" s="201"/>
      <c r="HMY179" s="201"/>
      <c r="HMZ179" s="201"/>
      <c r="HNA179" s="201"/>
      <c r="HNB179" s="201"/>
      <c r="HNC179" s="201"/>
      <c r="HND179" s="201"/>
      <c r="HNE179" s="201"/>
      <c r="HNF179" s="201"/>
      <c r="HNG179" s="201"/>
      <c r="HNH179" s="201"/>
      <c r="HNI179" s="201"/>
      <c r="HNJ179" s="201"/>
      <c r="HNK179" s="201"/>
      <c r="HNL179" s="201"/>
      <c r="HNM179" s="201"/>
      <c r="HNN179" s="201"/>
      <c r="HNO179" s="201"/>
      <c r="HNP179" s="201"/>
      <c r="HNQ179" s="201"/>
      <c r="HNR179" s="201"/>
      <c r="HNS179" s="201"/>
      <c r="HNT179" s="201"/>
      <c r="HNU179" s="201"/>
      <c r="HNV179" s="201"/>
      <c r="HNW179" s="201"/>
      <c r="HNX179" s="201"/>
      <c r="HNY179" s="201"/>
      <c r="HNZ179" s="201"/>
      <c r="HOA179" s="201"/>
      <c r="HOB179" s="201"/>
      <c r="HOC179" s="201"/>
      <c r="HOD179" s="201"/>
      <c r="HOE179" s="201"/>
      <c r="HOF179" s="201"/>
      <c r="HOG179" s="201"/>
      <c r="HOH179" s="201"/>
      <c r="HOI179" s="201"/>
      <c r="HOJ179" s="201"/>
      <c r="HOK179" s="201"/>
      <c r="HOL179" s="201"/>
      <c r="HOM179" s="201"/>
      <c r="HON179" s="201"/>
      <c r="HOO179" s="201"/>
      <c r="HOP179" s="201"/>
      <c r="HOQ179" s="201"/>
      <c r="HOR179" s="201"/>
      <c r="HOS179" s="201"/>
      <c r="HOT179" s="201"/>
      <c r="HOU179" s="201"/>
      <c r="HOV179" s="201"/>
      <c r="HOW179" s="201"/>
      <c r="HOX179" s="201"/>
      <c r="HOY179" s="201"/>
      <c r="HOZ179" s="201"/>
      <c r="HPA179" s="201"/>
      <c r="HPB179" s="201"/>
      <c r="HPC179" s="201"/>
      <c r="HPD179" s="201"/>
      <c r="HPE179" s="201"/>
      <c r="HPF179" s="201"/>
      <c r="HPG179" s="201"/>
      <c r="HPH179" s="201"/>
      <c r="HPI179" s="201"/>
      <c r="HPJ179" s="201"/>
      <c r="HPK179" s="201"/>
      <c r="HPL179" s="201"/>
      <c r="HPM179" s="201"/>
      <c r="HPN179" s="201"/>
      <c r="HPO179" s="201"/>
      <c r="HPP179" s="201"/>
      <c r="HPQ179" s="201"/>
      <c r="HPR179" s="201"/>
      <c r="HPS179" s="201"/>
      <c r="HPT179" s="201"/>
      <c r="HPU179" s="201"/>
      <c r="HPV179" s="201"/>
      <c r="HPW179" s="201"/>
      <c r="HPX179" s="201"/>
      <c r="HPY179" s="201"/>
      <c r="HPZ179" s="201"/>
      <c r="HQA179" s="201"/>
      <c r="HQB179" s="201"/>
      <c r="HQC179" s="201"/>
      <c r="HQD179" s="201"/>
      <c r="HQE179" s="201"/>
      <c r="HQF179" s="201"/>
      <c r="HQG179" s="201"/>
      <c r="HQH179" s="201"/>
      <c r="HQI179" s="201"/>
      <c r="HQJ179" s="201"/>
      <c r="HQK179" s="201"/>
      <c r="HQL179" s="201"/>
      <c r="HQM179" s="201"/>
      <c r="HQN179" s="201"/>
      <c r="HQO179" s="201"/>
      <c r="HQP179" s="201"/>
      <c r="HQQ179" s="201"/>
      <c r="HQR179" s="201"/>
      <c r="HQS179" s="201"/>
      <c r="HQT179" s="201"/>
      <c r="HQU179" s="201"/>
      <c r="HQV179" s="201"/>
      <c r="HQW179" s="201"/>
      <c r="HQX179" s="201"/>
      <c r="HQY179" s="201"/>
      <c r="HQZ179" s="201"/>
      <c r="HRA179" s="201"/>
      <c r="HRB179" s="201"/>
      <c r="HRC179" s="201"/>
      <c r="HRD179" s="201"/>
      <c r="HRE179" s="201"/>
      <c r="HRF179" s="201"/>
      <c r="HRG179" s="201"/>
      <c r="HRH179" s="201"/>
      <c r="HRI179" s="201"/>
      <c r="HRJ179" s="201"/>
      <c r="HRK179" s="201"/>
      <c r="HRL179" s="201"/>
      <c r="HRM179" s="201"/>
      <c r="HRN179" s="201"/>
      <c r="HRO179" s="201"/>
      <c r="HRP179" s="201"/>
      <c r="HRQ179" s="201"/>
      <c r="HRR179" s="201"/>
      <c r="HRS179" s="201"/>
      <c r="HRT179" s="201"/>
      <c r="HRU179" s="201"/>
      <c r="HRV179" s="201"/>
      <c r="HRW179" s="201"/>
      <c r="HRX179" s="201"/>
      <c r="HRY179" s="201"/>
      <c r="HRZ179" s="201"/>
      <c r="HSA179" s="201"/>
      <c r="HSB179" s="201"/>
      <c r="HSC179" s="201"/>
      <c r="HSD179" s="201"/>
      <c r="HSE179" s="201"/>
      <c r="HSF179" s="201"/>
      <c r="HSG179" s="201"/>
      <c r="HSH179" s="201"/>
      <c r="HSI179" s="201"/>
      <c r="HSJ179" s="201"/>
      <c r="HSK179" s="201"/>
      <c r="HSL179" s="201"/>
      <c r="HSM179" s="201"/>
      <c r="HSN179" s="201"/>
      <c r="HSO179" s="201"/>
      <c r="HSP179" s="201"/>
      <c r="HSQ179" s="201"/>
      <c r="HSR179" s="201"/>
      <c r="HSS179" s="201"/>
      <c r="HST179" s="201"/>
      <c r="HSU179" s="201"/>
      <c r="HSV179" s="201"/>
      <c r="HSW179" s="201"/>
      <c r="HSX179" s="201"/>
      <c r="HSY179" s="201"/>
      <c r="HSZ179" s="201"/>
      <c r="HTA179" s="201"/>
      <c r="HTB179" s="201"/>
      <c r="HTC179" s="201"/>
      <c r="HTD179" s="201"/>
      <c r="HTE179" s="201"/>
      <c r="HTF179" s="201"/>
      <c r="HTG179" s="201"/>
      <c r="HTH179" s="201"/>
      <c r="HTI179" s="201"/>
      <c r="HTJ179" s="201"/>
      <c r="HTK179" s="201"/>
      <c r="HTL179" s="201"/>
      <c r="HTM179" s="201"/>
      <c r="HTN179" s="201"/>
      <c r="HTO179" s="201"/>
      <c r="HTP179" s="201"/>
      <c r="HTQ179" s="201"/>
      <c r="HTR179" s="201"/>
      <c r="HTS179" s="201"/>
      <c r="HTT179" s="201"/>
      <c r="HTU179" s="201"/>
      <c r="HTV179" s="201"/>
      <c r="HTW179" s="201"/>
      <c r="HTX179" s="201"/>
      <c r="HTY179" s="201"/>
      <c r="HTZ179" s="201"/>
      <c r="HUA179" s="201"/>
      <c r="HUB179" s="201"/>
      <c r="HUC179" s="201"/>
      <c r="HUD179" s="201"/>
      <c r="HUE179" s="201"/>
      <c r="HUF179" s="201"/>
      <c r="HUG179" s="201"/>
      <c r="HUH179" s="201"/>
      <c r="HUI179" s="201"/>
      <c r="HUJ179" s="201"/>
      <c r="HUK179" s="201"/>
      <c r="HUL179" s="201"/>
      <c r="HUM179" s="201"/>
      <c r="HUN179" s="201"/>
      <c r="HUO179" s="201"/>
      <c r="HUP179" s="201"/>
      <c r="HUQ179" s="201"/>
      <c r="HUR179" s="201"/>
      <c r="HUS179" s="201"/>
      <c r="HUT179" s="201"/>
      <c r="HUU179" s="201"/>
      <c r="HUV179" s="201"/>
      <c r="HUW179" s="201"/>
      <c r="HUX179" s="201"/>
      <c r="HUY179" s="201"/>
      <c r="HUZ179" s="201"/>
      <c r="HVA179" s="201"/>
      <c r="HVB179" s="201"/>
      <c r="HVC179" s="201"/>
      <c r="HVD179" s="201"/>
      <c r="HVE179" s="201"/>
      <c r="HVF179" s="201"/>
      <c r="HVG179" s="201"/>
      <c r="HVH179" s="201"/>
      <c r="HVI179" s="201"/>
      <c r="HVJ179" s="201"/>
      <c r="HVK179" s="201"/>
      <c r="HVL179" s="201"/>
      <c r="HVM179" s="201"/>
      <c r="HVN179" s="201"/>
      <c r="HVO179" s="201"/>
      <c r="HVP179" s="201"/>
      <c r="HVQ179" s="201"/>
      <c r="HVR179" s="201"/>
      <c r="HVS179" s="201"/>
      <c r="HVT179" s="201"/>
      <c r="HVU179" s="201"/>
      <c r="HVV179" s="201"/>
      <c r="HVW179" s="201"/>
      <c r="HVX179" s="201"/>
      <c r="HVY179" s="201"/>
      <c r="HVZ179" s="201"/>
      <c r="HWA179" s="201"/>
      <c r="HWB179" s="201"/>
      <c r="HWC179" s="201"/>
      <c r="HWD179" s="201"/>
      <c r="HWE179" s="201"/>
      <c r="HWF179" s="201"/>
      <c r="HWG179" s="201"/>
      <c r="HWH179" s="201"/>
      <c r="HWI179" s="201"/>
      <c r="HWJ179" s="201"/>
      <c r="HWK179" s="201"/>
      <c r="HWL179" s="201"/>
      <c r="HWM179" s="201"/>
      <c r="HWN179" s="201"/>
      <c r="HWO179" s="201"/>
      <c r="HWP179" s="201"/>
      <c r="HWQ179" s="201"/>
      <c r="HWR179" s="201"/>
      <c r="HWS179" s="201"/>
      <c r="HWT179" s="201"/>
      <c r="HWU179" s="201"/>
      <c r="HWV179" s="201"/>
      <c r="HWW179" s="201"/>
      <c r="HWX179" s="201"/>
      <c r="HWY179" s="201"/>
      <c r="HWZ179" s="201"/>
      <c r="HXA179" s="201"/>
      <c r="HXB179" s="201"/>
      <c r="HXC179" s="201"/>
      <c r="HXD179" s="201"/>
      <c r="HXE179" s="201"/>
      <c r="HXF179" s="201"/>
      <c r="HXG179" s="201"/>
      <c r="HXH179" s="201"/>
      <c r="HXI179" s="201"/>
      <c r="HXJ179" s="201"/>
      <c r="HXK179" s="201"/>
      <c r="HXL179" s="201"/>
      <c r="HXM179" s="201"/>
      <c r="HXN179" s="201"/>
      <c r="HXO179" s="201"/>
      <c r="HXP179" s="201"/>
      <c r="HXQ179" s="201"/>
      <c r="HXR179" s="201"/>
      <c r="HXS179" s="201"/>
      <c r="HXT179" s="201"/>
      <c r="HXU179" s="201"/>
      <c r="HXV179" s="201"/>
      <c r="HXW179" s="201"/>
      <c r="HXX179" s="201"/>
      <c r="HXY179" s="201"/>
      <c r="HXZ179" s="201"/>
      <c r="HYA179" s="201"/>
      <c r="HYB179" s="201"/>
      <c r="HYC179" s="201"/>
      <c r="HYD179" s="201"/>
      <c r="HYE179" s="201"/>
      <c r="HYF179" s="201"/>
      <c r="HYG179" s="201"/>
      <c r="HYH179" s="201"/>
      <c r="HYI179" s="201"/>
      <c r="HYJ179" s="201"/>
      <c r="HYK179" s="201"/>
      <c r="HYL179" s="201"/>
      <c r="HYM179" s="201"/>
      <c r="HYN179" s="201"/>
      <c r="HYO179" s="201"/>
      <c r="HYP179" s="201"/>
      <c r="HYQ179" s="201"/>
      <c r="HYR179" s="201"/>
      <c r="HYS179" s="201"/>
      <c r="HYT179" s="201"/>
      <c r="HYU179" s="201"/>
      <c r="HYV179" s="201"/>
      <c r="HYW179" s="201"/>
      <c r="HYX179" s="201"/>
      <c r="HYY179" s="201"/>
      <c r="HYZ179" s="201"/>
      <c r="HZA179" s="201"/>
      <c r="HZB179" s="201"/>
      <c r="HZC179" s="201"/>
      <c r="HZD179" s="201"/>
      <c r="HZE179" s="201"/>
      <c r="HZF179" s="201"/>
      <c r="HZG179" s="201"/>
      <c r="HZH179" s="201"/>
      <c r="HZI179" s="201"/>
      <c r="HZJ179" s="201"/>
      <c r="HZK179" s="201"/>
      <c r="HZL179" s="201"/>
      <c r="HZM179" s="201"/>
      <c r="HZN179" s="201"/>
      <c r="HZO179" s="201"/>
      <c r="HZP179" s="201"/>
      <c r="HZQ179" s="201"/>
      <c r="HZR179" s="201"/>
      <c r="HZS179" s="201"/>
      <c r="HZT179" s="201"/>
      <c r="HZU179" s="201"/>
      <c r="HZV179" s="201"/>
      <c r="HZW179" s="201"/>
      <c r="HZX179" s="201"/>
      <c r="HZY179" s="201"/>
      <c r="HZZ179" s="201"/>
      <c r="IAA179" s="201"/>
      <c r="IAB179" s="201"/>
      <c r="IAC179" s="201"/>
      <c r="IAD179" s="201"/>
      <c r="IAE179" s="201"/>
      <c r="IAF179" s="201"/>
      <c r="IAG179" s="201"/>
      <c r="IAH179" s="201"/>
      <c r="IAI179" s="201"/>
      <c r="IAJ179" s="201"/>
      <c r="IAK179" s="201"/>
      <c r="IAL179" s="201"/>
      <c r="IAM179" s="201"/>
      <c r="IAN179" s="201"/>
      <c r="IAO179" s="201"/>
      <c r="IAP179" s="201"/>
      <c r="IAQ179" s="201"/>
      <c r="IAR179" s="201"/>
      <c r="IAS179" s="201"/>
      <c r="IAT179" s="201"/>
      <c r="IAU179" s="201"/>
      <c r="IAV179" s="201"/>
      <c r="IAW179" s="201"/>
      <c r="IAX179" s="201"/>
      <c r="IAY179" s="201"/>
      <c r="IAZ179" s="201"/>
      <c r="IBA179" s="201"/>
      <c r="IBB179" s="201"/>
      <c r="IBC179" s="201"/>
      <c r="IBD179" s="201"/>
      <c r="IBE179" s="201"/>
      <c r="IBF179" s="201"/>
      <c r="IBG179" s="201"/>
      <c r="IBH179" s="201"/>
      <c r="IBI179" s="201"/>
      <c r="IBJ179" s="201"/>
      <c r="IBK179" s="201"/>
      <c r="IBL179" s="201"/>
      <c r="IBM179" s="201"/>
      <c r="IBN179" s="201"/>
      <c r="IBO179" s="201"/>
      <c r="IBP179" s="201"/>
      <c r="IBQ179" s="201"/>
      <c r="IBR179" s="201"/>
      <c r="IBS179" s="201"/>
      <c r="IBT179" s="201"/>
      <c r="IBU179" s="201"/>
      <c r="IBV179" s="201"/>
      <c r="IBW179" s="201"/>
      <c r="IBX179" s="201"/>
      <c r="IBY179" s="201"/>
      <c r="IBZ179" s="201"/>
      <c r="ICA179" s="201"/>
      <c r="ICB179" s="201"/>
      <c r="ICC179" s="201"/>
      <c r="ICD179" s="201"/>
      <c r="ICE179" s="201"/>
      <c r="ICF179" s="201"/>
      <c r="ICG179" s="201"/>
      <c r="ICH179" s="201"/>
      <c r="ICI179" s="201"/>
      <c r="ICJ179" s="201"/>
      <c r="ICK179" s="201"/>
      <c r="ICL179" s="201"/>
      <c r="ICM179" s="201"/>
      <c r="ICN179" s="201"/>
      <c r="ICO179" s="201"/>
      <c r="ICP179" s="201"/>
      <c r="ICQ179" s="201"/>
      <c r="ICR179" s="201"/>
      <c r="ICS179" s="201"/>
      <c r="ICT179" s="201"/>
      <c r="ICU179" s="201"/>
      <c r="ICV179" s="201"/>
      <c r="ICW179" s="201"/>
      <c r="ICX179" s="201"/>
      <c r="ICY179" s="201"/>
      <c r="ICZ179" s="201"/>
      <c r="IDA179" s="201"/>
      <c r="IDB179" s="201"/>
      <c r="IDC179" s="201"/>
      <c r="IDD179" s="201"/>
      <c r="IDE179" s="201"/>
      <c r="IDF179" s="201"/>
      <c r="IDG179" s="201"/>
      <c r="IDH179" s="201"/>
      <c r="IDI179" s="201"/>
      <c r="IDJ179" s="201"/>
      <c r="IDK179" s="201"/>
      <c r="IDL179" s="201"/>
      <c r="IDM179" s="201"/>
      <c r="IDN179" s="201"/>
      <c r="IDO179" s="201"/>
      <c r="IDP179" s="201"/>
      <c r="IDQ179" s="201"/>
      <c r="IDR179" s="201"/>
      <c r="IDS179" s="201"/>
      <c r="IDT179" s="201"/>
      <c r="IDU179" s="201"/>
      <c r="IDV179" s="201"/>
      <c r="IDW179" s="201"/>
      <c r="IDX179" s="201"/>
      <c r="IDY179" s="201"/>
      <c r="IDZ179" s="201"/>
      <c r="IEA179" s="201"/>
      <c r="IEB179" s="201"/>
      <c r="IEC179" s="201"/>
      <c r="IED179" s="201"/>
      <c r="IEE179" s="201"/>
      <c r="IEF179" s="201"/>
      <c r="IEG179" s="201"/>
      <c r="IEH179" s="201"/>
      <c r="IEI179" s="201"/>
      <c r="IEJ179" s="201"/>
      <c r="IEK179" s="201"/>
      <c r="IEL179" s="201"/>
      <c r="IEM179" s="201"/>
      <c r="IEN179" s="201"/>
      <c r="IEO179" s="201"/>
      <c r="IEP179" s="201"/>
      <c r="IEQ179" s="201"/>
      <c r="IER179" s="201"/>
      <c r="IES179" s="201"/>
      <c r="IET179" s="201"/>
      <c r="IEU179" s="201"/>
      <c r="IEV179" s="201"/>
      <c r="IEW179" s="201"/>
      <c r="IEX179" s="201"/>
      <c r="IEY179" s="201"/>
      <c r="IEZ179" s="201"/>
      <c r="IFA179" s="201"/>
      <c r="IFB179" s="201"/>
      <c r="IFC179" s="201"/>
      <c r="IFD179" s="201"/>
      <c r="IFE179" s="201"/>
      <c r="IFF179" s="201"/>
      <c r="IFG179" s="201"/>
      <c r="IFH179" s="201"/>
      <c r="IFI179" s="201"/>
      <c r="IFJ179" s="201"/>
      <c r="IFK179" s="201"/>
      <c r="IFL179" s="201"/>
      <c r="IFM179" s="201"/>
      <c r="IFN179" s="201"/>
      <c r="IFO179" s="201"/>
      <c r="IFP179" s="201"/>
      <c r="IFQ179" s="201"/>
      <c r="IFR179" s="201"/>
      <c r="IFS179" s="201"/>
      <c r="IFT179" s="201"/>
      <c r="IFU179" s="201"/>
      <c r="IFV179" s="201"/>
      <c r="IFW179" s="201"/>
      <c r="IFX179" s="201"/>
      <c r="IFY179" s="201"/>
      <c r="IFZ179" s="201"/>
      <c r="IGA179" s="201"/>
      <c r="IGB179" s="201"/>
      <c r="IGC179" s="201"/>
      <c r="IGD179" s="201"/>
      <c r="IGE179" s="201"/>
      <c r="IGF179" s="201"/>
      <c r="IGG179" s="201"/>
      <c r="IGH179" s="201"/>
      <c r="IGI179" s="201"/>
      <c r="IGJ179" s="201"/>
      <c r="IGK179" s="201"/>
      <c r="IGL179" s="201"/>
      <c r="IGM179" s="201"/>
      <c r="IGN179" s="201"/>
      <c r="IGO179" s="201"/>
      <c r="IGP179" s="201"/>
      <c r="IGQ179" s="201"/>
      <c r="IGR179" s="201"/>
      <c r="IGS179" s="201"/>
      <c r="IGT179" s="201"/>
      <c r="IGU179" s="201"/>
      <c r="IGV179" s="201"/>
      <c r="IGW179" s="201"/>
      <c r="IGX179" s="201"/>
      <c r="IGY179" s="201"/>
      <c r="IGZ179" s="201"/>
      <c r="IHA179" s="201"/>
      <c r="IHB179" s="201"/>
      <c r="IHC179" s="201"/>
      <c r="IHD179" s="201"/>
      <c r="IHE179" s="201"/>
      <c r="IHF179" s="201"/>
      <c r="IHG179" s="201"/>
      <c r="IHH179" s="201"/>
      <c r="IHI179" s="201"/>
      <c r="IHJ179" s="201"/>
      <c r="IHK179" s="201"/>
      <c r="IHL179" s="201"/>
      <c r="IHM179" s="201"/>
      <c r="IHN179" s="201"/>
      <c r="IHO179" s="201"/>
      <c r="IHP179" s="201"/>
      <c r="IHQ179" s="201"/>
      <c r="IHR179" s="201"/>
      <c r="IHS179" s="201"/>
      <c r="IHT179" s="201"/>
      <c r="IHU179" s="201"/>
      <c r="IHV179" s="201"/>
      <c r="IHW179" s="201"/>
      <c r="IHX179" s="201"/>
      <c r="IHY179" s="201"/>
      <c r="IHZ179" s="201"/>
      <c r="IIA179" s="201"/>
      <c r="IIB179" s="201"/>
      <c r="IIC179" s="201"/>
      <c r="IID179" s="201"/>
      <c r="IIE179" s="201"/>
      <c r="IIF179" s="201"/>
      <c r="IIG179" s="201"/>
      <c r="IIH179" s="201"/>
      <c r="III179" s="201"/>
      <c r="IIJ179" s="201"/>
      <c r="IIK179" s="201"/>
      <c r="IIL179" s="201"/>
      <c r="IIM179" s="201"/>
      <c r="IIN179" s="201"/>
      <c r="IIO179" s="201"/>
      <c r="IIP179" s="201"/>
      <c r="IIQ179" s="201"/>
      <c r="IIR179" s="201"/>
      <c r="IIS179" s="201"/>
      <c r="IIT179" s="201"/>
      <c r="IIU179" s="201"/>
      <c r="IIV179" s="201"/>
      <c r="IIW179" s="201"/>
      <c r="IIX179" s="201"/>
      <c r="IIY179" s="201"/>
      <c r="IIZ179" s="201"/>
      <c r="IJA179" s="201"/>
      <c r="IJB179" s="201"/>
      <c r="IJC179" s="201"/>
      <c r="IJD179" s="201"/>
      <c r="IJE179" s="201"/>
      <c r="IJF179" s="201"/>
      <c r="IJG179" s="201"/>
      <c r="IJH179" s="201"/>
      <c r="IJI179" s="201"/>
      <c r="IJJ179" s="201"/>
      <c r="IJK179" s="201"/>
      <c r="IJL179" s="201"/>
      <c r="IJM179" s="201"/>
      <c r="IJN179" s="201"/>
      <c r="IJO179" s="201"/>
      <c r="IJP179" s="201"/>
      <c r="IJQ179" s="201"/>
      <c r="IJR179" s="201"/>
      <c r="IJS179" s="201"/>
      <c r="IJT179" s="201"/>
      <c r="IJU179" s="201"/>
      <c r="IJV179" s="201"/>
      <c r="IJW179" s="201"/>
      <c r="IJX179" s="201"/>
      <c r="IJY179" s="201"/>
      <c r="IJZ179" s="201"/>
      <c r="IKA179" s="201"/>
      <c r="IKB179" s="201"/>
      <c r="IKC179" s="201"/>
      <c r="IKD179" s="201"/>
      <c r="IKE179" s="201"/>
      <c r="IKF179" s="201"/>
      <c r="IKG179" s="201"/>
      <c r="IKH179" s="201"/>
      <c r="IKI179" s="201"/>
      <c r="IKJ179" s="201"/>
      <c r="IKK179" s="201"/>
      <c r="IKL179" s="201"/>
      <c r="IKM179" s="201"/>
      <c r="IKN179" s="201"/>
      <c r="IKO179" s="201"/>
      <c r="IKP179" s="201"/>
      <c r="IKQ179" s="201"/>
      <c r="IKR179" s="201"/>
      <c r="IKS179" s="201"/>
      <c r="IKT179" s="201"/>
      <c r="IKU179" s="201"/>
      <c r="IKV179" s="201"/>
      <c r="IKW179" s="201"/>
      <c r="IKX179" s="201"/>
      <c r="IKY179" s="201"/>
      <c r="IKZ179" s="201"/>
      <c r="ILA179" s="201"/>
      <c r="ILB179" s="201"/>
      <c r="ILC179" s="201"/>
      <c r="ILD179" s="201"/>
      <c r="ILE179" s="201"/>
      <c r="ILF179" s="201"/>
      <c r="ILG179" s="201"/>
      <c r="ILH179" s="201"/>
      <c r="ILI179" s="201"/>
      <c r="ILJ179" s="201"/>
      <c r="ILK179" s="201"/>
      <c r="ILL179" s="201"/>
      <c r="ILM179" s="201"/>
      <c r="ILN179" s="201"/>
      <c r="ILO179" s="201"/>
      <c r="ILP179" s="201"/>
      <c r="ILQ179" s="201"/>
      <c r="ILR179" s="201"/>
      <c r="ILS179" s="201"/>
      <c r="ILT179" s="201"/>
      <c r="ILU179" s="201"/>
      <c r="ILV179" s="201"/>
      <c r="ILW179" s="201"/>
      <c r="ILX179" s="201"/>
      <c r="ILY179" s="201"/>
      <c r="ILZ179" s="201"/>
      <c r="IMA179" s="201"/>
      <c r="IMB179" s="201"/>
      <c r="IMC179" s="201"/>
      <c r="IMD179" s="201"/>
      <c r="IME179" s="201"/>
      <c r="IMF179" s="201"/>
      <c r="IMG179" s="201"/>
      <c r="IMH179" s="201"/>
      <c r="IMI179" s="201"/>
      <c r="IMJ179" s="201"/>
      <c r="IMK179" s="201"/>
      <c r="IML179" s="201"/>
      <c r="IMM179" s="201"/>
      <c r="IMN179" s="201"/>
      <c r="IMO179" s="201"/>
      <c r="IMP179" s="201"/>
      <c r="IMQ179" s="201"/>
      <c r="IMR179" s="201"/>
      <c r="IMS179" s="201"/>
      <c r="IMT179" s="201"/>
      <c r="IMU179" s="201"/>
      <c r="IMV179" s="201"/>
      <c r="IMW179" s="201"/>
      <c r="IMX179" s="201"/>
      <c r="IMY179" s="201"/>
      <c r="IMZ179" s="201"/>
      <c r="INA179" s="201"/>
      <c r="INB179" s="201"/>
      <c r="INC179" s="201"/>
      <c r="IND179" s="201"/>
      <c r="INE179" s="201"/>
      <c r="INF179" s="201"/>
      <c r="ING179" s="201"/>
      <c r="INH179" s="201"/>
      <c r="INI179" s="201"/>
      <c r="INJ179" s="201"/>
      <c r="INK179" s="201"/>
      <c r="INL179" s="201"/>
      <c r="INM179" s="201"/>
      <c r="INN179" s="201"/>
      <c r="INO179" s="201"/>
      <c r="INP179" s="201"/>
      <c r="INQ179" s="201"/>
      <c r="INR179" s="201"/>
      <c r="INS179" s="201"/>
      <c r="INT179" s="201"/>
      <c r="INU179" s="201"/>
      <c r="INV179" s="201"/>
      <c r="INW179" s="201"/>
      <c r="INX179" s="201"/>
      <c r="INY179" s="201"/>
      <c r="INZ179" s="201"/>
      <c r="IOA179" s="201"/>
      <c r="IOB179" s="201"/>
      <c r="IOC179" s="201"/>
      <c r="IOD179" s="201"/>
      <c r="IOE179" s="201"/>
      <c r="IOF179" s="201"/>
      <c r="IOG179" s="201"/>
      <c r="IOH179" s="201"/>
      <c r="IOI179" s="201"/>
      <c r="IOJ179" s="201"/>
      <c r="IOK179" s="201"/>
      <c r="IOL179" s="201"/>
      <c r="IOM179" s="201"/>
      <c r="ION179" s="201"/>
      <c r="IOO179" s="201"/>
      <c r="IOP179" s="201"/>
      <c r="IOQ179" s="201"/>
      <c r="IOR179" s="201"/>
      <c r="IOS179" s="201"/>
      <c r="IOT179" s="201"/>
      <c r="IOU179" s="201"/>
      <c r="IOV179" s="201"/>
      <c r="IOW179" s="201"/>
      <c r="IOX179" s="201"/>
      <c r="IOY179" s="201"/>
      <c r="IOZ179" s="201"/>
      <c r="IPA179" s="201"/>
      <c r="IPB179" s="201"/>
      <c r="IPC179" s="201"/>
      <c r="IPD179" s="201"/>
      <c r="IPE179" s="201"/>
      <c r="IPF179" s="201"/>
      <c r="IPG179" s="201"/>
      <c r="IPH179" s="201"/>
      <c r="IPI179" s="201"/>
      <c r="IPJ179" s="201"/>
      <c r="IPK179" s="201"/>
      <c r="IPL179" s="201"/>
      <c r="IPM179" s="201"/>
      <c r="IPN179" s="201"/>
      <c r="IPO179" s="201"/>
      <c r="IPP179" s="201"/>
      <c r="IPQ179" s="201"/>
      <c r="IPR179" s="201"/>
      <c r="IPS179" s="201"/>
      <c r="IPT179" s="201"/>
      <c r="IPU179" s="201"/>
      <c r="IPV179" s="201"/>
      <c r="IPW179" s="201"/>
      <c r="IPX179" s="201"/>
      <c r="IPY179" s="201"/>
      <c r="IPZ179" s="201"/>
      <c r="IQA179" s="201"/>
      <c r="IQB179" s="201"/>
      <c r="IQC179" s="201"/>
      <c r="IQD179" s="201"/>
      <c r="IQE179" s="201"/>
      <c r="IQF179" s="201"/>
      <c r="IQG179" s="201"/>
      <c r="IQH179" s="201"/>
      <c r="IQI179" s="201"/>
      <c r="IQJ179" s="201"/>
      <c r="IQK179" s="201"/>
      <c r="IQL179" s="201"/>
      <c r="IQM179" s="201"/>
      <c r="IQN179" s="201"/>
      <c r="IQO179" s="201"/>
      <c r="IQP179" s="201"/>
      <c r="IQQ179" s="201"/>
      <c r="IQR179" s="201"/>
      <c r="IQS179" s="201"/>
      <c r="IQT179" s="201"/>
      <c r="IQU179" s="201"/>
      <c r="IQV179" s="201"/>
      <c r="IQW179" s="201"/>
      <c r="IQX179" s="201"/>
      <c r="IQY179" s="201"/>
      <c r="IQZ179" s="201"/>
      <c r="IRA179" s="201"/>
      <c r="IRB179" s="201"/>
      <c r="IRC179" s="201"/>
      <c r="IRD179" s="201"/>
      <c r="IRE179" s="201"/>
      <c r="IRF179" s="201"/>
      <c r="IRG179" s="201"/>
      <c r="IRH179" s="201"/>
      <c r="IRI179" s="201"/>
      <c r="IRJ179" s="201"/>
      <c r="IRK179" s="201"/>
      <c r="IRL179" s="201"/>
      <c r="IRM179" s="201"/>
      <c r="IRN179" s="201"/>
      <c r="IRO179" s="201"/>
      <c r="IRP179" s="201"/>
      <c r="IRQ179" s="201"/>
      <c r="IRR179" s="201"/>
      <c r="IRS179" s="201"/>
      <c r="IRT179" s="201"/>
      <c r="IRU179" s="201"/>
      <c r="IRV179" s="201"/>
      <c r="IRW179" s="201"/>
      <c r="IRX179" s="201"/>
      <c r="IRY179" s="201"/>
      <c r="IRZ179" s="201"/>
      <c r="ISA179" s="201"/>
      <c r="ISB179" s="201"/>
      <c r="ISC179" s="201"/>
      <c r="ISD179" s="201"/>
      <c r="ISE179" s="201"/>
      <c r="ISF179" s="201"/>
      <c r="ISG179" s="201"/>
      <c r="ISH179" s="201"/>
      <c r="ISI179" s="201"/>
      <c r="ISJ179" s="201"/>
      <c r="ISK179" s="201"/>
      <c r="ISL179" s="201"/>
      <c r="ISM179" s="201"/>
      <c r="ISN179" s="201"/>
      <c r="ISO179" s="201"/>
      <c r="ISP179" s="201"/>
      <c r="ISQ179" s="201"/>
      <c r="ISR179" s="201"/>
      <c r="ISS179" s="201"/>
      <c r="IST179" s="201"/>
      <c r="ISU179" s="201"/>
      <c r="ISV179" s="201"/>
      <c r="ISW179" s="201"/>
      <c r="ISX179" s="201"/>
      <c r="ISY179" s="201"/>
      <c r="ISZ179" s="201"/>
      <c r="ITA179" s="201"/>
      <c r="ITB179" s="201"/>
      <c r="ITC179" s="201"/>
      <c r="ITD179" s="201"/>
      <c r="ITE179" s="201"/>
      <c r="ITF179" s="201"/>
      <c r="ITG179" s="201"/>
      <c r="ITH179" s="201"/>
      <c r="ITI179" s="201"/>
      <c r="ITJ179" s="201"/>
      <c r="ITK179" s="201"/>
      <c r="ITL179" s="201"/>
      <c r="ITM179" s="201"/>
      <c r="ITN179" s="201"/>
      <c r="ITO179" s="201"/>
      <c r="ITP179" s="201"/>
      <c r="ITQ179" s="201"/>
      <c r="ITR179" s="201"/>
      <c r="ITS179" s="201"/>
      <c r="ITT179" s="201"/>
      <c r="ITU179" s="201"/>
      <c r="ITV179" s="201"/>
      <c r="ITW179" s="201"/>
      <c r="ITX179" s="201"/>
      <c r="ITY179" s="201"/>
      <c r="ITZ179" s="201"/>
      <c r="IUA179" s="201"/>
      <c r="IUB179" s="201"/>
      <c r="IUC179" s="201"/>
      <c r="IUD179" s="201"/>
      <c r="IUE179" s="201"/>
      <c r="IUF179" s="201"/>
      <c r="IUG179" s="201"/>
      <c r="IUH179" s="201"/>
      <c r="IUI179" s="201"/>
      <c r="IUJ179" s="201"/>
      <c r="IUK179" s="201"/>
      <c r="IUL179" s="201"/>
      <c r="IUM179" s="201"/>
      <c r="IUN179" s="201"/>
      <c r="IUO179" s="201"/>
      <c r="IUP179" s="201"/>
      <c r="IUQ179" s="201"/>
      <c r="IUR179" s="201"/>
      <c r="IUS179" s="201"/>
      <c r="IUT179" s="201"/>
      <c r="IUU179" s="201"/>
      <c r="IUV179" s="201"/>
      <c r="IUW179" s="201"/>
      <c r="IUX179" s="201"/>
      <c r="IUY179" s="201"/>
      <c r="IUZ179" s="201"/>
      <c r="IVA179" s="201"/>
      <c r="IVB179" s="201"/>
      <c r="IVC179" s="201"/>
      <c r="IVD179" s="201"/>
      <c r="IVE179" s="201"/>
      <c r="IVF179" s="201"/>
      <c r="IVG179" s="201"/>
      <c r="IVH179" s="201"/>
      <c r="IVI179" s="201"/>
      <c r="IVJ179" s="201"/>
      <c r="IVK179" s="201"/>
      <c r="IVL179" s="201"/>
      <c r="IVM179" s="201"/>
      <c r="IVN179" s="201"/>
      <c r="IVO179" s="201"/>
      <c r="IVP179" s="201"/>
      <c r="IVQ179" s="201"/>
      <c r="IVR179" s="201"/>
      <c r="IVS179" s="201"/>
      <c r="IVT179" s="201"/>
      <c r="IVU179" s="201"/>
      <c r="IVV179" s="201"/>
      <c r="IVW179" s="201"/>
      <c r="IVX179" s="201"/>
      <c r="IVY179" s="201"/>
      <c r="IVZ179" s="201"/>
      <c r="IWA179" s="201"/>
      <c r="IWB179" s="201"/>
      <c r="IWC179" s="201"/>
      <c r="IWD179" s="201"/>
      <c r="IWE179" s="201"/>
      <c r="IWF179" s="201"/>
      <c r="IWG179" s="201"/>
      <c r="IWH179" s="201"/>
      <c r="IWI179" s="201"/>
      <c r="IWJ179" s="201"/>
      <c r="IWK179" s="201"/>
      <c r="IWL179" s="201"/>
      <c r="IWM179" s="201"/>
      <c r="IWN179" s="201"/>
      <c r="IWO179" s="201"/>
      <c r="IWP179" s="201"/>
      <c r="IWQ179" s="201"/>
      <c r="IWR179" s="201"/>
      <c r="IWS179" s="201"/>
      <c r="IWT179" s="201"/>
      <c r="IWU179" s="201"/>
      <c r="IWV179" s="201"/>
      <c r="IWW179" s="201"/>
      <c r="IWX179" s="201"/>
      <c r="IWY179" s="201"/>
      <c r="IWZ179" s="201"/>
      <c r="IXA179" s="201"/>
      <c r="IXB179" s="201"/>
      <c r="IXC179" s="201"/>
      <c r="IXD179" s="201"/>
      <c r="IXE179" s="201"/>
      <c r="IXF179" s="201"/>
      <c r="IXG179" s="201"/>
      <c r="IXH179" s="201"/>
      <c r="IXI179" s="201"/>
      <c r="IXJ179" s="201"/>
      <c r="IXK179" s="201"/>
      <c r="IXL179" s="201"/>
      <c r="IXM179" s="201"/>
      <c r="IXN179" s="201"/>
      <c r="IXO179" s="201"/>
      <c r="IXP179" s="201"/>
      <c r="IXQ179" s="201"/>
      <c r="IXR179" s="201"/>
      <c r="IXS179" s="201"/>
      <c r="IXT179" s="201"/>
      <c r="IXU179" s="201"/>
      <c r="IXV179" s="201"/>
      <c r="IXW179" s="201"/>
      <c r="IXX179" s="201"/>
      <c r="IXY179" s="201"/>
      <c r="IXZ179" s="201"/>
      <c r="IYA179" s="201"/>
      <c r="IYB179" s="201"/>
      <c r="IYC179" s="201"/>
      <c r="IYD179" s="201"/>
      <c r="IYE179" s="201"/>
      <c r="IYF179" s="201"/>
      <c r="IYG179" s="201"/>
      <c r="IYH179" s="201"/>
      <c r="IYI179" s="201"/>
      <c r="IYJ179" s="201"/>
      <c r="IYK179" s="201"/>
      <c r="IYL179" s="201"/>
      <c r="IYM179" s="201"/>
      <c r="IYN179" s="201"/>
      <c r="IYO179" s="201"/>
      <c r="IYP179" s="201"/>
      <c r="IYQ179" s="201"/>
      <c r="IYR179" s="201"/>
      <c r="IYS179" s="201"/>
      <c r="IYT179" s="201"/>
      <c r="IYU179" s="201"/>
      <c r="IYV179" s="201"/>
      <c r="IYW179" s="201"/>
      <c r="IYX179" s="201"/>
      <c r="IYY179" s="201"/>
      <c r="IYZ179" s="201"/>
      <c r="IZA179" s="201"/>
      <c r="IZB179" s="201"/>
      <c r="IZC179" s="201"/>
      <c r="IZD179" s="201"/>
      <c r="IZE179" s="201"/>
      <c r="IZF179" s="201"/>
      <c r="IZG179" s="201"/>
      <c r="IZH179" s="201"/>
      <c r="IZI179" s="201"/>
      <c r="IZJ179" s="201"/>
      <c r="IZK179" s="201"/>
      <c r="IZL179" s="201"/>
      <c r="IZM179" s="201"/>
      <c r="IZN179" s="201"/>
      <c r="IZO179" s="201"/>
      <c r="IZP179" s="201"/>
      <c r="IZQ179" s="201"/>
      <c r="IZR179" s="201"/>
      <c r="IZS179" s="201"/>
      <c r="IZT179" s="201"/>
      <c r="IZU179" s="201"/>
      <c r="IZV179" s="201"/>
      <c r="IZW179" s="201"/>
      <c r="IZX179" s="201"/>
      <c r="IZY179" s="201"/>
      <c r="IZZ179" s="201"/>
      <c r="JAA179" s="201"/>
      <c r="JAB179" s="201"/>
      <c r="JAC179" s="201"/>
      <c r="JAD179" s="201"/>
      <c r="JAE179" s="201"/>
      <c r="JAF179" s="201"/>
      <c r="JAG179" s="201"/>
      <c r="JAH179" s="201"/>
      <c r="JAI179" s="201"/>
      <c r="JAJ179" s="201"/>
      <c r="JAK179" s="201"/>
      <c r="JAL179" s="201"/>
      <c r="JAM179" s="201"/>
      <c r="JAN179" s="201"/>
      <c r="JAO179" s="201"/>
      <c r="JAP179" s="201"/>
      <c r="JAQ179" s="201"/>
      <c r="JAR179" s="201"/>
      <c r="JAS179" s="201"/>
      <c r="JAT179" s="201"/>
      <c r="JAU179" s="201"/>
      <c r="JAV179" s="201"/>
      <c r="JAW179" s="201"/>
      <c r="JAX179" s="201"/>
      <c r="JAY179" s="201"/>
      <c r="JAZ179" s="201"/>
      <c r="JBA179" s="201"/>
      <c r="JBB179" s="201"/>
      <c r="JBC179" s="201"/>
      <c r="JBD179" s="201"/>
      <c r="JBE179" s="201"/>
      <c r="JBF179" s="201"/>
      <c r="JBG179" s="201"/>
      <c r="JBH179" s="201"/>
      <c r="JBI179" s="201"/>
      <c r="JBJ179" s="201"/>
      <c r="JBK179" s="201"/>
      <c r="JBL179" s="201"/>
      <c r="JBM179" s="201"/>
      <c r="JBN179" s="201"/>
      <c r="JBO179" s="201"/>
      <c r="JBP179" s="201"/>
      <c r="JBQ179" s="201"/>
      <c r="JBR179" s="201"/>
      <c r="JBS179" s="201"/>
      <c r="JBT179" s="201"/>
      <c r="JBU179" s="201"/>
      <c r="JBV179" s="201"/>
      <c r="JBW179" s="201"/>
      <c r="JBX179" s="201"/>
      <c r="JBY179" s="201"/>
      <c r="JBZ179" s="201"/>
      <c r="JCA179" s="201"/>
      <c r="JCB179" s="201"/>
      <c r="JCC179" s="201"/>
      <c r="JCD179" s="201"/>
      <c r="JCE179" s="201"/>
      <c r="JCF179" s="201"/>
      <c r="JCG179" s="201"/>
      <c r="JCH179" s="201"/>
      <c r="JCI179" s="201"/>
      <c r="JCJ179" s="201"/>
      <c r="JCK179" s="201"/>
      <c r="JCL179" s="201"/>
      <c r="JCM179" s="201"/>
      <c r="JCN179" s="201"/>
      <c r="JCO179" s="201"/>
      <c r="JCP179" s="201"/>
      <c r="JCQ179" s="201"/>
      <c r="JCR179" s="201"/>
      <c r="JCS179" s="201"/>
      <c r="JCT179" s="201"/>
      <c r="JCU179" s="201"/>
      <c r="JCV179" s="201"/>
      <c r="JCW179" s="201"/>
      <c r="JCX179" s="201"/>
      <c r="JCY179" s="201"/>
      <c r="JCZ179" s="201"/>
      <c r="JDA179" s="201"/>
      <c r="JDB179" s="201"/>
      <c r="JDC179" s="201"/>
      <c r="JDD179" s="201"/>
      <c r="JDE179" s="201"/>
      <c r="JDF179" s="201"/>
      <c r="JDG179" s="201"/>
      <c r="JDH179" s="201"/>
      <c r="JDI179" s="201"/>
      <c r="JDJ179" s="201"/>
      <c r="JDK179" s="201"/>
      <c r="JDL179" s="201"/>
      <c r="JDM179" s="201"/>
      <c r="JDN179" s="201"/>
      <c r="JDO179" s="201"/>
      <c r="JDP179" s="201"/>
      <c r="JDQ179" s="201"/>
      <c r="JDR179" s="201"/>
      <c r="JDS179" s="201"/>
      <c r="JDT179" s="201"/>
      <c r="JDU179" s="201"/>
      <c r="JDV179" s="201"/>
      <c r="JDW179" s="201"/>
      <c r="JDX179" s="201"/>
      <c r="JDY179" s="201"/>
      <c r="JDZ179" s="201"/>
      <c r="JEA179" s="201"/>
      <c r="JEB179" s="201"/>
      <c r="JEC179" s="201"/>
      <c r="JED179" s="201"/>
      <c r="JEE179" s="201"/>
      <c r="JEF179" s="201"/>
      <c r="JEG179" s="201"/>
      <c r="JEH179" s="201"/>
      <c r="JEI179" s="201"/>
      <c r="JEJ179" s="201"/>
      <c r="JEK179" s="201"/>
      <c r="JEL179" s="201"/>
      <c r="JEM179" s="201"/>
      <c r="JEN179" s="201"/>
      <c r="JEO179" s="201"/>
      <c r="JEP179" s="201"/>
      <c r="JEQ179" s="201"/>
      <c r="JER179" s="201"/>
      <c r="JES179" s="201"/>
      <c r="JET179" s="201"/>
      <c r="JEU179" s="201"/>
      <c r="JEV179" s="201"/>
      <c r="JEW179" s="201"/>
      <c r="JEX179" s="201"/>
      <c r="JEY179" s="201"/>
      <c r="JEZ179" s="201"/>
      <c r="JFA179" s="201"/>
      <c r="JFB179" s="201"/>
      <c r="JFC179" s="201"/>
      <c r="JFD179" s="201"/>
      <c r="JFE179" s="201"/>
      <c r="JFF179" s="201"/>
      <c r="JFG179" s="201"/>
      <c r="JFH179" s="201"/>
      <c r="JFI179" s="201"/>
      <c r="JFJ179" s="201"/>
      <c r="JFK179" s="201"/>
      <c r="JFL179" s="201"/>
      <c r="JFM179" s="201"/>
      <c r="JFN179" s="201"/>
      <c r="JFO179" s="201"/>
      <c r="JFP179" s="201"/>
      <c r="JFQ179" s="201"/>
      <c r="JFR179" s="201"/>
      <c r="JFS179" s="201"/>
      <c r="JFT179" s="201"/>
      <c r="JFU179" s="201"/>
      <c r="JFV179" s="201"/>
      <c r="JFW179" s="201"/>
      <c r="JFX179" s="201"/>
      <c r="JFY179" s="201"/>
      <c r="JFZ179" s="201"/>
      <c r="JGA179" s="201"/>
      <c r="JGB179" s="201"/>
      <c r="JGC179" s="201"/>
      <c r="JGD179" s="201"/>
      <c r="JGE179" s="201"/>
      <c r="JGF179" s="201"/>
      <c r="JGG179" s="201"/>
      <c r="JGH179" s="201"/>
      <c r="JGI179" s="201"/>
      <c r="JGJ179" s="201"/>
      <c r="JGK179" s="201"/>
      <c r="JGL179" s="201"/>
      <c r="JGM179" s="201"/>
      <c r="JGN179" s="201"/>
      <c r="JGO179" s="201"/>
      <c r="JGP179" s="201"/>
      <c r="JGQ179" s="201"/>
      <c r="JGR179" s="201"/>
      <c r="JGS179" s="201"/>
      <c r="JGT179" s="201"/>
      <c r="JGU179" s="201"/>
      <c r="JGV179" s="201"/>
      <c r="JGW179" s="201"/>
      <c r="JGX179" s="201"/>
      <c r="JGY179" s="201"/>
      <c r="JGZ179" s="201"/>
      <c r="JHA179" s="201"/>
      <c r="JHB179" s="201"/>
      <c r="JHC179" s="201"/>
      <c r="JHD179" s="201"/>
      <c r="JHE179" s="201"/>
      <c r="JHF179" s="201"/>
      <c r="JHG179" s="201"/>
      <c r="JHH179" s="201"/>
      <c r="JHI179" s="201"/>
      <c r="JHJ179" s="201"/>
      <c r="JHK179" s="201"/>
      <c r="JHL179" s="201"/>
      <c r="JHM179" s="201"/>
      <c r="JHN179" s="201"/>
      <c r="JHO179" s="201"/>
      <c r="JHP179" s="201"/>
      <c r="JHQ179" s="201"/>
      <c r="JHR179" s="201"/>
      <c r="JHS179" s="201"/>
      <c r="JHT179" s="201"/>
      <c r="JHU179" s="201"/>
      <c r="JHV179" s="201"/>
      <c r="JHW179" s="201"/>
      <c r="JHX179" s="201"/>
      <c r="JHY179" s="201"/>
      <c r="JHZ179" s="201"/>
      <c r="JIA179" s="201"/>
      <c r="JIB179" s="201"/>
      <c r="JIC179" s="201"/>
      <c r="JID179" s="201"/>
      <c r="JIE179" s="201"/>
      <c r="JIF179" s="201"/>
      <c r="JIG179" s="201"/>
      <c r="JIH179" s="201"/>
      <c r="JII179" s="201"/>
      <c r="JIJ179" s="201"/>
      <c r="JIK179" s="201"/>
      <c r="JIL179" s="201"/>
      <c r="JIM179" s="201"/>
      <c r="JIN179" s="201"/>
      <c r="JIO179" s="201"/>
      <c r="JIP179" s="201"/>
      <c r="JIQ179" s="201"/>
      <c r="JIR179" s="201"/>
      <c r="JIS179" s="201"/>
      <c r="JIT179" s="201"/>
      <c r="JIU179" s="201"/>
      <c r="JIV179" s="201"/>
      <c r="JIW179" s="201"/>
      <c r="JIX179" s="201"/>
      <c r="JIY179" s="201"/>
      <c r="JIZ179" s="201"/>
      <c r="JJA179" s="201"/>
      <c r="JJB179" s="201"/>
      <c r="JJC179" s="201"/>
      <c r="JJD179" s="201"/>
      <c r="JJE179" s="201"/>
      <c r="JJF179" s="201"/>
      <c r="JJG179" s="201"/>
      <c r="JJH179" s="201"/>
      <c r="JJI179" s="201"/>
      <c r="JJJ179" s="201"/>
      <c r="JJK179" s="201"/>
      <c r="JJL179" s="201"/>
      <c r="JJM179" s="201"/>
      <c r="JJN179" s="201"/>
      <c r="JJO179" s="201"/>
      <c r="JJP179" s="201"/>
      <c r="JJQ179" s="201"/>
      <c r="JJR179" s="201"/>
      <c r="JJS179" s="201"/>
      <c r="JJT179" s="201"/>
      <c r="JJU179" s="201"/>
      <c r="JJV179" s="201"/>
      <c r="JJW179" s="201"/>
      <c r="JJX179" s="201"/>
      <c r="JJY179" s="201"/>
      <c r="JJZ179" s="201"/>
      <c r="JKA179" s="201"/>
      <c r="JKB179" s="201"/>
      <c r="JKC179" s="201"/>
      <c r="JKD179" s="201"/>
      <c r="JKE179" s="201"/>
      <c r="JKF179" s="201"/>
      <c r="JKG179" s="201"/>
      <c r="JKH179" s="201"/>
      <c r="JKI179" s="201"/>
      <c r="JKJ179" s="201"/>
      <c r="JKK179" s="201"/>
      <c r="JKL179" s="201"/>
      <c r="JKM179" s="201"/>
      <c r="JKN179" s="201"/>
      <c r="JKO179" s="201"/>
      <c r="JKP179" s="201"/>
      <c r="JKQ179" s="201"/>
      <c r="JKR179" s="201"/>
      <c r="JKS179" s="201"/>
      <c r="JKT179" s="201"/>
      <c r="JKU179" s="201"/>
      <c r="JKV179" s="201"/>
      <c r="JKW179" s="201"/>
      <c r="JKX179" s="201"/>
      <c r="JKY179" s="201"/>
      <c r="JKZ179" s="201"/>
      <c r="JLA179" s="201"/>
      <c r="JLB179" s="201"/>
      <c r="JLC179" s="201"/>
      <c r="JLD179" s="201"/>
      <c r="JLE179" s="201"/>
      <c r="JLF179" s="201"/>
      <c r="JLG179" s="201"/>
      <c r="JLH179" s="201"/>
      <c r="JLI179" s="201"/>
      <c r="JLJ179" s="201"/>
      <c r="JLK179" s="201"/>
      <c r="JLL179" s="201"/>
      <c r="JLM179" s="201"/>
      <c r="JLN179" s="201"/>
      <c r="JLO179" s="201"/>
      <c r="JLP179" s="201"/>
      <c r="JLQ179" s="201"/>
      <c r="JLR179" s="201"/>
      <c r="JLS179" s="201"/>
      <c r="JLT179" s="201"/>
      <c r="JLU179" s="201"/>
      <c r="JLV179" s="201"/>
      <c r="JLW179" s="201"/>
      <c r="JLX179" s="201"/>
      <c r="JLY179" s="201"/>
      <c r="JLZ179" s="201"/>
      <c r="JMA179" s="201"/>
      <c r="JMB179" s="201"/>
      <c r="JMC179" s="201"/>
      <c r="JMD179" s="201"/>
      <c r="JME179" s="201"/>
      <c r="JMF179" s="201"/>
      <c r="JMG179" s="201"/>
      <c r="JMH179" s="201"/>
      <c r="JMI179" s="201"/>
      <c r="JMJ179" s="201"/>
      <c r="JMK179" s="201"/>
      <c r="JML179" s="201"/>
      <c r="JMM179" s="201"/>
      <c r="JMN179" s="201"/>
      <c r="JMO179" s="201"/>
      <c r="JMP179" s="201"/>
      <c r="JMQ179" s="201"/>
      <c r="JMR179" s="201"/>
      <c r="JMS179" s="201"/>
      <c r="JMT179" s="201"/>
      <c r="JMU179" s="201"/>
      <c r="JMV179" s="201"/>
      <c r="JMW179" s="201"/>
      <c r="JMX179" s="201"/>
      <c r="JMY179" s="201"/>
      <c r="JMZ179" s="201"/>
      <c r="JNA179" s="201"/>
      <c r="JNB179" s="201"/>
      <c r="JNC179" s="201"/>
      <c r="JND179" s="201"/>
      <c r="JNE179" s="201"/>
      <c r="JNF179" s="201"/>
      <c r="JNG179" s="201"/>
      <c r="JNH179" s="201"/>
      <c r="JNI179" s="201"/>
      <c r="JNJ179" s="201"/>
      <c r="JNK179" s="201"/>
      <c r="JNL179" s="201"/>
      <c r="JNM179" s="201"/>
      <c r="JNN179" s="201"/>
      <c r="JNO179" s="201"/>
      <c r="JNP179" s="201"/>
      <c r="JNQ179" s="201"/>
      <c r="JNR179" s="201"/>
      <c r="JNS179" s="201"/>
      <c r="JNT179" s="201"/>
      <c r="JNU179" s="201"/>
      <c r="JNV179" s="201"/>
      <c r="JNW179" s="201"/>
      <c r="JNX179" s="201"/>
      <c r="JNY179" s="201"/>
      <c r="JNZ179" s="201"/>
      <c r="JOA179" s="201"/>
      <c r="JOB179" s="201"/>
      <c r="JOC179" s="201"/>
      <c r="JOD179" s="201"/>
      <c r="JOE179" s="201"/>
      <c r="JOF179" s="201"/>
      <c r="JOG179" s="201"/>
      <c r="JOH179" s="201"/>
      <c r="JOI179" s="201"/>
      <c r="JOJ179" s="201"/>
      <c r="JOK179" s="201"/>
      <c r="JOL179" s="201"/>
      <c r="JOM179" s="201"/>
      <c r="JON179" s="201"/>
      <c r="JOO179" s="201"/>
      <c r="JOP179" s="201"/>
      <c r="JOQ179" s="201"/>
      <c r="JOR179" s="201"/>
      <c r="JOS179" s="201"/>
      <c r="JOT179" s="201"/>
      <c r="JOU179" s="201"/>
      <c r="JOV179" s="201"/>
      <c r="JOW179" s="201"/>
      <c r="JOX179" s="201"/>
      <c r="JOY179" s="201"/>
      <c r="JOZ179" s="201"/>
      <c r="JPA179" s="201"/>
      <c r="JPB179" s="201"/>
      <c r="JPC179" s="201"/>
      <c r="JPD179" s="201"/>
      <c r="JPE179" s="201"/>
      <c r="JPF179" s="201"/>
      <c r="JPG179" s="201"/>
      <c r="JPH179" s="201"/>
      <c r="JPI179" s="201"/>
      <c r="JPJ179" s="201"/>
      <c r="JPK179" s="201"/>
      <c r="JPL179" s="201"/>
      <c r="JPM179" s="201"/>
      <c r="JPN179" s="201"/>
      <c r="JPO179" s="201"/>
      <c r="JPP179" s="201"/>
      <c r="JPQ179" s="201"/>
      <c r="JPR179" s="201"/>
      <c r="JPS179" s="201"/>
      <c r="JPT179" s="201"/>
      <c r="JPU179" s="201"/>
      <c r="JPV179" s="201"/>
      <c r="JPW179" s="201"/>
      <c r="JPX179" s="201"/>
      <c r="JPY179" s="201"/>
      <c r="JPZ179" s="201"/>
      <c r="JQA179" s="201"/>
      <c r="JQB179" s="201"/>
      <c r="JQC179" s="201"/>
      <c r="JQD179" s="201"/>
      <c r="JQE179" s="201"/>
      <c r="JQF179" s="201"/>
      <c r="JQG179" s="201"/>
      <c r="JQH179" s="201"/>
      <c r="JQI179" s="201"/>
      <c r="JQJ179" s="201"/>
      <c r="JQK179" s="201"/>
      <c r="JQL179" s="201"/>
      <c r="JQM179" s="201"/>
      <c r="JQN179" s="201"/>
      <c r="JQO179" s="201"/>
      <c r="JQP179" s="201"/>
      <c r="JQQ179" s="201"/>
      <c r="JQR179" s="201"/>
      <c r="JQS179" s="201"/>
      <c r="JQT179" s="201"/>
      <c r="JQU179" s="201"/>
      <c r="JQV179" s="201"/>
      <c r="JQW179" s="201"/>
      <c r="JQX179" s="201"/>
      <c r="JQY179" s="201"/>
      <c r="JQZ179" s="201"/>
      <c r="JRA179" s="201"/>
      <c r="JRB179" s="201"/>
      <c r="JRC179" s="201"/>
      <c r="JRD179" s="201"/>
      <c r="JRE179" s="201"/>
      <c r="JRF179" s="201"/>
      <c r="JRG179" s="201"/>
      <c r="JRH179" s="201"/>
      <c r="JRI179" s="201"/>
      <c r="JRJ179" s="201"/>
      <c r="JRK179" s="201"/>
      <c r="JRL179" s="201"/>
      <c r="JRM179" s="201"/>
      <c r="JRN179" s="201"/>
      <c r="JRO179" s="201"/>
      <c r="JRP179" s="201"/>
      <c r="JRQ179" s="201"/>
      <c r="JRR179" s="201"/>
      <c r="JRS179" s="201"/>
      <c r="JRT179" s="201"/>
      <c r="JRU179" s="201"/>
      <c r="JRV179" s="201"/>
      <c r="JRW179" s="201"/>
      <c r="JRX179" s="201"/>
      <c r="JRY179" s="201"/>
      <c r="JRZ179" s="201"/>
      <c r="JSA179" s="201"/>
      <c r="JSB179" s="201"/>
      <c r="JSC179" s="201"/>
      <c r="JSD179" s="201"/>
      <c r="JSE179" s="201"/>
      <c r="JSF179" s="201"/>
      <c r="JSG179" s="201"/>
      <c r="JSH179" s="201"/>
      <c r="JSI179" s="201"/>
      <c r="JSJ179" s="201"/>
      <c r="JSK179" s="201"/>
      <c r="JSL179" s="201"/>
      <c r="JSM179" s="201"/>
      <c r="JSN179" s="201"/>
      <c r="JSO179" s="201"/>
      <c r="JSP179" s="201"/>
      <c r="JSQ179" s="201"/>
      <c r="JSR179" s="201"/>
      <c r="JSS179" s="201"/>
      <c r="JST179" s="201"/>
      <c r="JSU179" s="201"/>
      <c r="JSV179" s="201"/>
      <c r="JSW179" s="201"/>
      <c r="JSX179" s="201"/>
      <c r="JSY179" s="201"/>
      <c r="JSZ179" s="201"/>
      <c r="JTA179" s="201"/>
      <c r="JTB179" s="201"/>
      <c r="JTC179" s="201"/>
      <c r="JTD179" s="201"/>
      <c r="JTE179" s="201"/>
      <c r="JTF179" s="201"/>
      <c r="JTG179" s="201"/>
      <c r="JTH179" s="201"/>
      <c r="JTI179" s="201"/>
      <c r="JTJ179" s="201"/>
      <c r="JTK179" s="201"/>
      <c r="JTL179" s="201"/>
      <c r="JTM179" s="201"/>
      <c r="JTN179" s="201"/>
      <c r="JTO179" s="201"/>
      <c r="JTP179" s="201"/>
      <c r="JTQ179" s="201"/>
      <c r="JTR179" s="201"/>
      <c r="JTS179" s="201"/>
      <c r="JTT179" s="201"/>
      <c r="JTU179" s="201"/>
      <c r="JTV179" s="201"/>
      <c r="JTW179" s="201"/>
      <c r="JTX179" s="201"/>
      <c r="JTY179" s="201"/>
      <c r="JTZ179" s="201"/>
      <c r="JUA179" s="201"/>
      <c r="JUB179" s="201"/>
      <c r="JUC179" s="201"/>
      <c r="JUD179" s="201"/>
      <c r="JUE179" s="201"/>
      <c r="JUF179" s="201"/>
      <c r="JUG179" s="201"/>
      <c r="JUH179" s="201"/>
      <c r="JUI179" s="201"/>
      <c r="JUJ179" s="201"/>
      <c r="JUK179" s="201"/>
      <c r="JUL179" s="201"/>
      <c r="JUM179" s="201"/>
      <c r="JUN179" s="201"/>
      <c r="JUO179" s="201"/>
      <c r="JUP179" s="201"/>
      <c r="JUQ179" s="201"/>
      <c r="JUR179" s="201"/>
      <c r="JUS179" s="201"/>
      <c r="JUT179" s="201"/>
      <c r="JUU179" s="201"/>
      <c r="JUV179" s="201"/>
      <c r="JUW179" s="201"/>
      <c r="JUX179" s="201"/>
      <c r="JUY179" s="201"/>
      <c r="JUZ179" s="201"/>
      <c r="JVA179" s="201"/>
      <c r="JVB179" s="201"/>
      <c r="JVC179" s="201"/>
      <c r="JVD179" s="201"/>
      <c r="JVE179" s="201"/>
      <c r="JVF179" s="201"/>
      <c r="JVG179" s="201"/>
      <c r="JVH179" s="201"/>
      <c r="JVI179" s="201"/>
      <c r="JVJ179" s="201"/>
      <c r="JVK179" s="201"/>
      <c r="JVL179" s="201"/>
      <c r="JVM179" s="201"/>
      <c r="JVN179" s="201"/>
      <c r="JVO179" s="201"/>
      <c r="JVP179" s="201"/>
      <c r="JVQ179" s="201"/>
      <c r="JVR179" s="201"/>
      <c r="JVS179" s="201"/>
      <c r="JVT179" s="201"/>
      <c r="JVU179" s="201"/>
      <c r="JVV179" s="201"/>
      <c r="JVW179" s="201"/>
      <c r="JVX179" s="201"/>
      <c r="JVY179" s="201"/>
      <c r="JVZ179" s="201"/>
      <c r="JWA179" s="201"/>
      <c r="JWB179" s="201"/>
      <c r="JWC179" s="201"/>
      <c r="JWD179" s="201"/>
      <c r="JWE179" s="201"/>
      <c r="JWF179" s="201"/>
      <c r="JWG179" s="201"/>
      <c r="JWH179" s="201"/>
      <c r="JWI179" s="201"/>
      <c r="JWJ179" s="201"/>
      <c r="JWK179" s="201"/>
      <c r="JWL179" s="201"/>
      <c r="JWM179" s="201"/>
      <c r="JWN179" s="201"/>
      <c r="JWO179" s="201"/>
      <c r="JWP179" s="201"/>
      <c r="JWQ179" s="201"/>
      <c r="JWR179" s="201"/>
      <c r="JWS179" s="201"/>
      <c r="JWT179" s="201"/>
      <c r="JWU179" s="201"/>
      <c r="JWV179" s="201"/>
      <c r="JWW179" s="201"/>
      <c r="JWX179" s="201"/>
      <c r="JWY179" s="201"/>
      <c r="JWZ179" s="201"/>
      <c r="JXA179" s="201"/>
      <c r="JXB179" s="201"/>
      <c r="JXC179" s="201"/>
      <c r="JXD179" s="201"/>
      <c r="JXE179" s="201"/>
      <c r="JXF179" s="201"/>
      <c r="JXG179" s="201"/>
      <c r="JXH179" s="201"/>
      <c r="JXI179" s="201"/>
      <c r="JXJ179" s="201"/>
      <c r="JXK179" s="201"/>
      <c r="JXL179" s="201"/>
      <c r="JXM179" s="201"/>
      <c r="JXN179" s="201"/>
      <c r="JXO179" s="201"/>
      <c r="JXP179" s="201"/>
      <c r="JXQ179" s="201"/>
      <c r="JXR179" s="201"/>
      <c r="JXS179" s="201"/>
      <c r="JXT179" s="201"/>
      <c r="JXU179" s="201"/>
      <c r="JXV179" s="201"/>
      <c r="JXW179" s="201"/>
      <c r="JXX179" s="201"/>
      <c r="JXY179" s="201"/>
      <c r="JXZ179" s="201"/>
      <c r="JYA179" s="201"/>
      <c r="JYB179" s="201"/>
      <c r="JYC179" s="201"/>
      <c r="JYD179" s="201"/>
      <c r="JYE179" s="201"/>
      <c r="JYF179" s="201"/>
      <c r="JYG179" s="201"/>
      <c r="JYH179" s="201"/>
      <c r="JYI179" s="201"/>
      <c r="JYJ179" s="201"/>
      <c r="JYK179" s="201"/>
      <c r="JYL179" s="201"/>
      <c r="JYM179" s="201"/>
      <c r="JYN179" s="201"/>
      <c r="JYO179" s="201"/>
      <c r="JYP179" s="201"/>
      <c r="JYQ179" s="201"/>
      <c r="JYR179" s="201"/>
      <c r="JYS179" s="201"/>
      <c r="JYT179" s="201"/>
      <c r="JYU179" s="201"/>
      <c r="JYV179" s="201"/>
      <c r="JYW179" s="201"/>
      <c r="JYX179" s="201"/>
      <c r="JYY179" s="201"/>
      <c r="JYZ179" s="201"/>
      <c r="JZA179" s="201"/>
      <c r="JZB179" s="201"/>
      <c r="JZC179" s="201"/>
      <c r="JZD179" s="201"/>
      <c r="JZE179" s="201"/>
      <c r="JZF179" s="201"/>
      <c r="JZG179" s="201"/>
      <c r="JZH179" s="201"/>
      <c r="JZI179" s="201"/>
      <c r="JZJ179" s="201"/>
      <c r="JZK179" s="201"/>
      <c r="JZL179" s="201"/>
      <c r="JZM179" s="201"/>
      <c r="JZN179" s="201"/>
      <c r="JZO179" s="201"/>
      <c r="JZP179" s="201"/>
      <c r="JZQ179" s="201"/>
      <c r="JZR179" s="201"/>
      <c r="JZS179" s="201"/>
      <c r="JZT179" s="201"/>
      <c r="JZU179" s="201"/>
      <c r="JZV179" s="201"/>
      <c r="JZW179" s="201"/>
      <c r="JZX179" s="201"/>
      <c r="JZY179" s="201"/>
      <c r="JZZ179" s="201"/>
      <c r="KAA179" s="201"/>
      <c r="KAB179" s="201"/>
      <c r="KAC179" s="201"/>
      <c r="KAD179" s="201"/>
      <c r="KAE179" s="201"/>
      <c r="KAF179" s="201"/>
      <c r="KAG179" s="201"/>
      <c r="KAH179" s="201"/>
      <c r="KAI179" s="201"/>
      <c r="KAJ179" s="201"/>
      <c r="KAK179" s="201"/>
      <c r="KAL179" s="201"/>
      <c r="KAM179" s="201"/>
      <c r="KAN179" s="201"/>
      <c r="KAO179" s="201"/>
      <c r="KAP179" s="201"/>
      <c r="KAQ179" s="201"/>
      <c r="KAR179" s="201"/>
      <c r="KAS179" s="201"/>
      <c r="KAT179" s="201"/>
      <c r="KAU179" s="201"/>
      <c r="KAV179" s="201"/>
      <c r="KAW179" s="201"/>
      <c r="KAX179" s="201"/>
      <c r="KAY179" s="201"/>
      <c r="KAZ179" s="201"/>
      <c r="KBA179" s="201"/>
      <c r="KBB179" s="201"/>
      <c r="KBC179" s="201"/>
      <c r="KBD179" s="201"/>
      <c r="KBE179" s="201"/>
      <c r="KBF179" s="201"/>
      <c r="KBG179" s="201"/>
      <c r="KBH179" s="201"/>
      <c r="KBI179" s="201"/>
      <c r="KBJ179" s="201"/>
      <c r="KBK179" s="201"/>
      <c r="KBL179" s="201"/>
      <c r="KBM179" s="201"/>
      <c r="KBN179" s="201"/>
      <c r="KBO179" s="201"/>
      <c r="KBP179" s="201"/>
      <c r="KBQ179" s="201"/>
      <c r="KBR179" s="201"/>
      <c r="KBS179" s="201"/>
      <c r="KBT179" s="201"/>
      <c r="KBU179" s="201"/>
      <c r="KBV179" s="201"/>
      <c r="KBW179" s="201"/>
      <c r="KBX179" s="201"/>
      <c r="KBY179" s="201"/>
      <c r="KBZ179" s="201"/>
      <c r="KCA179" s="201"/>
      <c r="KCB179" s="201"/>
      <c r="KCC179" s="201"/>
      <c r="KCD179" s="201"/>
      <c r="KCE179" s="201"/>
      <c r="KCF179" s="201"/>
      <c r="KCG179" s="201"/>
      <c r="KCH179" s="201"/>
      <c r="KCI179" s="201"/>
      <c r="KCJ179" s="201"/>
      <c r="KCK179" s="201"/>
      <c r="KCL179" s="201"/>
      <c r="KCM179" s="201"/>
      <c r="KCN179" s="201"/>
      <c r="KCO179" s="201"/>
      <c r="KCP179" s="201"/>
      <c r="KCQ179" s="201"/>
      <c r="KCR179" s="201"/>
      <c r="KCS179" s="201"/>
      <c r="KCT179" s="201"/>
      <c r="KCU179" s="201"/>
      <c r="KCV179" s="201"/>
      <c r="KCW179" s="201"/>
      <c r="KCX179" s="201"/>
      <c r="KCY179" s="201"/>
      <c r="KCZ179" s="201"/>
      <c r="KDA179" s="201"/>
      <c r="KDB179" s="201"/>
      <c r="KDC179" s="201"/>
      <c r="KDD179" s="201"/>
      <c r="KDE179" s="201"/>
      <c r="KDF179" s="201"/>
      <c r="KDG179" s="201"/>
      <c r="KDH179" s="201"/>
      <c r="KDI179" s="201"/>
      <c r="KDJ179" s="201"/>
      <c r="KDK179" s="201"/>
      <c r="KDL179" s="201"/>
      <c r="KDM179" s="201"/>
      <c r="KDN179" s="201"/>
      <c r="KDO179" s="201"/>
      <c r="KDP179" s="201"/>
      <c r="KDQ179" s="201"/>
      <c r="KDR179" s="201"/>
      <c r="KDS179" s="201"/>
      <c r="KDT179" s="201"/>
      <c r="KDU179" s="201"/>
      <c r="KDV179" s="201"/>
      <c r="KDW179" s="201"/>
      <c r="KDX179" s="201"/>
      <c r="KDY179" s="201"/>
      <c r="KDZ179" s="201"/>
      <c r="KEA179" s="201"/>
      <c r="KEB179" s="201"/>
      <c r="KEC179" s="201"/>
      <c r="KED179" s="201"/>
      <c r="KEE179" s="201"/>
      <c r="KEF179" s="201"/>
      <c r="KEG179" s="201"/>
      <c r="KEH179" s="201"/>
      <c r="KEI179" s="201"/>
      <c r="KEJ179" s="201"/>
      <c r="KEK179" s="201"/>
      <c r="KEL179" s="201"/>
      <c r="KEM179" s="201"/>
      <c r="KEN179" s="201"/>
      <c r="KEO179" s="201"/>
      <c r="KEP179" s="201"/>
      <c r="KEQ179" s="201"/>
      <c r="KER179" s="201"/>
      <c r="KES179" s="201"/>
      <c r="KET179" s="201"/>
      <c r="KEU179" s="201"/>
      <c r="KEV179" s="201"/>
      <c r="KEW179" s="201"/>
      <c r="KEX179" s="201"/>
      <c r="KEY179" s="201"/>
      <c r="KEZ179" s="201"/>
      <c r="KFA179" s="201"/>
      <c r="KFB179" s="201"/>
      <c r="KFC179" s="201"/>
      <c r="KFD179" s="201"/>
      <c r="KFE179" s="201"/>
      <c r="KFF179" s="201"/>
      <c r="KFG179" s="201"/>
      <c r="KFH179" s="201"/>
      <c r="KFI179" s="201"/>
      <c r="KFJ179" s="201"/>
      <c r="KFK179" s="201"/>
      <c r="KFL179" s="201"/>
      <c r="KFM179" s="201"/>
      <c r="KFN179" s="201"/>
      <c r="KFO179" s="201"/>
      <c r="KFP179" s="201"/>
      <c r="KFQ179" s="201"/>
      <c r="KFR179" s="201"/>
      <c r="KFS179" s="201"/>
      <c r="KFT179" s="201"/>
      <c r="KFU179" s="201"/>
      <c r="KFV179" s="201"/>
      <c r="KFW179" s="201"/>
      <c r="KFX179" s="201"/>
      <c r="KFY179" s="201"/>
      <c r="KFZ179" s="201"/>
      <c r="KGA179" s="201"/>
      <c r="KGB179" s="201"/>
      <c r="KGC179" s="201"/>
      <c r="KGD179" s="201"/>
      <c r="KGE179" s="201"/>
      <c r="KGF179" s="201"/>
      <c r="KGG179" s="201"/>
      <c r="KGH179" s="201"/>
      <c r="KGI179" s="201"/>
      <c r="KGJ179" s="201"/>
      <c r="KGK179" s="201"/>
      <c r="KGL179" s="201"/>
      <c r="KGM179" s="201"/>
      <c r="KGN179" s="201"/>
      <c r="KGO179" s="201"/>
      <c r="KGP179" s="201"/>
      <c r="KGQ179" s="201"/>
      <c r="KGR179" s="201"/>
      <c r="KGS179" s="201"/>
      <c r="KGT179" s="201"/>
      <c r="KGU179" s="201"/>
      <c r="KGV179" s="201"/>
      <c r="KGW179" s="201"/>
      <c r="KGX179" s="201"/>
      <c r="KGY179" s="201"/>
      <c r="KGZ179" s="201"/>
      <c r="KHA179" s="201"/>
      <c r="KHB179" s="201"/>
      <c r="KHC179" s="201"/>
      <c r="KHD179" s="201"/>
      <c r="KHE179" s="201"/>
      <c r="KHF179" s="201"/>
      <c r="KHG179" s="201"/>
      <c r="KHH179" s="201"/>
      <c r="KHI179" s="201"/>
      <c r="KHJ179" s="201"/>
      <c r="KHK179" s="201"/>
      <c r="KHL179" s="201"/>
      <c r="KHM179" s="201"/>
      <c r="KHN179" s="201"/>
      <c r="KHO179" s="201"/>
      <c r="KHP179" s="201"/>
      <c r="KHQ179" s="201"/>
      <c r="KHR179" s="201"/>
      <c r="KHS179" s="201"/>
      <c r="KHT179" s="201"/>
      <c r="KHU179" s="201"/>
      <c r="KHV179" s="201"/>
      <c r="KHW179" s="201"/>
      <c r="KHX179" s="201"/>
      <c r="KHY179" s="201"/>
      <c r="KHZ179" s="201"/>
      <c r="KIA179" s="201"/>
      <c r="KIB179" s="201"/>
      <c r="KIC179" s="201"/>
      <c r="KID179" s="201"/>
      <c r="KIE179" s="201"/>
      <c r="KIF179" s="201"/>
      <c r="KIG179" s="201"/>
      <c r="KIH179" s="201"/>
      <c r="KII179" s="201"/>
      <c r="KIJ179" s="201"/>
      <c r="KIK179" s="201"/>
      <c r="KIL179" s="201"/>
      <c r="KIM179" s="201"/>
      <c r="KIN179" s="201"/>
      <c r="KIO179" s="201"/>
      <c r="KIP179" s="201"/>
      <c r="KIQ179" s="201"/>
      <c r="KIR179" s="201"/>
      <c r="KIS179" s="201"/>
      <c r="KIT179" s="201"/>
      <c r="KIU179" s="201"/>
      <c r="KIV179" s="201"/>
      <c r="KIW179" s="201"/>
      <c r="KIX179" s="201"/>
      <c r="KIY179" s="201"/>
      <c r="KIZ179" s="201"/>
      <c r="KJA179" s="201"/>
      <c r="KJB179" s="201"/>
      <c r="KJC179" s="201"/>
      <c r="KJD179" s="201"/>
      <c r="KJE179" s="201"/>
      <c r="KJF179" s="201"/>
      <c r="KJG179" s="201"/>
      <c r="KJH179" s="201"/>
      <c r="KJI179" s="201"/>
      <c r="KJJ179" s="201"/>
      <c r="KJK179" s="201"/>
      <c r="KJL179" s="201"/>
      <c r="KJM179" s="201"/>
      <c r="KJN179" s="201"/>
      <c r="KJO179" s="201"/>
      <c r="KJP179" s="201"/>
      <c r="KJQ179" s="201"/>
      <c r="KJR179" s="201"/>
      <c r="KJS179" s="201"/>
      <c r="KJT179" s="201"/>
      <c r="KJU179" s="201"/>
      <c r="KJV179" s="201"/>
      <c r="KJW179" s="201"/>
      <c r="KJX179" s="201"/>
      <c r="KJY179" s="201"/>
      <c r="KJZ179" s="201"/>
      <c r="KKA179" s="201"/>
      <c r="KKB179" s="201"/>
      <c r="KKC179" s="201"/>
      <c r="KKD179" s="201"/>
      <c r="KKE179" s="201"/>
      <c r="KKF179" s="201"/>
      <c r="KKG179" s="201"/>
      <c r="KKH179" s="201"/>
      <c r="KKI179" s="201"/>
      <c r="KKJ179" s="201"/>
      <c r="KKK179" s="201"/>
      <c r="KKL179" s="201"/>
      <c r="KKM179" s="201"/>
      <c r="KKN179" s="201"/>
      <c r="KKO179" s="201"/>
      <c r="KKP179" s="201"/>
      <c r="KKQ179" s="201"/>
      <c r="KKR179" s="201"/>
      <c r="KKS179" s="201"/>
      <c r="KKT179" s="201"/>
      <c r="KKU179" s="201"/>
      <c r="KKV179" s="201"/>
      <c r="KKW179" s="201"/>
      <c r="KKX179" s="201"/>
      <c r="KKY179" s="201"/>
      <c r="KKZ179" s="201"/>
      <c r="KLA179" s="201"/>
      <c r="KLB179" s="201"/>
      <c r="KLC179" s="201"/>
      <c r="KLD179" s="201"/>
      <c r="KLE179" s="201"/>
      <c r="KLF179" s="201"/>
      <c r="KLG179" s="201"/>
      <c r="KLH179" s="201"/>
      <c r="KLI179" s="201"/>
      <c r="KLJ179" s="201"/>
      <c r="KLK179" s="201"/>
      <c r="KLL179" s="201"/>
      <c r="KLM179" s="201"/>
      <c r="KLN179" s="201"/>
      <c r="KLO179" s="201"/>
      <c r="KLP179" s="201"/>
      <c r="KLQ179" s="201"/>
      <c r="KLR179" s="201"/>
      <c r="KLS179" s="201"/>
      <c r="KLT179" s="201"/>
      <c r="KLU179" s="201"/>
      <c r="KLV179" s="201"/>
      <c r="KLW179" s="201"/>
      <c r="KLX179" s="201"/>
      <c r="KLY179" s="201"/>
      <c r="KLZ179" s="201"/>
      <c r="KMA179" s="201"/>
      <c r="KMB179" s="201"/>
      <c r="KMC179" s="201"/>
      <c r="KMD179" s="201"/>
      <c r="KME179" s="201"/>
      <c r="KMF179" s="201"/>
      <c r="KMG179" s="201"/>
      <c r="KMH179" s="201"/>
      <c r="KMI179" s="201"/>
      <c r="KMJ179" s="201"/>
      <c r="KMK179" s="201"/>
      <c r="KML179" s="201"/>
      <c r="KMM179" s="201"/>
      <c r="KMN179" s="201"/>
      <c r="KMO179" s="201"/>
      <c r="KMP179" s="201"/>
      <c r="KMQ179" s="201"/>
      <c r="KMR179" s="201"/>
      <c r="KMS179" s="201"/>
      <c r="KMT179" s="201"/>
      <c r="KMU179" s="201"/>
      <c r="KMV179" s="201"/>
      <c r="KMW179" s="201"/>
      <c r="KMX179" s="201"/>
      <c r="KMY179" s="201"/>
      <c r="KMZ179" s="201"/>
      <c r="KNA179" s="201"/>
      <c r="KNB179" s="201"/>
      <c r="KNC179" s="201"/>
      <c r="KND179" s="201"/>
      <c r="KNE179" s="201"/>
      <c r="KNF179" s="201"/>
      <c r="KNG179" s="201"/>
      <c r="KNH179" s="201"/>
      <c r="KNI179" s="201"/>
      <c r="KNJ179" s="201"/>
      <c r="KNK179" s="201"/>
      <c r="KNL179" s="201"/>
      <c r="KNM179" s="201"/>
      <c r="KNN179" s="201"/>
      <c r="KNO179" s="201"/>
      <c r="KNP179" s="201"/>
      <c r="KNQ179" s="201"/>
      <c r="KNR179" s="201"/>
      <c r="KNS179" s="201"/>
      <c r="KNT179" s="201"/>
      <c r="KNU179" s="201"/>
      <c r="KNV179" s="201"/>
      <c r="KNW179" s="201"/>
      <c r="KNX179" s="201"/>
      <c r="KNY179" s="201"/>
      <c r="KNZ179" s="201"/>
      <c r="KOA179" s="201"/>
      <c r="KOB179" s="201"/>
      <c r="KOC179" s="201"/>
      <c r="KOD179" s="201"/>
      <c r="KOE179" s="201"/>
      <c r="KOF179" s="201"/>
      <c r="KOG179" s="201"/>
      <c r="KOH179" s="201"/>
      <c r="KOI179" s="201"/>
      <c r="KOJ179" s="201"/>
      <c r="KOK179" s="201"/>
      <c r="KOL179" s="201"/>
      <c r="KOM179" s="201"/>
      <c r="KON179" s="201"/>
      <c r="KOO179" s="201"/>
      <c r="KOP179" s="201"/>
      <c r="KOQ179" s="201"/>
      <c r="KOR179" s="201"/>
      <c r="KOS179" s="201"/>
      <c r="KOT179" s="201"/>
      <c r="KOU179" s="201"/>
      <c r="KOV179" s="201"/>
      <c r="KOW179" s="201"/>
      <c r="KOX179" s="201"/>
      <c r="KOY179" s="201"/>
      <c r="KOZ179" s="201"/>
      <c r="KPA179" s="201"/>
      <c r="KPB179" s="201"/>
      <c r="KPC179" s="201"/>
      <c r="KPD179" s="201"/>
      <c r="KPE179" s="201"/>
      <c r="KPF179" s="201"/>
      <c r="KPG179" s="201"/>
      <c r="KPH179" s="201"/>
      <c r="KPI179" s="201"/>
      <c r="KPJ179" s="201"/>
      <c r="KPK179" s="201"/>
      <c r="KPL179" s="201"/>
      <c r="KPM179" s="201"/>
      <c r="KPN179" s="201"/>
      <c r="KPO179" s="201"/>
      <c r="KPP179" s="201"/>
      <c r="KPQ179" s="201"/>
      <c r="KPR179" s="201"/>
      <c r="KPS179" s="201"/>
      <c r="KPT179" s="201"/>
      <c r="KPU179" s="201"/>
      <c r="KPV179" s="201"/>
      <c r="KPW179" s="201"/>
      <c r="KPX179" s="201"/>
      <c r="KPY179" s="201"/>
      <c r="KPZ179" s="201"/>
      <c r="KQA179" s="201"/>
      <c r="KQB179" s="201"/>
      <c r="KQC179" s="201"/>
      <c r="KQD179" s="201"/>
      <c r="KQE179" s="201"/>
      <c r="KQF179" s="201"/>
      <c r="KQG179" s="201"/>
      <c r="KQH179" s="201"/>
      <c r="KQI179" s="201"/>
      <c r="KQJ179" s="201"/>
      <c r="KQK179" s="201"/>
      <c r="KQL179" s="201"/>
      <c r="KQM179" s="201"/>
      <c r="KQN179" s="201"/>
      <c r="KQO179" s="201"/>
      <c r="KQP179" s="201"/>
      <c r="KQQ179" s="201"/>
      <c r="KQR179" s="201"/>
      <c r="KQS179" s="201"/>
      <c r="KQT179" s="201"/>
      <c r="KQU179" s="201"/>
      <c r="KQV179" s="201"/>
      <c r="KQW179" s="201"/>
      <c r="KQX179" s="201"/>
      <c r="KQY179" s="201"/>
      <c r="KQZ179" s="201"/>
      <c r="KRA179" s="201"/>
      <c r="KRB179" s="201"/>
      <c r="KRC179" s="201"/>
      <c r="KRD179" s="201"/>
      <c r="KRE179" s="201"/>
      <c r="KRF179" s="201"/>
      <c r="KRG179" s="201"/>
      <c r="KRH179" s="201"/>
      <c r="KRI179" s="201"/>
      <c r="KRJ179" s="201"/>
      <c r="KRK179" s="201"/>
      <c r="KRL179" s="201"/>
      <c r="KRM179" s="201"/>
      <c r="KRN179" s="201"/>
      <c r="KRO179" s="201"/>
      <c r="KRP179" s="201"/>
      <c r="KRQ179" s="201"/>
      <c r="KRR179" s="201"/>
      <c r="KRS179" s="201"/>
      <c r="KRT179" s="201"/>
      <c r="KRU179" s="201"/>
      <c r="KRV179" s="201"/>
      <c r="KRW179" s="201"/>
      <c r="KRX179" s="201"/>
      <c r="KRY179" s="201"/>
      <c r="KRZ179" s="201"/>
      <c r="KSA179" s="201"/>
      <c r="KSB179" s="201"/>
      <c r="KSC179" s="201"/>
      <c r="KSD179" s="201"/>
      <c r="KSE179" s="201"/>
      <c r="KSF179" s="201"/>
      <c r="KSG179" s="201"/>
      <c r="KSH179" s="201"/>
      <c r="KSI179" s="201"/>
      <c r="KSJ179" s="201"/>
      <c r="KSK179" s="201"/>
      <c r="KSL179" s="201"/>
      <c r="KSM179" s="201"/>
      <c r="KSN179" s="201"/>
      <c r="KSO179" s="201"/>
      <c r="KSP179" s="201"/>
      <c r="KSQ179" s="201"/>
      <c r="KSR179" s="201"/>
      <c r="KSS179" s="201"/>
      <c r="KST179" s="201"/>
      <c r="KSU179" s="201"/>
      <c r="KSV179" s="201"/>
      <c r="KSW179" s="201"/>
      <c r="KSX179" s="201"/>
      <c r="KSY179" s="201"/>
      <c r="KSZ179" s="201"/>
      <c r="KTA179" s="201"/>
      <c r="KTB179" s="201"/>
      <c r="KTC179" s="201"/>
      <c r="KTD179" s="201"/>
      <c r="KTE179" s="201"/>
      <c r="KTF179" s="201"/>
      <c r="KTG179" s="201"/>
      <c r="KTH179" s="201"/>
      <c r="KTI179" s="201"/>
      <c r="KTJ179" s="201"/>
      <c r="KTK179" s="201"/>
      <c r="KTL179" s="201"/>
      <c r="KTM179" s="201"/>
      <c r="KTN179" s="201"/>
      <c r="KTO179" s="201"/>
      <c r="KTP179" s="201"/>
      <c r="KTQ179" s="201"/>
      <c r="KTR179" s="201"/>
      <c r="KTS179" s="201"/>
      <c r="KTT179" s="201"/>
      <c r="KTU179" s="201"/>
      <c r="KTV179" s="201"/>
      <c r="KTW179" s="201"/>
      <c r="KTX179" s="201"/>
      <c r="KTY179" s="201"/>
      <c r="KTZ179" s="201"/>
      <c r="KUA179" s="201"/>
      <c r="KUB179" s="201"/>
      <c r="KUC179" s="201"/>
      <c r="KUD179" s="201"/>
      <c r="KUE179" s="201"/>
      <c r="KUF179" s="201"/>
      <c r="KUG179" s="201"/>
      <c r="KUH179" s="201"/>
      <c r="KUI179" s="201"/>
      <c r="KUJ179" s="201"/>
      <c r="KUK179" s="201"/>
      <c r="KUL179" s="201"/>
      <c r="KUM179" s="201"/>
      <c r="KUN179" s="201"/>
      <c r="KUO179" s="201"/>
      <c r="KUP179" s="201"/>
      <c r="KUQ179" s="201"/>
      <c r="KUR179" s="201"/>
      <c r="KUS179" s="201"/>
      <c r="KUT179" s="201"/>
      <c r="KUU179" s="201"/>
      <c r="KUV179" s="201"/>
      <c r="KUW179" s="201"/>
      <c r="KUX179" s="201"/>
      <c r="KUY179" s="201"/>
      <c r="KUZ179" s="201"/>
      <c r="KVA179" s="201"/>
      <c r="KVB179" s="201"/>
      <c r="KVC179" s="201"/>
      <c r="KVD179" s="201"/>
      <c r="KVE179" s="201"/>
      <c r="KVF179" s="201"/>
      <c r="KVG179" s="201"/>
      <c r="KVH179" s="201"/>
      <c r="KVI179" s="201"/>
      <c r="KVJ179" s="201"/>
      <c r="KVK179" s="201"/>
      <c r="KVL179" s="201"/>
      <c r="KVM179" s="201"/>
      <c r="KVN179" s="201"/>
      <c r="KVO179" s="201"/>
      <c r="KVP179" s="201"/>
      <c r="KVQ179" s="201"/>
      <c r="KVR179" s="201"/>
      <c r="KVS179" s="201"/>
      <c r="KVT179" s="201"/>
      <c r="KVU179" s="201"/>
      <c r="KVV179" s="201"/>
      <c r="KVW179" s="201"/>
      <c r="KVX179" s="201"/>
      <c r="KVY179" s="201"/>
      <c r="KVZ179" s="201"/>
      <c r="KWA179" s="201"/>
      <c r="KWB179" s="201"/>
      <c r="KWC179" s="201"/>
      <c r="KWD179" s="201"/>
      <c r="KWE179" s="201"/>
      <c r="KWF179" s="201"/>
      <c r="KWG179" s="201"/>
      <c r="KWH179" s="201"/>
      <c r="KWI179" s="201"/>
      <c r="KWJ179" s="201"/>
      <c r="KWK179" s="201"/>
      <c r="KWL179" s="201"/>
      <c r="KWM179" s="201"/>
      <c r="KWN179" s="201"/>
      <c r="KWO179" s="201"/>
      <c r="KWP179" s="201"/>
      <c r="KWQ179" s="201"/>
      <c r="KWR179" s="201"/>
      <c r="KWS179" s="201"/>
      <c r="KWT179" s="201"/>
      <c r="KWU179" s="201"/>
      <c r="KWV179" s="201"/>
      <c r="KWW179" s="201"/>
      <c r="KWX179" s="201"/>
      <c r="KWY179" s="201"/>
      <c r="KWZ179" s="201"/>
      <c r="KXA179" s="201"/>
      <c r="KXB179" s="201"/>
      <c r="KXC179" s="201"/>
      <c r="KXD179" s="201"/>
      <c r="KXE179" s="201"/>
      <c r="KXF179" s="201"/>
      <c r="KXG179" s="201"/>
      <c r="KXH179" s="201"/>
      <c r="KXI179" s="201"/>
      <c r="KXJ179" s="201"/>
      <c r="KXK179" s="201"/>
      <c r="KXL179" s="201"/>
      <c r="KXM179" s="201"/>
      <c r="KXN179" s="201"/>
      <c r="KXO179" s="201"/>
      <c r="KXP179" s="201"/>
      <c r="KXQ179" s="201"/>
      <c r="KXR179" s="201"/>
      <c r="KXS179" s="201"/>
      <c r="KXT179" s="201"/>
      <c r="KXU179" s="201"/>
      <c r="KXV179" s="201"/>
      <c r="KXW179" s="201"/>
      <c r="KXX179" s="201"/>
      <c r="KXY179" s="201"/>
      <c r="KXZ179" s="201"/>
      <c r="KYA179" s="201"/>
      <c r="KYB179" s="201"/>
      <c r="KYC179" s="201"/>
      <c r="KYD179" s="201"/>
      <c r="KYE179" s="201"/>
      <c r="KYF179" s="201"/>
      <c r="KYG179" s="201"/>
      <c r="KYH179" s="201"/>
      <c r="KYI179" s="201"/>
      <c r="KYJ179" s="201"/>
      <c r="KYK179" s="201"/>
      <c r="KYL179" s="201"/>
      <c r="KYM179" s="201"/>
      <c r="KYN179" s="201"/>
      <c r="KYO179" s="201"/>
      <c r="KYP179" s="201"/>
      <c r="KYQ179" s="201"/>
      <c r="KYR179" s="201"/>
      <c r="KYS179" s="201"/>
      <c r="KYT179" s="201"/>
      <c r="KYU179" s="201"/>
      <c r="KYV179" s="201"/>
      <c r="KYW179" s="201"/>
      <c r="KYX179" s="201"/>
      <c r="KYY179" s="201"/>
      <c r="KYZ179" s="201"/>
      <c r="KZA179" s="201"/>
      <c r="KZB179" s="201"/>
      <c r="KZC179" s="201"/>
      <c r="KZD179" s="201"/>
      <c r="KZE179" s="201"/>
      <c r="KZF179" s="201"/>
      <c r="KZG179" s="201"/>
      <c r="KZH179" s="201"/>
      <c r="KZI179" s="201"/>
      <c r="KZJ179" s="201"/>
      <c r="KZK179" s="201"/>
      <c r="KZL179" s="201"/>
      <c r="KZM179" s="201"/>
      <c r="KZN179" s="201"/>
      <c r="KZO179" s="201"/>
      <c r="KZP179" s="201"/>
      <c r="KZQ179" s="201"/>
      <c r="KZR179" s="201"/>
      <c r="KZS179" s="201"/>
      <c r="KZT179" s="201"/>
      <c r="KZU179" s="201"/>
      <c r="KZV179" s="201"/>
      <c r="KZW179" s="201"/>
      <c r="KZX179" s="201"/>
      <c r="KZY179" s="201"/>
      <c r="KZZ179" s="201"/>
      <c r="LAA179" s="201"/>
      <c r="LAB179" s="201"/>
      <c r="LAC179" s="201"/>
      <c r="LAD179" s="201"/>
      <c r="LAE179" s="201"/>
      <c r="LAF179" s="201"/>
      <c r="LAG179" s="201"/>
      <c r="LAH179" s="201"/>
      <c r="LAI179" s="201"/>
      <c r="LAJ179" s="201"/>
      <c r="LAK179" s="201"/>
      <c r="LAL179" s="201"/>
      <c r="LAM179" s="201"/>
      <c r="LAN179" s="201"/>
      <c r="LAO179" s="201"/>
      <c r="LAP179" s="201"/>
      <c r="LAQ179" s="201"/>
      <c r="LAR179" s="201"/>
      <c r="LAS179" s="201"/>
      <c r="LAT179" s="201"/>
      <c r="LAU179" s="201"/>
      <c r="LAV179" s="201"/>
      <c r="LAW179" s="201"/>
      <c r="LAX179" s="201"/>
      <c r="LAY179" s="201"/>
      <c r="LAZ179" s="201"/>
      <c r="LBA179" s="201"/>
      <c r="LBB179" s="201"/>
      <c r="LBC179" s="201"/>
      <c r="LBD179" s="201"/>
      <c r="LBE179" s="201"/>
      <c r="LBF179" s="201"/>
      <c r="LBG179" s="201"/>
      <c r="LBH179" s="201"/>
      <c r="LBI179" s="201"/>
      <c r="LBJ179" s="201"/>
      <c r="LBK179" s="201"/>
      <c r="LBL179" s="201"/>
      <c r="LBM179" s="201"/>
      <c r="LBN179" s="201"/>
      <c r="LBO179" s="201"/>
      <c r="LBP179" s="201"/>
      <c r="LBQ179" s="201"/>
      <c r="LBR179" s="201"/>
      <c r="LBS179" s="201"/>
      <c r="LBT179" s="201"/>
      <c r="LBU179" s="201"/>
      <c r="LBV179" s="201"/>
      <c r="LBW179" s="201"/>
      <c r="LBX179" s="201"/>
      <c r="LBY179" s="201"/>
      <c r="LBZ179" s="201"/>
      <c r="LCA179" s="201"/>
      <c r="LCB179" s="201"/>
      <c r="LCC179" s="201"/>
      <c r="LCD179" s="201"/>
      <c r="LCE179" s="201"/>
      <c r="LCF179" s="201"/>
      <c r="LCG179" s="201"/>
      <c r="LCH179" s="201"/>
      <c r="LCI179" s="201"/>
      <c r="LCJ179" s="201"/>
      <c r="LCK179" s="201"/>
      <c r="LCL179" s="201"/>
      <c r="LCM179" s="201"/>
      <c r="LCN179" s="201"/>
      <c r="LCO179" s="201"/>
      <c r="LCP179" s="201"/>
      <c r="LCQ179" s="201"/>
      <c r="LCR179" s="201"/>
      <c r="LCS179" s="201"/>
      <c r="LCT179" s="201"/>
      <c r="LCU179" s="201"/>
      <c r="LCV179" s="201"/>
      <c r="LCW179" s="201"/>
      <c r="LCX179" s="201"/>
      <c r="LCY179" s="201"/>
      <c r="LCZ179" s="201"/>
      <c r="LDA179" s="201"/>
      <c r="LDB179" s="201"/>
      <c r="LDC179" s="201"/>
      <c r="LDD179" s="201"/>
      <c r="LDE179" s="201"/>
      <c r="LDF179" s="201"/>
      <c r="LDG179" s="201"/>
      <c r="LDH179" s="201"/>
      <c r="LDI179" s="201"/>
      <c r="LDJ179" s="201"/>
      <c r="LDK179" s="201"/>
      <c r="LDL179" s="201"/>
      <c r="LDM179" s="201"/>
      <c r="LDN179" s="201"/>
      <c r="LDO179" s="201"/>
      <c r="LDP179" s="201"/>
      <c r="LDQ179" s="201"/>
      <c r="LDR179" s="201"/>
      <c r="LDS179" s="201"/>
      <c r="LDT179" s="201"/>
      <c r="LDU179" s="201"/>
      <c r="LDV179" s="201"/>
      <c r="LDW179" s="201"/>
      <c r="LDX179" s="201"/>
      <c r="LDY179" s="201"/>
      <c r="LDZ179" s="201"/>
      <c r="LEA179" s="201"/>
      <c r="LEB179" s="201"/>
      <c r="LEC179" s="201"/>
      <c r="LED179" s="201"/>
      <c r="LEE179" s="201"/>
      <c r="LEF179" s="201"/>
      <c r="LEG179" s="201"/>
      <c r="LEH179" s="201"/>
      <c r="LEI179" s="201"/>
      <c r="LEJ179" s="201"/>
      <c r="LEK179" s="201"/>
      <c r="LEL179" s="201"/>
      <c r="LEM179" s="201"/>
      <c r="LEN179" s="201"/>
      <c r="LEO179" s="201"/>
      <c r="LEP179" s="201"/>
      <c r="LEQ179" s="201"/>
      <c r="LER179" s="201"/>
      <c r="LES179" s="201"/>
      <c r="LET179" s="201"/>
      <c r="LEU179" s="201"/>
      <c r="LEV179" s="201"/>
      <c r="LEW179" s="201"/>
      <c r="LEX179" s="201"/>
      <c r="LEY179" s="201"/>
      <c r="LEZ179" s="201"/>
      <c r="LFA179" s="201"/>
      <c r="LFB179" s="201"/>
      <c r="LFC179" s="201"/>
      <c r="LFD179" s="201"/>
      <c r="LFE179" s="201"/>
      <c r="LFF179" s="201"/>
      <c r="LFG179" s="201"/>
      <c r="LFH179" s="201"/>
      <c r="LFI179" s="201"/>
      <c r="LFJ179" s="201"/>
      <c r="LFK179" s="201"/>
      <c r="LFL179" s="201"/>
      <c r="LFM179" s="201"/>
      <c r="LFN179" s="201"/>
      <c r="LFO179" s="201"/>
      <c r="LFP179" s="201"/>
      <c r="LFQ179" s="201"/>
      <c r="LFR179" s="201"/>
      <c r="LFS179" s="201"/>
      <c r="LFT179" s="201"/>
      <c r="LFU179" s="201"/>
      <c r="LFV179" s="201"/>
      <c r="LFW179" s="201"/>
      <c r="LFX179" s="201"/>
      <c r="LFY179" s="201"/>
      <c r="LFZ179" s="201"/>
      <c r="LGA179" s="201"/>
      <c r="LGB179" s="201"/>
      <c r="LGC179" s="201"/>
      <c r="LGD179" s="201"/>
      <c r="LGE179" s="201"/>
      <c r="LGF179" s="201"/>
      <c r="LGG179" s="201"/>
      <c r="LGH179" s="201"/>
      <c r="LGI179" s="201"/>
      <c r="LGJ179" s="201"/>
      <c r="LGK179" s="201"/>
      <c r="LGL179" s="201"/>
      <c r="LGM179" s="201"/>
      <c r="LGN179" s="201"/>
      <c r="LGO179" s="201"/>
      <c r="LGP179" s="201"/>
      <c r="LGQ179" s="201"/>
      <c r="LGR179" s="201"/>
      <c r="LGS179" s="201"/>
      <c r="LGT179" s="201"/>
      <c r="LGU179" s="201"/>
      <c r="LGV179" s="201"/>
      <c r="LGW179" s="201"/>
      <c r="LGX179" s="201"/>
      <c r="LGY179" s="201"/>
      <c r="LGZ179" s="201"/>
      <c r="LHA179" s="201"/>
      <c r="LHB179" s="201"/>
      <c r="LHC179" s="201"/>
      <c r="LHD179" s="201"/>
      <c r="LHE179" s="201"/>
      <c r="LHF179" s="201"/>
      <c r="LHG179" s="201"/>
      <c r="LHH179" s="201"/>
      <c r="LHI179" s="201"/>
      <c r="LHJ179" s="201"/>
      <c r="LHK179" s="201"/>
      <c r="LHL179" s="201"/>
      <c r="LHM179" s="201"/>
      <c r="LHN179" s="201"/>
      <c r="LHO179" s="201"/>
      <c r="LHP179" s="201"/>
      <c r="LHQ179" s="201"/>
      <c r="LHR179" s="201"/>
      <c r="LHS179" s="201"/>
      <c r="LHT179" s="201"/>
      <c r="LHU179" s="201"/>
      <c r="LHV179" s="201"/>
      <c r="LHW179" s="201"/>
      <c r="LHX179" s="201"/>
      <c r="LHY179" s="201"/>
      <c r="LHZ179" s="201"/>
      <c r="LIA179" s="201"/>
      <c r="LIB179" s="201"/>
      <c r="LIC179" s="201"/>
      <c r="LID179" s="201"/>
      <c r="LIE179" s="201"/>
      <c r="LIF179" s="201"/>
      <c r="LIG179" s="201"/>
      <c r="LIH179" s="201"/>
      <c r="LII179" s="201"/>
      <c r="LIJ179" s="201"/>
      <c r="LIK179" s="201"/>
      <c r="LIL179" s="201"/>
      <c r="LIM179" s="201"/>
      <c r="LIN179" s="201"/>
      <c r="LIO179" s="201"/>
      <c r="LIP179" s="201"/>
      <c r="LIQ179" s="201"/>
      <c r="LIR179" s="201"/>
      <c r="LIS179" s="201"/>
      <c r="LIT179" s="201"/>
      <c r="LIU179" s="201"/>
      <c r="LIV179" s="201"/>
      <c r="LIW179" s="201"/>
      <c r="LIX179" s="201"/>
      <c r="LIY179" s="201"/>
      <c r="LIZ179" s="201"/>
      <c r="LJA179" s="201"/>
      <c r="LJB179" s="201"/>
      <c r="LJC179" s="201"/>
      <c r="LJD179" s="201"/>
      <c r="LJE179" s="201"/>
      <c r="LJF179" s="201"/>
      <c r="LJG179" s="201"/>
      <c r="LJH179" s="201"/>
      <c r="LJI179" s="201"/>
      <c r="LJJ179" s="201"/>
      <c r="LJK179" s="201"/>
      <c r="LJL179" s="201"/>
      <c r="LJM179" s="201"/>
      <c r="LJN179" s="201"/>
      <c r="LJO179" s="201"/>
      <c r="LJP179" s="201"/>
      <c r="LJQ179" s="201"/>
      <c r="LJR179" s="201"/>
      <c r="LJS179" s="201"/>
      <c r="LJT179" s="201"/>
      <c r="LJU179" s="201"/>
      <c r="LJV179" s="201"/>
      <c r="LJW179" s="201"/>
      <c r="LJX179" s="201"/>
      <c r="LJY179" s="201"/>
      <c r="LJZ179" s="201"/>
      <c r="LKA179" s="201"/>
      <c r="LKB179" s="201"/>
      <c r="LKC179" s="201"/>
      <c r="LKD179" s="201"/>
      <c r="LKE179" s="201"/>
      <c r="LKF179" s="201"/>
      <c r="LKG179" s="201"/>
      <c r="LKH179" s="201"/>
      <c r="LKI179" s="201"/>
      <c r="LKJ179" s="201"/>
      <c r="LKK179" s="201"/>
      <c r="LKL179" s="201"/>
      <c r="LKM179" s="201"/>
      <c r="LKN179" s="201"/>
      <c r="LKO179" s="201"/>
      <c r="LKP179" s="201"/>
      <c r="LKQ179" s="201"/>
      <c r="LKR179" s="201"/>
      <c r="LKS179" s="201"/>
      <c r="LKT179" s="201"/>
      <c r="LKU179" s="201"/>
      <c r="LKV179" s="201"/>
      <c r="LKW179" s="201"/>
      <c r="LKX179" s="201"/>
      <c r="LKY179" s="201"/>
      <c r="LKZ179" s="201"/>
      <c r="LLA179" s="201"/>
      <c r="LLB179" s="201"/>
      <c r="LLC179" s="201"/>
      <c r="LLD179" s="201"/>
      <c r="LLE179" s="201"/>
      <c r="LLF179" s="201"/>
      <c r="LLG179" s="201"/>
      <c r="LLH179" s="201"/>
      <c r="LLI179" s="201"/>
      <c r="LLJ179" s="201"/>
      <c r="LLK179" s="201"/>
      <c r="LLL179" s="201"/>
      <c r="LLM179" s="201"/>
      <c r="LLN179" s="201"/>
      <c r="LLO179" s="201"/>
      <c r="LLP179" s="201"/>
      <c r="LLQ179" s="201"/>
      <c r="LLR179" s="201"/>
      <c r="LLS179" s="201"/>
      <c r="LLT179" s="201"/>
      <c r="LLU179" s="201"/>
      <c r="LLV179" s="201"/>
      <c r="LLW179" s="201"/>
      <c r="LLX179" s="201"/>
      <c r="LLY179" s="201"/>
      <c r="LLZ179" s="201"/>
      <c r="LMA179" s="201"/>
      <c r="LMB179" s="201"/>
      <c r="LMC179" s="201"/>
      <c r="LMD179" s="201"/>
      <c r="LME179" s="201"/>
      <c r="LMF179" s="201"/>
      <c r="LMG179" s="201"/>
      <c r="LMH179" s="201"/>
      <c r="LMI179" s="201"/>
      <c r="LMJ179" s="201"/>
      <c r="LMK179" s="201"/>
      <c r="LML179" s="201"/>
      <c r="LMM179" s="201"/>
      <c r="LMN179" s="201"/>
      <c r="LMO179" s="201"/>
      <c r="LMP179" s="201"/>
      <c r="LMQ179" s="201"/>
      <c r="LMR179" s="201"/>
      <c r="LMS179" s="201"/>
      <c r="LMT179" s="201"/>
      <c r="LMU179" s="201"/>
      <c r="LMV179" s="201"/>
      <c r="LMW179" s="201"/>
      <c r="LMX179" s="201"/>
      <c r="LMY179" s="201"/>
      <c r="LMZ179" s="201"/>
      <c r="LNA179" s="201"/>
      <c r="LNB179" s="201"/>
      <c r="LNC179" s="201"/>
      <c r="LND179" s="201"/>
      <c r="LNE179" s="201"/>
      <c r="LNF179" s="201"/>
      <c r="LNG179" s="201"/>
      <c r="LNH179" s="201"/>
      <c r="LNI179" s="201"/>
      <c r="LNJ179" s="201"/>
      <c r="LNK179" s="201"/>
      <c r="LNL179" s="201"/>
      <c r="LNM179" s="201"/>
      <c r="LNN179" s="201"/>
      <c r="LNO179" s="201"/>
      <c r="LNP179" s="201"/>
      <c r="LNQ179" s="201"/>
      <c r="LNR179" s="201"/>
      <c r="LNS179" s="201"/>
      <c r="LNT179" s="201"/>
      <c r="LNU179" s="201"/>
      <c r="LNV179" s="201"/>
      <c r="LNW179" s="201"/>
      <c r="LNX179" s="201"/>
      <c r="LNY179" s="201"/>
      <c r="LNZ179" s="201"/>
      <c r="LOA179" s="201"/>
      <c r="LOB179" s="201"/>
      <c r="LOC179" s="201"/>
      <c r="LOD179" s="201"/>
      <c r="LOE179" s="201"/>
      <c r="LOF179" s="201"/>
      <c r="LOG179" s="201"/>
      <c r="LOH179" s="201"/>
      <c r="LOI179" s="201"/>
      <c r="LOJ179" s="201"/>
      <c r="LOK179" s="201"/>
      <c r="LOL179" s="201"/>
      <c r="LOM179" s="201"/>
      <c r="LON179" s="201"/>
      <c r="LOO179" s="201"/>
      <c r="LOP179" s="201"/>
      <c r="LOQ179" s="201"/>
      <c r="LOR179" s="201"/>
      <c r="LOS179" s="201"/>
      <c r="LOT179" s="201"/>
      <c r="LOU179" s="201"/>
      <c r="LOV179" s="201"/>
      <c r="LOW179" s="201"/>
      <c r="LOX179" s="201"/>
      <c r="LOY179" s="201"/>
      <c r="LOZ179" s="201"/>
      <c r="LPA179" s="201"/>
      <c r="LPB179" s="201"/>
      <c r="LPC179" s="201"/>
      <c r="LPD179" s="201"/>
      <c r="LPE179" s="201"/>
      <c r="LPF179" s="201"/>
      <c r="LPG179" s="201"/>
      <c r="LPH179" s="201"/>
      <c r="LPI179" s="201"/>
      <c r="LPJ179" s="201"/>
      <c r="LPK179" s="201"/>
      <c r="LPL179" s="201"/>
      <c r="LPM179" s="201"/>
      <c r="LPN179" s="201"/>
      <c r="LPO179" s="201"/>
      <c r="LPP179" s="201"/>
      <c r="LPQ179" s="201"/>
      <c r="LPR179" s="201"/>
      <c r="LPS179" s="201"/>
      <c r="LPT179" s="201"/>
      <c r="LPU179" s="201"/>
      <c r="LPV179" s="201"/>
      <c r="LPW179" s="201"/>
      <c r="LPX179" s="201"/>
      <c r="LPY179" s="201"/>
      <c r="LPZ179" s="201"/>
      <c r="LQA179" s="201"/>
      <c r="LQB179" s="201"/>
      <c r="LQC179" s="201"/>
      <c r="LQD179" s="201"/>
      <c r="LQE179" s="201"/>
      <c r="LQF179" s="201"/>
      <c r="LQG179" s="201"/>
      <c r="LQH179" s="201"/>
      <c r="LQI179" s="201"/>
      <c r="LQJ179" s="201"/>
      <c r="LQK179" s="201"/>
      <c r="LQL179" s="201"/>
      <c r="LQM179" s="201"/>
      <c r="LQN179" s="201"/>
      <c r="LQO179" s="201"/>
      <c r="LQP179" s="201"/>
      <c r="LQQ179" s="201"/>
      <c r="LQR179" s="201"/>
      <c r="LQS179" s="201"/>
      <c r="LQT179" s="201"/>
      <c r="LQU179" s="201"/>
      <c r="LQV179" s="201"/>
      <c r="LQW179" s="201"/>
      <c r="LQX179" s="201"/>
      <c r="LQY179" s="201"/>
      <c r="LQZ179" s="201"/>
      <c r="LRA179" s="201"/>
      <c r="LRB179" s="201"/>
      <c r="LRC179" s="201"/>
      <c r="LRD179" s="201"/>
      <c r="LRE179" s="201"/>
      <c r="LRF179" s="201"/>
      <c r="LRG179" s="201"/>
      <c r="LRH179" s="201"/>
      <c r="LRI179" s="201"/>
      <c r="LRJ179" s="201"/>
      <c r="LRK179" s="201"/>
      <c r="LRL179" s="201"/>
      <c r="LRM179" s="201"/>
      <c r="LRN179" s="201"/>
      <c r="LRO179" s="201"/>
      <c r="LRP179" s="201"/>
      <c r="LRQ179" s="201"/>
      <c r="LRR179" s="201"/>
      <c r="LRS179" s="201"/>
      <c r="LRT179" s="201"/>
      <c r="LRU179" s="201"/>
      <c r="LRV179" s="201"/>
      <c r="LRW179" s="201"/>
      <c r="LRX179" s="201"/>
      <c r="LRY179" s="201"/>
      <c r="LRZ179" s="201"/>
      <c r="LSA179" s="201"/>
      <c r="LSB179" s="201"/>
      <c r="LSC179" s="201"/>
      <c r="LSD179" s="201"/>
      <c r="LSE179" s="201"/>
      <c r="LSF179" s="201"/>
      <c r="LSG179" s="201"/>
      <c r="LSH179" s="201"/>
      <c r="LSI179" s="201"/>
      <c r="LSJ179" s="201"/>
      <c r="LSK179" s="201"/>
      <c r="LSL179" s="201"/>
      <c r="LSM179" s="201"/>
      <c r="LSN179" s="201"/>
      <c r="LSO179" s="201"/>
      <c r="LSP179" s="201"/>
      <c r="LSQ179" s="201"/>
      <c r="LSR179" s="201"/>
      <c r="LSS179" s="201"/>
      <c r="LST179" s="201"/>
      <c r="LSU179" s="201"/>
      <c r="LSV179" s="201"/>
      <c r="LSW179" s="201"/>
      <c r="LSX179" s="201"/>
      <c r="LSY179" s="201"/>
      <c r="LSZ179" s="201"/>
      <c r="LTA179" s="201"/>
      <c r="LTB179" s="201"/>
      <c r="LTC179" s="201"/>
      <c r="LTD179" s="201"/>
      <c r="LTE179" s="201"/>
      <c r="LTF179" s="201"/>
      <c r="LTG179" s="201"/>
      <c r="LTH179" s="201"/>
      <c r="LTI179" s="201"/>
      <c r="LTJ179" s="201"/>
      <c r="LTK179" s="201"/>
      <c r="LTL179" s="201"/>
      <c r="LTM179" s="201"/>
      <c r="LTN179" s="201"/>
      <c r="LTO179" s="201"/>
      <c r="LTP179" s="201"/>
      <c r="LTQ179" s="201"/>
      <c r="LTR179" s="201"/>
      <c r="LTS179" s="201"/>
      <c r="LTT179" s="201"/>
      <c r="LTU179" s="201"/>
      <c r="LTV179" s="201"/>
      <c r="LTW179" s="201"/>
      <c r="LTX179" s="201"/>
      <c r="LTY179" s="201"/>
      <c r="LTZ179" s="201"/>
      <c r="LUA179" s="201"/>
      <c r="LUB179" s="201"/>
      <c r="LUC179" s="201"/>
      <c r="LUD179" s="201"/>
      <c r="LUE179" s="201"/>
      <c r="LUF179" s="201"/>
      <c r="LUG179" s="201"/>
      <c r="LUH179" s="201"/>
      <c r="LUI179" s="201"/>
      <c r="LUJ179" s="201"/>
      <c r="LUK179" s="201"/>
      <c r="LUL179" s="201"/>
      <c r="LUM179" s="201"/>
      <c r="LUN179" s="201"/>
      <c r="LUO179" s="201"/>
      <c r="LUP179" s="201"/>
      <c r="LUQ179" s="201"/>
      <c r="LUR179" s="201"/>
      <c r="LUS179" s="201"/>
      <c r="LUT179" s="201"/>
      <c r="LUU179" s="201"/>
      <c r="LUV179" s="201"/>
      <c r="LUW179" s="201"/>
      <c r="LUX179" s="201"/>
      <c r="LUY179" s="201"/>
      <c r="LUZ179" s="201"/>
      <c r="LVA179" s="201"/>
      <c r="LVB179" s="201"/>
      <c r="LVC179" s="201"/>
      <c r="LVD179" s="201"/>
      <c r="LVE179" s="201"/>
      <c r="LVF179" s="201"/>
      <c r="LVG179" s="201"/>
      <c r="LVH179" s="201"/>
      <c r="LVI179" s="201"/>
      <c r="LVJ179" s="201"/>
      <c r="LVK179" s="201"/>
      <c r="LVL179" s="201"/>
      <c r="LVM179" s="201"/>
      <c r="LVN179" s="201"/>
      <c r="LVO179" s="201"/>
      <c r="LVP179" s="201"/>
      <c r="LVQ179" s="201"/>
      <c r="LVR179" s="201"/>
      <c r="LVS179" s="201"/>
      <c r="LVT179" s="201"/>
      <c r="LVU179" s="201"/>
      <c r="LVV179" s="201"/>
      <c r="LVW179" s="201"/>
      <c r="LVX179" s="201"/>
      <c r="LVY179" s="201"/>
      <c r="LVZ179" s="201"/>
      <c r="LWA179" s="201"/>
      <c r="LWB179" s="201"/>
      <c r="LWC179" s="201"/>
      <c r="LWD179" s="201"/>
      <c r="LWE179" s="201"/>
      <c r="LWF179" s="201"/>
      <c r="LWG179" s="201"/>
      <c r="LWH179" s="201"/>
      <c r="LWI179" s="201"/>
      <c r="LWJ179" s="201"/>
      <c r="LWK179" s="201"/>
      <c r="LWL179" s="201"/>
      <c r="LWM179" s="201"/>
      <c r="LWN179" s="201"/>
      <c r="LWO179" s="201"/>
      <c r="LWP179" s="201"/>
      <c r="LWQ179" s="201"/>
      <c r="LWR179" s="201"/>
      <c r="LWS179" s="201"/>
      <c r="LWT179" s="201"/>
      <c r="LWU179" s="201"/>
      <c r="LWV179" s="201"/>
      <c r="LWW179" s="201"/>
      <c r="LWX179" s="201"/>
      <c r="LWY179" s="201"/>
      <c r="LWZ179" s="201"/>
      <c r="LXA179" s="201"/>
      <c r="LXB179" s="201"/>
      <c r="LXC179" s="201"/>
      <c r="LXD179" s="201"/>
      <c r="LXE179" s="201"/>
      <c r="LXF179" s="201"/>
      <c r="LXG179" s="201"/>
      <c r="LXH179" s="201"/>
      <c r="LXI179" s="201"/>
      <c r="LXJ179" s="201"/>
      <c r="LXK179" s="201"/>
      <c r="LXL179" s="201"/>
      <c r="LXM179" s="201"/>
      <c r="LXN179" s="201"/>
      <c r="LXO179" s="201"/>
      <c r="LXP179" s="201"/>
      <c r="LXQ179" s="201"/>
      <c r="LXR179" s="201"/>
      <c r="LXS179" s="201"/>
      <c r="LXT179" s="201"/>
      <c r="LXU179" s="201"/>
      <c r="LXV179" s="201"/>
      <c r="LXW179" s="201"/>
      <c r="LXX179" s="201"/>
      <c r="LXY179" s="201"/>
      <c r="LXZ179" s="201"/>
      <c r="LYA179" s="201"/>
      <c r="LYB179" s="201"/>
      <c r="LYC179" s="201"/>
      <c r="LYD179" s="201"/>
      <c r="LYE179" s="201"/>
      <c r="LYF179" s="201"/>
      <c r="LYG179" s="201"/>
      <c r="LYH179" s="201"/>
      <c r="LYI179" s="201"/>
      <c r="LYJ179" s="201"/>
      <c r="LYK179" s="201"/>
      <c r="LYL179" s="201"/>
      <c r="LYM179" s="201"/>
      <c r="LYN179" s="201"/>
      <c r="LYO179" s="201"/>
      <c r="LYP179" s="201"/>
      <c r="LYQ179" s="201"/>
      <c r="LYR179" s="201"/>
      <c r="LYS179" s="201"/>
      <c r="LYT179" s="201"/>
      <c r="LYU179" s="201"/>
      <c r="LYV179" s="201"/>
      <c r="LYW179" s="201"/>
      <c r="LYX179" s="201"/>
      <c r="LYY179" s="201"/>
      <c r="LYZ179" s="201"/>
      <c r="LZA179" s="201"/>
      <c r="LZB179" s="201"/>
      <c r="LZC179" s="201"/>
      <c r="LZD179" s="201"/>
      <c r="LZE179" s="201"/>
      <c r="LZF179" s="201"/>
      <c r="LZG179" s="201"/>
      <c r="LZH179" s="201"/>
      <c r="LZI179" s="201"/>
      <c r="LZJ179" s="201"/>
      <c r="LZK179" s="201"/>
      <c r="LZL179" s="201"/>
      <c r="LZM179" s="201"/>
      <c r="LZN179" s="201"/>
      <c r="LZO179" s="201"/>
      <c r="LZP179" s="201"/>
      <c r="LZQ179" s="201"/>
      <c r="LZR179" s="201"/>
      <c r="LZS179" s="201"/>
      <c r="LZT179" s="201"/>
      <c r="LZU179" s="201"/>
      <c r="LZV179" s="201"/>
      <c r="LZW179" s="201"/>
      <c r="LZX179" s="201"/>
      <c r="LZY179" s="201"/>
      <c r="LZZ179" s="201"/>
      <c r="MAA179" s="201"/>
      <c r="MAB179" s="201"/>
      <c r="MAC179" s="201"/>
      <c r="MAD179" s="201"/>
      <c r="MAE179" s="201"/>
      <c r="MAF179" s="201"/>
      <c r="MAG179" s="201"/>
      <c r="MAH179" s="201"/>
      <c r="MAI179" s="201"/>
      <c r="MAJ179" s="201"/>
      <c r="MAK179" s="201"/>
      <c r="MAL179" s="201"/>
      <c r="MAM179" s="201"/>
      <c r="MAN179" s="201"/>
      <c r="MAO179" s="201"/>
      <c r="MAP179" s="201"/>
      <c r="MAQ179" s="201"/>
      <c r="MAR179" s="201"/>
      <c r="MAS179" s="201"/>
      <c r="MAT179" s="201"/>
      <c r="MAU179" s="201"/>
      <c r="MAV179" s="201"/>
      <c r="MAW179" s="201"/>
      <c r="MAX179" s="201"/>
      <c r="MAY179" s="201"/>
      <c r="MAZ179" s="201"/>
      <c r="MBA179" s="201"/>
      <c r="MBB179" s="201"/>
      <c r="MBC179" s="201"/>
      <c r="MBD179" s="201"/>
      <c r="MBE179" s="201"/>
      <c r="MBF179" s="201"/>
      <c r="MBG179" s="201"/>
      <c r="MBH179" s="201"/>
      <c r="MBI179" s="201"/>
      <c r="MBJ179" s="201"/>
      <c r="MBK179" s="201"/>
      <c r="MBL179" s="201"/>
      <c r="MBM179" s="201"/>
      <c r="MBN179" s="201"/>
      <c r="MBO179" s="201"/>
      <c r="MBP179" s="201"/>
      <c r="MBQ179" s="201"/>
      <c r="MBR179" s="201"/>
      <c r="MBS179" s="201"/>
      <c r="MBT179" s="201"/>
      <c r="MBU179" s="201"/>
      <c r="MBV179" s="201"/>
      <c r="MBW179" s="201"/>
      <c r="MBX179" s="201"/>
      <c r="MBY179" s="201"/>
      <c r="MBZ179" s="201"/>
      <c r="MCA179" s="201"/>
      <c r="MCB179" s="201"/>
      <c r="MCC179" s="201"/>
      <c r="MCD179" s="201"/>
      <c r="MCE179" s="201"/>
      <c r="MCF179" s="201"/>
      <c r="MCG179" s="201"/>
      <c r="MCH179" s="201"/>
      <c r="MCI179" s="201"/>
      <c r="MCJ179" s="201"/>
      <c r="MCK179" s="201"/>
      <c r="MCL179" s="201"/>
      <c r="MCM179" s="201"/>
      <c r="MCN179" s="201"/>
      <c r="MCO179" s="201"/>
      <c r="MCP179" s="201"/>
      <c r="MCQ179" s="201"/>
      <c r="MCR179" s="201"/>
      <c r="MCS179" s="201"/>
      <c r="MCT179" s="201"/>
      <c r="MCU179" s="201"/>
      <c r="MCV179" s="201"/>
      <c r="MCW179" s="201"/>
      <c r="MCX179" s="201"/>
      <c r="MCY179" s="201"/>
      <c r="MCZ179" s="201"/>
      <c r="MDA179" s="201"/>
      <c r="MDB179" s="201"/>
      <c r="MDC179" s="201"/>
      <c r="MDD179" s="201"/>
      <c r="MDE179" s="201"/>
      <c r="MDF179" s="201"/>
      <c r="MDG179" s="201"/>
      <c r="MDH179" s="201"/>
      <c r="MDI179" s="201"/>
      <c r="MDJ179" s="201"/>
      <c r="MDK179" s="201"/>
      <c r="MDL179" s="201"/>
      <c r="MDM179" s="201"/>
      <c r="MDN179" s="201"/>
      <c r="MDO179" s="201"/>
      <c r="MDP179" s="201"/>
      <c r="MDQ179" s="201"/>
      <c r="MDR179" s="201"/>
      <c r="MDS179" s="201"/>
      <c r="MDT179" s="201"/>
      <c r="MDU179" s="201"/>
      <c r="MDV179" s="201"/>
      <c r="MDW179" s="201"/>
      <c r="MDX179" s="201"/>
      <c r="MDY179" s="201"/>
      <c r="MDZ179" s="201"/>
      <c r="MEA179" s="201"/>
      <c r="MEB179" s="201"/>
      <c r="MEC179" s="201"/>
      <c r="MED179" s="201"/>
      <c r="MEE179" s="201"/>
      <c r="MEF179" s="201"/>
      <c r="MEG179" s="201"/>
      <c r="MEH179" s="201"/>
      <c r="MEI179" s="201"/>
      <c r="MEJ179" s="201"/>
      <c r="MEK179" s="201"/>
      <c r="MEL179" s="201"/>
      <c r="MEM179" s="201"/>
      <c r="MEN179" s="201"/>
      <c r="MEO179" s="201"/>
      <c r="MEP179" s="201"/>
      <c r="MEQ179" s="201"/>
      <c r="MER179" s="201"/>
      <c r="MES179" s="201"/>
      <c r="MET179" s="201"/>
      <c r="MEU179" s="201"/>
      <c r="MEV179" s="201"/>
      <c r="MEW179" s="201"/>
      <c r="MEX179" s="201"/>
      <c r="MEY179" s="201"/>
      <c r="MEZ179" s="201"/>
      <c r="MFA179" s="201"/>
      <c r="MFB179" s="201"/>
      <c r="MFC179" s="201"/>
      <c r="MFD179" s="201"/>
      <c r="MFE179" s="201"/>
      <c r="MFF179" s="201"/>
      <c r="MFG179" s="201"/>
      <c r="MFH179" s="201"/>
      <c r="MFI179" s="201"/>
      <c r="MFJ179" s="201"/>
      <c r="MFK179" s="201"/>
      <c r="MFL179" s="201"/>
      <c r="MFM179" s="201"/>
      <c r="MFN179" s="201"/>
      <c r="MFO179" s="201"/>
      <c r="MFP179" s="201"/>
      <c r="MFQ179" s="201"/>
      <c r="MFR179" s="201"/>
      <c r="MFS179" s="201"/>
      <c r="MFT179" s="201"/>
      <c r="MFU179" s="201"/>
      <c r="MFV179" s="201"/>
      <c r="MFW179" s="201"/>
      <c r="MFX179" s="201"/>
      <c r="MFY179" s="201"/>
      <c r="MFZ179" s="201"/>
      <c r="MGA179" s="201"/>
      <c r="MGB179" s="201"/>
      <c r="MGC179" s="201"/>
      <c r="MGD179" s="201"/>
      <c r="MGE179" s="201"/>
      <c r="MGF179" s="201"/>
      <c r="MGG179" s="201"/>
      <c r="MGH179" s="201"/>
      <c r="MGI179" s="201"/>
      <c r="MGJ179" s="201"/>
      <c r="MGK179" s="201"/>
      <c r="MGL179" s="201"/>
      <c r="MGM179" s="201"/>
      <c r="MGN179" s="201"/>
      <c r="MGO179" s="201"/>
      <c r="MGP179" s="201"/>
      <c r="MGQ179" s="201"/>
      <c r="MGR179" s="201"/>
      <c r="MGS179" s="201"/>
      <c r="MGT179" s="201"/>
      <c r="MGU179" s="201"/>
      <c r="MGV179" s="201"/>
      <c r="MGW179" s="201"/>
      <c r="MGX179" s="201"/>
      <c r="MGY179" s="201"/>
      <c r="MGZ179" s="201"/>
      <c r="MHA179" s="201"/>
      <c r="MHB179" s="201"/>
      <c r="MHC179" s="201"/>
      <c r="MHD179" s="201"/>
      <c r="MHE179" s="201"/>
      <c r="MHF179" s="201"/>
      <c r="MHG179" s="201"/>
      <c r="MHH179" s="201"/>
      <c r="MHI179" s="201"/>
      <c r="MHJ179" s="201"/>
      <c r="MHK179" s="201"/>
      <c r="MHL179" s="201"/>
      <c r="MHM179" s="201"/>
      <c r="MHN179" s="201"/>
      <c r="MHO179" s="201"/>
      <c r="MHP179" s="201"/>
      <c r="MHQ179" s="201"/>
      <c r="MHR179" s="201"/>
      <c r="MHS179" s="201"/>
      <c r="MHT179" s="201"/>
      <c r="MHU179" s="201"/>
      <c r="MHV179" s="201"/>
      <c r="MHW179" s="201"/>
      <c r="MHX179" s="201"/>
      <c r="MHY179" s="201"/>
      <c r="MHZ179" s="201"/>
      <c r="MIA179" s="201"/>
      <c r="MIB179" s="201"/>
      <c r="MIC179" s="201"/>
      <c r="MID179" s="201"/>
      <c r="MIE179" s="201"/>
      <c r="MIF179" s="201"/>
      <c r="MIG179" s="201"/>
      <c r="MIH179" s="201"/>
      <c r="MII179" s="201"/>
      <c r="MIJ179" s="201"/>
      <c r="MIK179" s="201"/>
      <c r="MIL179" s="201"/>
      <c r="MIM179" s="201"/>
      <c r="MIN179" s="201"/>
      <c r="MIO179" s="201"/>
      <c r="MIP179" s="201"/>
      <c r="MIQ179" s="201"/>
      <c r="MIR179" s="201"/>
      <c r="MIS179" s="201"/>
      <c r="MIT179" s="201"/>
      <c r="MIU179" s="201"/>
      <c r="MIV179" s="201"/>
      <c r="MIW179" s="201"/>
      <c r="MIX179" s="201"/>
      <c r="MIY179" s="201"/>
      <c r="MIZ179" s="201"/>
      <c r="MJA179" s="201"/>
      <c r="MJB179" s="201"/>
      <c r="MJC179" s="201"/>
      <c r="MJD179" s="201"/>
      <c r="MJE179" s="201"/>
      <c r="MJF179" s="201"/>
      <c r="MJG179" s="201"/>
      <c r="MJH179" s="201"/>
      <c r="MJI179" s="201"/>
      <c r="MJJ179" s="201"/>
      <c r="MJK179" s="201"/>
      <c r="MJL179" s="201"/>
      <c r="MJM179" s="201"/>
      <c r="MJN179" s="201"/>
      <c r="MJO179" s="201"/>
      <c r="MJP179" s="201"/>
      <c r="MJQ179" s="201"/>
      <c r="MJR179" s="201"/>
      <c r="MJS179" s="201"/>
      <c r="MJT179" s="201"/>
      <c r="MJU179" s="201"/>
      <c r="MJV179" s="201"/>
      <c r="MJW179" s="201"/>
      <c r="MJX179" s="201"/>
      <c r="MJY179" s="201"/>
      <c r="MJZ179" s="201"/>
      <c r="MKA179" s="201"/>
      <c r="MKB179" s="201"/>
      <c r="MKC179" s="201"/>
      <c r="MKD179" s="201"/>
      <c r="MKE179" s="201"/>
      <c r="MKF179" s="201"/>
      <c r="MKG179" s="201"/>
      <c r="MKH179" s="201"/>
      <c r="MKI179" s="201"/>
      <c r="MKJ179" s="201"/>
      <c r="MKK179" s="201"/>
      <c r="MKL179" s="201"/>
      <c r="MKM179" s="201"/>
      <c r="MKN179" s="201"/>
      <c r="MKO179" s="201"/>
      <c r="MKP179" s="201"/>
      <c r="MKQ179" s="201"/>
      <c r="MKR179" s="201"/>
      <c r="MKS179" s="201"/>
      <c r="MKT179" s="201"/>
      <c r="MKU179" s="201"/>
      <c r="MKV179" s="201"/>
      <c r="MKW179" s="201"/>
      <c r="MKX179" s="201"/>
      <c r="MKY179" s="201"/>
      <c r="MKZ179" s="201"/>
      <c r="MLA179" s="201"/>
      <c r="MLB179" s="201"/>
      <c r="MLC179" s="201"/>
      <c r="MLD179" s="201"/>
      <c r="MLE179" s="201"/>
      <c r="MLF179" s="201"/>
      <c r="MLG179" s="201"/>
      <c r="MLH179" s="201"/>
      <c r="MLI179" s="201"/>
      <c r="MLJ179" s="201"/>
      <c r="MLK179" s="201"/>
      <c r="MLL179" s="201"/>
      <c r="MLM179" s="201"/>
      <c r="MLN179" s="201"/>
      <c r="MLO179" s="201"/>
      <c r="MLP179" s="201"/>
      <c r="MLQ179" s="201"/>
      <c r="MLR179" s="201"/>
      <c r="MLS179" s="201"/>
      <c r="MLT179" s="201"/>
      <c r="MLU179" s="201"/>
      <c r="MLV179" s="201"/>
      <c r="MLW179" s="201"/>
      <c r="MLX179" s="201"/>
      <c r="MLY179" s="201"/>
      <c r="MLZ179" s="201"/>
      <c r="MMA179" s="201"/>
      <c r="MMB179" s="201"/>
      <c r="MMC179" s="201"/>
      <c r="MMD179" s="201"/>
      <c r="MME179" s="201"/>
      <c r="MMF179" s="201"/>
      <c r="MMG179" s="201"/>
      <c r="MMH179" s="201"/>
      <c r="MMI179" s="201"/>
      <c r="MMJ179" s="201"/>
      <c r="MMK179" s="201"/>
      <c r="MML179" s="201"/>
      <c r="MMM179" s="201"/>
      <c r="MMN179" s="201"/>
      <c r="MMO179" s="201"/>
      <c r="MMP179" s="201"/>
      <c r="MMQ179" s="201"/>
      <c r="MMR179" s="201"/>
      <c r="MMS179" s="201"/>
      <c r="MMT179" s="201"/>
      <c r="MMU179" s="201"/>
      <c r="MMV179" s="201"/>
      <c r="MMW179" s="201"/>
      <c r="MMX179" s="201"/>
      <c r="MMY179" s="201"/>
      <c r="MMZ179" s="201"/>
      <c r="MNA179" s="201"/>
      <c r="MNB179" s="201"/>
      <c r="MNC179" s="201"/>
      <c r="MND179" s="201"/>
      <c r="MNE179" s="201"/>
      <c r="MNF179" s="201"/>
      <c r="MNG179" s="201"/>
      <c r="MNH179" s="201"/>
      <c r="MNI179" s="201"/>
      <c r="MNJ179" s="201"/>
      <c r="MNK179" s="201"/>
      <c r="MNL179" s="201"/>
      <c r="MNM179" s="201"/>
      <c r="MNN179" s="201"/>
      <c r="MNO179" s="201"/>
      <c r="MNP179" s="201"/>
      <c r="MNQ179" s="201"/>
      <c r="MNR179" s="201"/>
      <c r="MNS179" s="201"/>
      <c r="MNT179" s="201"/>
      <c r="MNU179" s="201"/>
      <c r="MNV179" s="201"/>
      <c r="MNW179" s="201"/>
      <c r="MNX179" s="201"/>
      <c r="MNY179" s="201"/>
      <c r="MNZ179" s="201"/>
      <c r="MOA179" s="201"/>
      <c r="MOB179" s="201"/>
      <c r="MOC179" s="201"/>
      <c r="MOD179" s="201"/>
      <c r="MOE179" s="201"/>
      <c r="MOF179" s="201"/>
      <c r="MOG179" s="201"/>
      <c r="MOH179" s="201"/>
      <c r="MOI179" s="201"/>
      <c r="MOJ179" s="201"/>
      <c r="MOK179" s="201"/>
      <c r="MOL179" s="201"/>
      <c r="MOM179" s="201"/>
      <c r="MON179" s="201"/>
      <c r="MOO179" s="201"/>
      <c r="MOP179" s="201"/>
      <c r="MOQ179" s="201"/>
      <c r="MOR179" s="201"/>
      <c r="MOS179" s="201"/>
      <c r="MOT179" s="201"/>
      <c r="MOU179" s="201"/>
      <c r="MOV179" s="201"/>
      <c r="MOW179" s="201"/>
      <c r="MOX179" s="201"/>
      <c r="MOY179" s="201"/>
      <c r="MOZ179" s="201"/>
      <c r="MPA179" s="201"/>
      <c r="MPB179" s="201"/>
      <c r="MPC179" s="201"/>
      <c r="MPD179" s="201"/>
      <c r="MPE179" s="201"/>
      <c r="MPF179" s="201"/>
      <c r="MPG179" s="201"/>
      <c r="MPH179" s="201"/>
      <c r="MPI179" s="201"/>
      <c r="MPJ179" s="201"/>
      <c r="MPK179" s="201"/>
      <c r="MPL179" s="201"/>
      <c r="MPM179" s="201"/>
      <c r="MPN179" s="201"/>
      <c r="MPO179" s="201"/>
      <c r="MPP179" s="201"/>
      <c r="MPQ179" s="201"/>
      <c r="MPR179" s="201"/>
      <c r="MPS179" s="201"/>
      <c r="MPT179" s="201"/>
      <c r="MPU179" s="201"/>
      <c r="MPV179" s="201"/>
      <c r="MPW179" s="201"/>
      <c r="MPX179" s="201"/>
      <c r="MPY179" s="201"/>
      <c r="MPZ179" s="201"/>
      <c r="MQA179" s="201"/>
      <c r="MQB179" s="201"/>
      <c r="MQC179" s="201"/>
      <c r="MQD179" s="201"/>
      <c r="MQE179" s="201"/>
      <c r="MQF179" s="201"/>
      <c r="MQG179" s="201"/>
      <c r="MQH179" s="201"/>
      <c r="MQI179" s="201"/>
      <c r="MQJ179" s="201"/>
      <c r="MQK179" s="201"/>
      <c r="MQL179" s="201"/>
      <c r="MQM179" s="201"/>
      <c r="MQN179" s="201"/>
      <c r="MQO179" s="201"/>
      <c r="MQP179" s="201"/>
      <c r="MQQ179" s="201"/>
      <c r="MQR179" s="201"/>
      <c r="MQS179" s="201"/>
      <c r="MQT179" s="201"/>
      <c r="MQU179" s="201"/>
      <c r="MQV179" s="201"/>
      <c r="MQW179" s="201"/>
      <c r="MQX179" s="201"/>
      <c r="MQY179" s="201"/>
      <c r="MQZ179" s="201"/>
      <c r="MRA179" s="201"/>
      <c r="MRB179" s="201"/>
      <c r="MRC179" s="201"/>
      <c r="MRD179" s="201"/>
      <c r="MRE179" s="201"/>
      <c r="MRF179" s="201"/>
      <c r="MRG179" s="201"/>
      <c r="MRH179" s="201"/>
      <c r="MRI179" s="201"/>
      <c r="MRJ179" s="201"/>
      <c r="MRK179" s="201"/>
      <c r="MRL179" s="201"/>
      <c r="MRM179" s="201"/>
      <c r="MRN179" s="201"/>
      <c r="MRO179" s="201"/>
      <c r="MRP179" s="201"/>
      <c r="MRQ179" s="201"/>
      <c r="MRR179" s="201"/>
      <c r="MRS179" s="201"/>
      <c r="MRT179" s="201"/>
      <c r="MRU179" s="201"/>
      <c r="MRV179" s="201"/>
      <c r="MRW179" s="201"/>
      <c r="MRX179" s="201"/>
      <c r="MRY179" s="201"/>
      <c r="MRZ179" s="201"/>
      <c r="MSA179" s="201"/>
      <c r="MSB179" s="201"/>
      <c r="MSC179" s="201"/>
      <c r="MSD179" s="201"/>
      <c r="MSE179" s="201"/>
      <c r="MSF179" s="201"/>
      <c r="MSG179" s="201"/>
      <c r="MSH179" s="201"/>
      <c r="MSI179" s="201"/>
      <c r="MSJ179" s="201"/>
      <c r="MSK179" s="201"/>
      <c r="MSL179" s="201"/>
      <c r="MSM179" s="201"/>
      <c r="MSN179" s="201"/>
      <c r="MSO179" s="201"/>
      <c r="MSP179" s="201"/>
      <c r="MSQ179" s="201"/>
      <c r="MSR179" s="201"/>
      <c r="MSS179" s="201"/>
      <c r="MST179" s="201"/>
      <c r="MSU179" s="201"/>
      <c r="MSV179" s="201"/>
      <c r="MSW179" s="201"/>
      <c r="MSX179" s="201"/>
      <c r="MSY179" s="201"/>
      <c r="MSZ179" s="201"/>
      <c r="MTA179" s="201"/>
      <c r="MTB179" s="201"/>
      <c r="MTC179" s="201"/>
      <c r="MTD179" s="201"/>
      <c r="MTE179" s="201"/>
      <c r="MTF179" s="201"/>
      <c r="MTG179" s="201"/>
      <c r="MTH179" s="201"/>
      <c r="MTI179" s="201"/>
      <c r="MTJ179" s="201"/>
      <c r="MTK179" s="201"/>
      <c r="MTL179" s="201"/>
      <c r="MTM179" s="201"/>
      <c r="MTN179" s="201"/>
      <c r="MTO179" s="201"/>
      <c r="MTP179" s="201"/>
      <c r="MTQ179" s="201"/>
      <c r="MTR179" s="201"/>
      <c r="MTS179" s="201"/>
      <c r="MTT179" s="201"/>
      <c r="MTU179" s="201"/>
      <c r="MTV179" s="201"/>
      <c r="MTW179" s="201"/>
      <c r="MTX179" s="201"/>
      <c r="MTY179" s="201"/>
      <c r="MTZ179" s="201"/>
      <c r="MUA179" s="201"/>
      <c r="MUB179" s="201"/>
      <c r="MUC179" s="201"/>
      <c r="MUD179" s="201"/>
      <c r="MUE179" s="201"/>
      <c r="MUF179" s="201"/>
      <c r="MUG179" s="201"/>
      <c r="MUH179" s="201"/>
      <c r="MUI179" s="201"/>
      <c r="MUJ179" s="201"/>
      <c r="MUK179" s="201"/>
      <c r="MUL179" s="201"/>
      <c r="MUM179" s="201"/>
      <c r="MUN179" s="201"/>
      <c r="MUO179" s="201"/>
      <c r="MUP179" s="201"/>
      <c r="MUQ179" s="201"/>
      <c r="MUR179" s="201"/>
      <c r="MUS179" s="201"/>
      <c r="MUT179" s="201"/>
      <c r="MUU179" s="201"/>
      <c r="MUV179" s="201"/>
      <c r="MUW179" s="201"/>
      <c r="MUX179" s="201"/>
      <c r="MUY179" s="201"/>
      <c r="MUZ179" s="201"/>
      <c r="MVA179" s="201"/>
      <c r="MVB179" s="201"/>
      <c r="MVC179" s="201"/>
      <c r="MVD179" s="201"/>
      <c r="MVE179" s="201"/>
      <c r="MVF179" s="201"/>
      <c r="MVG179" s="201"/>
      <c r="MVH179" s="201"/>
      <c r="MVI179" s="201"/>
      <c r="MVJ179" s="201"/>
      <c r="MVK179" s="201"/>
      <c r="MVL179" s="201"/>
      <c r="MVM179" s="201"/>
      <c r="MVN179" s="201"/>
      <c r="MVO179" s="201"/>
      <c r="MVP179" s="201"/>
      <c r="MVQ179" s="201"/>
      <c r="MVR179" s="201"/>
      <c r="MVS179" s="201"/>
      <c r="MVT179" s="201"/>
      <c r="MVU179" s="201"/>
      <c r="MVV179" s="201"/>
      <c r="MVW179" s="201"/>
      <c r="MVX179" s="201"/>
      <c r="MVY179" s="201"/>
      <c r="MVZ179" s="201"/>
      <c r="MWA179" s="201"/>
      <c r="MWB179" s="201"/>
      <c r="MWC179" s="201"/>
      <c r="MWD179" s="201"/>
      <c r="MWE179" s="201"/>
      <c r="MWF179" s="201"/>
      <c r="MWG179" s="201"/>
      <c r="MWH179" s="201"/>
      <c r="MWI179" s="201"/>
      <c r="MWJ179" s="201"/>
      <c r="MWK179" s="201"/>
      <c r="MWL179" s="201"/>
      <c r="MWM179" s="201"/>
      <c r="MWN179" s="201"/>
      <c r="MWO179" s="201"/>
      <c r="MWP179" s="201"/>
      <c r="MWQ179" s="201"/>
      <c r="MWR179" s="201"/>
      <c r="MWS179" s="201"/>
      <c r="MWT179" s="201"/>
      <c r="MWU179" s="201"/>
      <c r="MWV179" s="201"/>
      <c r="MWW179" s="201"/>
      <c r="MWX179" s="201"/>
      <c r="MWY179" s="201"/>
      <c r="MWZ179" s="201"/>
      <c r="MXA179" s="201"/>
      <c r="MXB179" s="201"/>
      <c r="MXC179" s="201"/>
      <c r="MXD179" s="201"/>
      <c r="MXE179" s="201"/>
      <c r="MXF179" s="201"/>
      <c r="MXG179" s="201"/>
      <c r="MXH179" s="201"/>
      <c r="MXI179" s="201"/>
      <c r="MXJ179" s="201"/>
      <c r="MXK179" s="201"/>
      <c r="MXL179" s="201"/>
      <c r="MXM179" s="201"/>
      <c r="MXN179" s="201"/>
      <c r="MXO179" s="201"/>
      <c r="MXP179" s="201"/>
      <c r="MXQ179" s="201"/>
      <c r="MXR179" s="201"/>
      <c r="MXS179" s="201"/>
      <c r="MXT179" s="201"/>
      <c r="MXU179" s="201"/>
      <c r="MXV179" s="201"/>
      <c r="MXW179" s="201"/>
      <c r="MXX179" s="201"/>
      <c r="MXY179" s="201"/>
      <c r="MXZ179" s="201"/>
      <c r="MYA179" s="201"/>
      <c r="MYB179" s="201"/>
      <c r="MYC179" s="201"/>
      <c r="MYD179" s="201"/>
      <c r="MYE179" s="201"/>
      <c r="MYF179" s="201"/>
      <c r="MYG179" s="201"/>
      <c r="MYH179" s="201"/>
      <c r="MYI179" s="201"/>
      <c r="MYJ179" s="201"/>
      <c r="MYK179" s="201"/>
      <c r="MYL179" s="201"/>
      <c r="MYM179" s="201"/>
      <c r="MYN179" s="201"/>
      <c r="MYO179" s="201"/>
      <c r="MYP179" s="201"/>
      <c r="MYQ179" s="201"/>
      <c r="MYR179" s="201"/>
      <c r="MYS179" s="201"/>
      <c r="MYT179" s="201"/>
      <c r="MYU179" s="201"/>
      <c r="MYV179" s="201"/>
      <c r="MYW179" s="201"/>
      <c r="MYX179" s="201"/>
      <c r="MYY179" s="201"/>
      <c r="MYZ179" s="201"/>
      <c r="MZA179" s="201"/>
      <c r="MZB179" s="201"/>
      <c r="MZC179" s="201"/>
      <c r="MZD179" s="201"/>
      <c r="MZE179" s="201"/>
      <c r="MZF179" s="201"/>
      <c r="MZG179" s="201"/>
      <c r="MZH179" s="201"/>
      <c r="MZI179" s="201"/>
      <c r="MZJ179" s="201"/>
      <c r="MZK179" s="201"/>
      <c r="MZL179" s="201"/>
      <c r="MZM179" s="201"/>
      <c r="MZN179" s="201"/>
      <c r="MZO179" s="201"/>
      <c r="MZP179" s="201"/>
      <c r="MZQ179" s="201"/>
      <c r="MZR179" s="201"/>
      <c r="MZS179" s="201"/>
      <c r="MZT179" s="201"/>
      <c r="MZU179" s="201"/>
      <c r="MZV179" s="201"/>
      <c r="MZW179" s="201"/>
      <c r="MZX179" s="201"/>
      <c r="MZY179" s="201"/>
      <c r="MZZ179" s="201"/>
      <c r="NAA179" s="201"/>
      <c r="NAB179" s="201"/>
      <c r="NAC179" s="201"/>
      <c r="NAD179" s="201"/>
      <c r="NAE179" s="201"/>
      <c r="NAF179" s="201"/>
      <c r="NAG179" s="201"/>
      <c r="NAH179" s="201"/>
      <c r="NAI179" s="201"/>
      <c r="NAJ179" s="201"/>
      <c r="NAK179" s="201"/>
      <c r="NAL179" s="201"/>
      <c r="NAM179" s="201"/>
      <c r="NAN179" s="201"/>
      <c r="NAO179" s="201"/>
      <c r="NAP179" s="201"/>
      <c r="NAQ179" s="201"/>
      <c r="NAR179" s="201"/>
      <c r="NAS179" s="201"/>
      <c r="NAT179" s="201"/>
      <c r="NAU179" s="201"/>
      <c r="NAV179" s="201"/>
      <c r="NAW179" s="201"/>
      <c r="NAX179" s="201"/>
      <c r="NAY179" s="201"/>
      <c r="NAZ179" s="201"/>
      <c r="NBA179" s="201"/>
      <c r="NBB179" s="201"/>
      <c r="NBC179" s="201"/>
      <c r="NBD179" s="201"/>
      <c r="NBE179" s="201"/>
      <c r="NBF179" s="201"/>
      <c r="NBG179" s="201"/>
      <c r="NBH179" s="201"/>
      <c r="NBI179" s="201"/>
      <c r="NBJ179" s="201"/>
      <c r="NBK179" s="201"/>
      <c r="NBL179" s="201"/>
      <c r="NBM179" s="201"/>
      <c r="NBN179" s="201"/>
      <c r="NBO179" s="201"/>
      <c r="NBP179" s="201"/>
      <c r="NBQ179" s="201"/>
      <c r="NBR179" s="201"/>
      <c r="NBS179" s="201"/>
      <c r="NBT179" s="201"/>
      <c r="NBU179" s="201"/>
      <c r="NBV179" s="201"/>
      <c r="NBW179" s="201"/>
      <c r="NBX179" s="201"/>
      <c r="NBY179" s="201"/>
      <c r="NBZ179" s="201"/>
      <c r="NCA179" s="201"/>
      <c r="NCB179" s="201"/>
      <c r="NCC179" s="201"/>
      <c r="NCD179" s="201"/>
      <c r="NCE179" s="201"/>
      <c r="NCF179" s="201"/>
      <c r="NCG179" s="201"/>
      <c r="NCH179" s="201"/>
      <c r="NCI179" s="201"/>
      <c r="NCJ179" s="201"/>
      <c r="NCK179" s="201"/>
      <c r="NCL179" s="201"/>
      <c r="NCM179" s="201"/>
      <c r="NCN179" s="201"/>
      <c r="NCO179" s="201"/>
      <c r="NCP179" s="201"/>
      <c r="NCQ179" s="201"/>
      <c r="NCR179" s="201"/>
      <c r="NCS179" s="201"/>
      <c r="NCT179" s="201"/>
      <c r="NCU179" s="201"/>
      <c r="NCV179" s="201"/>
      <c r="NCW179" s="201"/>
      <c r="NCX179" s="201"/>
      <c r="NCY179" s="201"/>
      <c r="NCZ179" s="201"/>
      <c r="NDA179" s="201"/>
      <c r="NDB179" s="201"/>
      <c r="NDC179" s="201"/>
      <c r="NDD179" s="201"/>
      <c r="NDE179" s="201"/>
      <c r="NDF179" s="201"/>
      <c r="NDG179" s="201"/>
      <c r="NDH179" s="201"/>
      <c r="NDI179" s="201"/>
      <c r="NDJ179" s="201"/>
      <c r="NDK179" s="201"/>
      <c r="NDL179" s="201"/>
      <c r="NDM179" s="201"/>
      <c r="NDN179" s="201"/>
      <c r="NDO179" s="201"/>
      <c r="NDP179" s="201"/>
      <c r="NDQ179" s="201"/>
      <c r="NDR179" s="201"/>
      <c r="NDS179" s="201"/>
      <c r="NDT179" s="201"/>
      <c r="NDU179" s="201"/>
      <c r="NDV179" s="201"/>
      <c r="NDW179" s="201"/>
      <c r="NDX179" s="201"/>
      <c r="NDY179" s="201"/>
      <c r="NDZ179" s="201"/>
      <c r="NEA179" s="201"/>
      <c r="NEB179" s="201"/>
      <c r="NEC179" s="201"/>
      <c r="NED179" s="201"/>
      <c r="NEE179" s="201"/>
      <c r="NEF179" s="201"/>
      <c r="NEG179" s="201"/>
      <c r="NEH179" s="201"/>
      <c r="NEI179" s="201"/>
      <c r="NEJ179" s="201"/>
      <c r="NEK179" s="201"/>
      <c r="NEL179" s="201"/>
      <c r="NEM179" s="201"/>
      <c r="NEN179" s="201"/>
      <c r="NEO179" s="201"/>
      <c r="NEP179" s="201"/>
      <c r="NEQ179" s="201"/>
      <c r="NER179" s="201"/>
      <c r="NES179" s="201"/>
      <c r="NET179" s="201"/>
      <c r="NEU179" s="201"/>
      <c r="NEV179" s="201"/>
      <c r="NEW179" s="201"/>
      <c r="NEX179" s="201"/>
      <c r="NEY179" s="201"/>
      <c r="NEZ179" s="201"/>
      <c r="NFA179" s="201"/>
      <c r="NFB179" s="201"/>
      <c r="NFC179" s="201"/>
      <c r="NFD179" s="201"/>
      <c r="NFE179" s="201"/>
      <c r="NFF179" s="201"/>
      <c r="NFG179" s="201"/>
      <c r="NFH179" s="201"/>
      <c r="NFI179" s="201"/>
      <c r="NFJ179" s="201"/>
      <c r="NFK179" s="201"/>
      <c r="NFL179" s="201"/>
      <c r="NFM179" s="201"/>
      <c r="NFN179" s="201"/>
      <c r="NFO179" s="201"/>
      <c r="NFP179" s="201"/>
      <c r="NFQ179" s="201"/>
      <c r="NFR179" s="201"/>
      <c r="NFS179" s="201"/>
      <c r="NFT179" s="201"/>
      <c r="NFU179" s="201"/>
      <c r="NFV179" s="201"/>
      <c r="NFW179" s="201"/>
      <c r="NFX179" s="201"/>
      <c r="NFY179" s="201"/>
      <c r="NFZ179" s="201"/>
      <c r="NGA179" s="201"/>
      <c r="NGB179" s="201"/>
      <c r="NGC179" s="201"/>
      <c r="NGD179" s="201"/>
      <c r="NGE179" s="201"/>
      <c r="NGF179" s="201"/>
      <c r="NGG179" s="201"/>
      <c r="NGH179" s="201"/>
      <c r="NGI179" s="201"/>
      <c r="NGJ179" s="201"/>
      <c r="NGK179" s="201"/>
      <c r="NGL179" s="201"/>
      <c r="NGM179" s="201"/>
      <c r="NGN179" s="201"/>
      <c r="NGO179" s="201"/>
      <c r="NGP179" s="201"/>
      <c r="NGQ179" s="201"/>
      <c r="NGR179" s="201"/>
      <c r="NGS179" s="201"/>
      <c r="NGT179" s="201"/>
      <c r="NGU179" s="201"/>
      <c r="NGV179" s="201"/>
      <c r="NGW179" s="201"/>
      <c r="NGX179" s="201"/>
      <c r="NGY179" s="201"/>
      <c r="NGZ179" s="201"/>
      <c r="NHA179" s="201"/>
      <c r="NHB179" s="201"/>
      <c r="NHC179" s="201"/>
      <c r="NHD179" s="201"/>
      <c r="NHE179" s="201"/>
      <c r="NHF179" s="201"/>
      <c r="NHG179" s="201"/>
      <c r="NHH179" s="201"/>
      <c r="NHI179" s="201"/>
      <c r="NHJ179" s="201"/>
      <c r="NHK179" s="201"/>
      <c r="NHL179" s="201"/>
      <c r="NHM179" s="201"/>
      <c r="NHN179" s="201"/>
      <c r="NHO179" s="201"/>
      <c r="NHP179" s="201"/>
      <c r="NHQ179" s="201"/>
      <c r="NHR179" s="201"/>
      <c r="NHS179" s="201"/>
      <c r="NHT179" s="201"/>
      <c r="NHU179" s="201"/>
      <c r="NHV179" s="201"/>
      <c r="NHW179" s="201"/>
      <c r="NHX179" s="201"/>
      <c r="NHY179" s="201"/>
      <c r="NHZ179" s="201"/>
      <c r="NIA179" s="201"/>
      <c r="NIB179" s="201"/>
      <c r="NIC179" s="201"/>
      <c r="NID179" s="201"/>
      <c r="NIE179" s="201"/>
      <c r="NIF179" s="201"/>
      <c r="NIG179" s="201"/>
      <c r="NIH179" s="201"/>
      <c r="NII179" s="201"/>
      <c r="NIJ179" s="201"/>
      <c r="NIK179" s="201"/>
      <c r="NIL179" s="201"/>
      <c r="NIM179" s="201"/>
      <c r="NIN179" s="201"/>
      <c r="NIO179" s="201"/>
      <c r="NIP179" s="201"/>
      <c r="NIQ179" s="201"/>
      <c r="NIR179" s="201"/>
      <c r="NIS179" s="201"/>
      <c r="NIT179" s="201"/>
      <c r="NIU179" s="201"/>
      <c r="NIV179" s="201"/>
      <c r="NIW179" s="201"/>
      <c r="NIX179" s="201"/>
      <c r="NIY179" s="201"/>
      <c r="NIZ179" s="201"/>
      <c r="NJA179" s="201"/>
      <c r="NJB179" s="201"/>
      <c r="NJC179" s="201"/>
      <c r="NJD179" s="201"/>
      <c r="NJE179" s="201"/>
      <c r="NJF179" s="201"/>
      <c r="NJG179" s="201"/>
      <c r="NJH179" s="201"/>
      <c r="NJI179" s="201"/>
      <c r="NJJ179" s="201"/>
      <c r="NJK179" s="201"/>
      <c r="NJL179" s="201"/>
      <c r="NJM179" s="201"/>
      <c r="NJN179" s="201"/>
      <c r="NJO179" s="201"/>
      <c r="NJP179" s="201"/>
      <c r="NJQ179" s="201"/>
      <c r="NJR179" s="201"/>
      <c r="NJS179" s="201"/>
      <c r="NJT179" s="201"/>
      <c r="NJU179" s="201"/>
      <c r="NJV179" s="201"/>
      <c r="NJW179" s="201"/>
      <c r="NJX179" s="201"/>
      <c r="NJY179" s="201"/>
      <c r="NJZ179" s="201"/>
      <c r="NKA179" s="201"/>
      <c r="NKB179" s="201"/>
      <c r="NKC179" s="201"/>
      <c r="NKD179" s="201"/>
      <c r="NKE179" s="201"/>
      <c r="NKF179" s="201"/>
      <c r="NKG179" s="201"/>
      <c r="NKH179" s="201"/>
      <c r="NKI179" s="201"/>
      <c r="NKJ179" s="201"/>
      <c r="NKK179" s="201"/>
      <c r="NKL179" s="201"/>
      <c r="NKM179" s="201"/>
      <c r="NKN179" s="201"/>
      <c r="NKO179" s="201"/>
      <c r="NKP179" s="201"/>
      <c r="NKQ179" s="201"/>
      <c r="NKR179" s="201"/>
      <c r="NKS179" s="201"/>
      <c r="NKT179" s="201"/>
      <c r="NKU179" s="201"/>
      <c r="NKV179" s="201"/>
      <c r="NKW179" s="201"/>
      <c r="NKX179" s="201"/>
      <c r="NKY179" s="201"/>
      <c r="NKZ179" s="201"/>
      <c r="NLA179" s="201"/>
      <c r="NLB179" s="201"/>
      <c r="NLC179" s="201"/>
      <c r="NLD179" s="201"/>
      <c r="NLE179" s="201"/>
      <c r="NLF179" s="201"/>
      <c r="NLG179" s="201"/>
      <c r="NLH179" s="201"/>
      <c r="NLI179" s="201"/>
      <c r="NLJ179" s="201"/>
      <c r="NLK179" s="201"/>
      <c r="NLL179" s="201"/>
      <c r="NLM179" s="201"/>
      <c r="NLN179" s="201"/>
      <c r="NLO179" s="201"/>
      <c r="NLP179" s="201"/>
      <c r="NLQ179" s="201"/>
      <c r="NLR179" s="201"/>
      <c r="NLS179" s="201"/>
      <c r="NLT179" s="201"/>
      <c r="NLU179" s="201"/>
      <c r="NLV179" s="201"/>
      <c r="NLW179" s="201"/>
      <c r="NLX179" s="201"/>
      <c r="NLY179" s="201"/>
      <c r="NLZ179" s="201"/>
      <c r="NMA179" s="201"/>
      <c r="NMB179" s="201"/>
      <c r="NMC179" s="201"/>
      <c r="NMD179" s="201"/>
      <c r="NME179" s="201"/>
      <c r="NMF179" s="201"/>
      <c r="NMG179" s="201"/>
      <c r="NMH179" s="201"/>
      <c r="NMI179" s="201"/>
      <c r="NMJ179" s="201"/>
      <c r="NMK179" s="201"/>
      <c r="NML179" s="201"/>
      <c r="NMM179" s="201"/>
      <c r="NMN179" s="201"/>
      <c r="NMO179" s="201"/>
      <c r="NMP179" s="201"/>
      <c r="NMQ179" s="201"/>
      <c r="NMR179" s="201"/>
      <c r="NMS179" s="201"/>
      <c r="NMT179" s="201"/>
      <c r="NMU179" s="201"/>
      <c r="NMV179" s="201"/>
      <c r="NMW179" s="201"/>
      <c r="NMX179" s="201"/>
      <c r="NMY179" s="201"/>
      <c r="NMZ179" s="201"/>
      <c r="NNA179" s="201"/>
      <c r="NNB179" s="201"/>
      <c r="NNC179" s="201"/>
      <c r="NND179" s="201"/>
      <c r="NNE179" s="201"/>
      <c r="NNF179" s="201"/>
      <c r="NNG179" s="201"/>
      <c r="NNH179" s="201"/>
      <c r="NNI179" s="201"/>
      <c r="NNJ179" s="201"/>
      <c r="NNK179" s="201"/>
      <c r="NNL179" s="201"/>
      <c r="NNM179" s="201"/>
      <c r="NNN179" s="201"/>
      <c r="NNO179" s="201"/>
      <c r="NNP179" s="201"/>
      <c r="NNQ179" s="201"/>
      <c r="NNR179" s="201"/>
      <c r="NNS179" s="201"/>
      <c r="NNT179" s="201"/>
      <c r="NNU179" s="201"/>
      <c r="NNV179" s="201"/>
      <c r="NNW179" s="201"/>
      <c r="NNX179" s="201"/>
      <c r="NNY179" s="201"/>
      <c r="NNZ179" s="201"/>
      <c r="NOA179" s="201"/>
      <c r="NOB179" s="201"/>
      <c r="NOC179" s="201"/>
      <c r="NOD179" s="201"/>
      <c r="NOE179" s="201"/>
      <c r="NOF179" s="201"/>
      <c r="NOG179" s="201"/>
      <c r="NOH179" s="201"/>
      <c r="NOI179" s="201"/>
      <c r="NOJ179" s="201"/>
      <c r="NOK179" s="201"/>
      <c r="NOL179" s="201"/>
      <c r="NOM179" s="201"/>
      <c r="NON179" s="201"/>
      <c r="NOO179" s="201"/>
      <c r="NOP179" s="201"/>
      <c r="NOQ179" s="201"/>
      <c r="NOR179" s="201"/>
      <c r="NOS179" s="201"/>
      <c r="NOT179" s="201"/>
      <c r="NOU179" s="201"/>
      <c r="NOV179" s="201"/>
      <c r="NOW179" s="201"/>
      <c r="NOX179" s="201"/>
      <c r="NOY179" s="201"/>
      <c r="NOZ179" s="201"/>
      <c r="NPA179" s="201"/>
      <c r="NPB179" s="201"/>
      <c r="NPC179" s="201"/>
      <c r="NPD179" s="201"/>
      <c r="NPE179" s="201"/>
      <c r="NPF179" s="201"/>
      <c r="NPG179" s="201"/>
      <c r="NPH179" s="201"/>
      <c r="NPI179" s="201"/>
      <c r="NPJ179" s="201"/>
      <c r="NPK179" s="201"/>
      <c r="NPL179" s="201"/>
      <c r="NPM179" s="201"/>
      <c r="NPN179" s="201"/>
      <c r="NPO179" s="201"/>
      <c r="NPP179" s="201"/>
      <c r="NPQ179" s="201"/>
      <c r="NPR179" s="201"/>
      <c r="NPS179" s="201"/>
      <c r="NPT179" s="201"/>
      <c r="NPU179" s="201"/>
      <c r="NPV179" s="201"/>
      <c r="NPW179" s="201"/>
      <c r="NPX179" s="201"/>
      <c r="NPY179" s="201"/>
      <c r="NPZ179" s="201"/>
      <c r="NQA179" s="201"/>
      <c r="NQB179" s="201"/>
      <c r="NQC179" s="201"/>
      <c r="NQD179" s="201"/>
      <c r="NQE179" s="201"/>
      <c r="NQF179" s="201"/>
      <c r="NQG179" s="201"/>
      <c r="NQH179" s="201"/>
      <c r="NQI179" s="201"/>
      <c r="NQJ179" s="201"/>
      <c r="NQK179" s="201"/>
      <c r="NQL179" s="201"/>
      <c r="NQM179" s="201"/>
      <c r="NQN179" s="201"/>
      <c r="NQO179" s="201"/>
      <c r="NQP179" s="201"/>
      <c r="NQQ179" s="201"/>
      <c r="NQR179" s="201"/>
      <c r="NQS179" s="201"/>
      <c r="NQT179" s="201"/>
      <c r="NQU179" s="201"/>
      <c r="NQV179" s="201"/>
      <c r="NQW179" s="201"/>
      <c r="NQX179" s="201"/>
      <c r="NQY179" s="201"/>
      <c r="NQZ179" s="201"/>
      <c r="NRA179" s="201"/>
      <c r="NRB179" s="201"/>
      <c r="NRC179" s="201"/>
      <c r="NRD179" s="201"/>
      <c r="NRE179" s="201"/>
      <c r="NRF179" s="201"/>
      <c r="NRG179" s="201"/>
      <c r="NRH179" s="201"/>
      <c r="NRI179" s="201"/>
      <c r="NRJ179" s="201"/>
      <c r="NRK179" s="201"/>
      <c r="NRL179" s="201"/>
      <c r="NRM179" s="201"/>
      <c r="NRN179" s="201"/>
      <c r="NRO179" s="201"/>
      <c r="NRP179" s="201"/>
      <c r="NRQ179" s="201"/>
      <c r="NRR179" s="201"/>
      <c r="NRS179" s="201"/>
      <c r="NRT179" s="201"/>
      <c r="NRU179" s="201"/>
      <c r="NRV179" s="201"/>
      <c r="NRW179" s="201"/>
      <c r="NRX179" s="201"/>
      <c r="NRY179" s="201"/>
      <c r="NRZ179" s="201"/>
      <c r="NSA179" s="201"/>
      <c r="NSB179" s="201"/>
      <c r="NSC179" s="201"/>
      <c r="NSD179" s="201"/>
      <c r="NSE179" s="201"/>
      <c r="NSF179" s="201"/>
      <c r="NSG179" s="201"/>
      <c r="NSH179" s="201"/>
      <c r="NSI179" s="201"/>
      <c r="NSJ179" s="201"/>
      <c r="NSK179" s="201"/>
      <c r="NSL179" s="201"/>
      <c r="NSM179" s="201"/>
      <c r="NSN179" s="201"/>
      <c r="NSO179" s="201"/>
      <c r="NSP179" s="201"/>
      <c r="NSQ179" s="201"/>
      <c r="NSR179" s="201"/>
      <c r="NSS179" s="201"/>
      <c r="NST179" s="201"/>
      <c r="NSU179" s="201"/>
      <c r="NSV179" s="201"/>
      <c r="NSW179" s="201"/>
      <c r="NSX179" s="201"/>
      <c r="NSY179" s="201"/>
      <c r="NSZ179" s="201"/>
      <c r="NTA179" s="201"/>
      <c r="NTB179" s="201"/>
      <c r="NTC179" s="201"/>
      <c r="NTD179" s="201"/>
      <c r="NTE179" s="201"/>
      <c r="NTF179" s="201"/>
      <c r="NTG179" s="201"/>
      <c r="NTH179" s="201"/>
      <c r="NTI179" s="201"/>
      <c r="NTJ179" s="201"/>
      <c r="NTK179" s="201"/>
      <c r="NTL179" s="201"/>
      <c r="NTM179" s="201"/>
      <c r="NTN179" s="201"/>
      <c r="NTO179" s="201"/>
      <c r="NTP179" s="201"/>
      <c r="NTQ179" s="201"/>
      <c r="NTR179" s="201"/>
      <c r="NTS179" s="201"/>
      <c r="NTT179" s="201"/>
      <c r="NTU179" s="201"/>
      <c r="NTV179" s="201"/>
      <c r="NTW179" s="201"/>
      <c r="NTX179" s="201"/>
      <c r="NTY179" s="201"/>
      <c r="NTZ179" s="201"/>
      <c r="NUA179" s="201"/>
      <c r="NUB179" s="201"/>
      <c r="NUC179" s="201"/>
      <c r="NUD179" s="201"/>
      <c r="NUE179" s="201"/>
      <c r="NUF179" s="201"/>
      <c r="NUG179" s="201"/>
      <c r="NUH179" s="201"/>
      <c r="NUI179" s="201"/>
      <c r="NUJ179" s="201"/>
      <c r="NUK179" s="201"/>
      <c r="NUL179" s="201"/>
      <c r="NUM179" s="201"/>
      <c r="NUN179" s="201"/>
      <c r="NUO179" s="201"/>
      <c r="NUP179" s="201"/>
      <c r="NUQ179" s="201"/>
      <c r="NUR179" s="201"/>
      <c r="NUS179" s="201"/>
      <c r="NUT179" s="201"/>
      <c r="NUU179" s="201"/>
      <c r="NUV179" s="201"/>
      <c r="NUW179" s="201"/>
      <c r="NUX179" s="201"/>
      <c r="NUY179" s="201"/>
      <c r="NUZ179" s="201"/>
      <c r="NVA179" s="201"/>
      <c r="NVB179" s="201"/>
      <c r="NVC179" s="201"/>
      <c r="NVD179" s="201"/>
      <c r="NVE179" s="201"/>
      <c r="NVF179" s="201"/>
      <c r="NVG179" s="201"/>
      <c r="NVH179" s="201"/>
      <c r="NVI179" s="201"/>
      <c r="NVJ179" s="201"/>
      <c r="NVK179" s="201"/>
      <c r="NVL179" s="201"/>
      <c r="NVM179" s="201"/>
      <c r="NVN179" s="201"/>
      <c r="NVO179" s="201"/>
      <c r="NVP179" s="201"/>
      <c r="NVQ179" s="201"/>
      <c r="NVR179" s="201"/>
      <c r="NVS179" s="201"/>
      <c r="NVT179" s="201"/>
      <c r="NVU179" s="201"/>
      <c r="NVV179" s="201"/>
      <c r="NVW179" s="201"/>
      <c r="NVX179" s="201"/>
      <c r="NVY179" s="201"/>
      <c r="NVZ179" s="201"/>
      <c r="NWA179" s="201"/>
      <c r="NWB179" s="201"/>
      <c r="NWC179" s="201"/>
      <c r="NWD179" s="201"/>
      <c r="NWE179" s="201"/>
      <c r="NWF179" s="201"/>
      <c r="NWG179" s="201"/>
      <c r="NWH179" s="201"/>
      <c r="NWI179" s="201"/>
      <c r="NWJ179" s="201"/>
      <c r="NWK179" s="201"/>
      <c r="NWL179" s="201"/>
      <c r="NWM179" s="201"/>
      <c r="NWN179" s="201"/>
      <c r="NWO179" s="201"/>
      <c r="NWP179" s="201"/>
      <c r="NWQ179" s="201"/>
      <c r="NWR179" s="201"/>
      <c r="NWS179" s="201"/>
      <c r="NWT179" s="201"/>
      <c r="NWU179" s="201"/>
      <c r="NWV179" s="201"/>
      <c r="NWW179" s="201"/>
      <c r="NWX179" s="201"/>
      <c r="NWY179" s="201"/>
      <c r="NWZ179" s="201"/>
      <c r="NXA179" s="201"/>
      <c r="NXB179" s="201"/>
      <c r="NXC179" s="201"/>
      <c r="NXD179" s="201"/>
      <c r="NXE179" s="201"/>
      <c r="NXF179" s="201"/>
      <c r="NXG179" s="201"/>
      <c r="NXH179" s="201"/>
      <c r="NXI179" s="201"/>
      <c r="NXJ179" s="201"/>
      <c r="NXK179" s="201"/>
      <c r="NXL179" s="201"/>
      <c r="NXM179" s="201"/>
      <c r="NXN179" s="201"/>
      <c r="NXO179" s="201"/>
      <c r="NXP179" s="201"/>
      <c r="NXQ179" s="201"/>
      <c r="NXR179" s="201"/>
      <c r="NXS179" s="201"/>
      <c r="NXT179" s="201"/>
      <c r="NXU179" s="201"/>
      <c r="NXV179" s="201"/>
      <c r="NXW179" s="201"/>
      <c r="NXX179" s="201"/>
      <c r="NXY179" s="201"/>
      <c r="NXZ179" s="201"/>
      <c r="NYA179" s="201"/>
      <c r="NYB179" s="201"/>
      <c r="NYC179" s="201"/>
      <c r="NYD179" s="201"/>
      <c r="NYE179" s="201"/>
      <c r="NYF179" s="201"/>
      <c r="NYG179" s="201"/>
      <c r="NYH179" s="201"/>
      <c r="NYI179" s="201"/>
      <c r="NYJ179" s="201"/>
      <c r="NYK179" s="201"/>
      <c r="NYL179" s="201"/>
      <c r="NYM179" s="201"/>
      <c r="NYN179" s="201"/>
      <c r="NYO179" s="201"/>
      <c r="NYP179" s="201"/>
      <c r="NYQ179" s="201"/>
      <c r="NYR179" s="201"/>
      <c r="NYS179" s="201"/>
      <c r="NYT179" s="201"/>
      <c r="NYU179" s="201"/>
      <c r="NYV179" s="201"/>
      <c r="NYW179" s="201"/>
      <c r="NYX179" s="201"/>
      <c r="NYY179" s="201"/>
      <c r="NYZ179" s="201"/>
      <c r="NZA179" s="201"/>
      <c r="NZB179" s="201"/>
      <c r="NZC179" s="201"/>
      <c r="NZD179" s="201"/>
      <c r="NZE179" s="201"/>
      <c r="NZF179" s="201"/>
      <c r="NZG179" s="201"/>
      <c r="NZH179" s="201"/>
      <c r="NZI179" s="201"/>
      <c r="NZJ179" s="201"/>
      <c r="NZK179" s="201"/>
      <c r="NZL179" s="201"/>
      <c r="NZM179" s="201"/>
      <c r="NZN179" s="201"/>
      <c r="NZO179" s="201"/>
      <c r="NZP179" s="201"/>
      <c r="NZQ179" s="201"/>
      <c r="NZR179" s="201"/>
      <c r="NZS179" s="201"/>
      <c r="NZT179" s="201"/>
      <c r="NZU179" s="201"/>
      <c r="NZV179" s="201"/>
      <c r="NZW179" s="201"/>
      <c r="NZX179" s="201"/>
      <c r="NZY179" s="201"/>
      <c r="NZZ179" s="201"/>
      <c r="OAA179" s="201"/>
      <c r="OAB179" s="201"/>
      <c r="OAC179" s="201"/>
      <c r="OAD179" s="201"/>
      <c r="OAE179" s="201"/>
      <c r="OAF179" s="201"/>
      <c r="OAG179" s="201"/>
      <c r="OAH179" s="201"/>
      <c r="OAI179" s="201"/>
      <c r="OAJ179" s="201"/>
      <c r="OAK179" s="201"/>
      <c r="OAL179" s="201"/>
      <c r="OAM179" s="201"/>
      <c r="OAN179" s="201"/>
      <c r="OAO179" s="201"/>
      <c r="OAP179" s="201"/>
      <c r="OAQ179" s="201"/>
      <c r="OAR179" s="201"/>
      <c r="OAS179" s="201"/>
      <c r="OAT179" s="201"/>
      <c r="OAU179" s="201"/>
      <c r="OAV179" s="201"/>
      <c r="OAW179" s="201"/>
      <c r="OAX179" s="201"/>
      <c r="OAY179" s="201"/>
      <c r="OAZ179" s="201"/>
      <c r="OBA179" s="201"/>
      <c r="OBB179" s="201"/>
      <c r="OBC179" s="201"/>
      <c r="OBD179" s="201"/>
      <c r="OBE179" s="201"/>
      <c r="OBF179" s="201"/>
      <c r="OBG179" s="201"/>
      <c r="OBH179" s="201"/>
      <c r="OBI179" s="201"/>
      <c r="OBJ179" s="201"/>
      <c r="OBK179" s="201"/>
      <c r="OBL179" s="201"/>
      <c r="OBM179" s="201"/>
      <c r="OBN179" s="201"/>
      <c r="OBO179" s="201"/>
      <c r="OBP179" s="201"/>
      <c r="OBQ179" s="201"/>
      <c r="OBR179" s="201"/>
      <c r="OBS179" s="201"/>
      <c r="OBT179" s="201"/>
      <c r="OBU179" s="201"/>
      <c r="OBV179" s="201"/>
      <c r="OBW179" s="201"/>
      <c r="OBX179" s="201"/>
      <c r="OBY179" s="201"/>
      <c r="OBZ179" s="201"/>
      <c r="OCA179" s="201"/>
      <c r="OCB179" s="201"/>
      <c r="OCC179" s="201"/>
      <c r="OCD179" s="201"/>
      <c r="OCE179" s="201"/>
      <c r="OCF179" s="201"/>
      <c r="OCG179" s="201"/>
      <c r="OCH179" s="201"/>
      <c r="OCI179" s="201"/>
      <c r="OCJ179" s="201"/>
      <c r="OCK179" s="201"/>
      <c r="OCL179" s="201"/>
      <c r="OCM179" s="201"/>
      <c r="OCN179" s="201"/>
      <c r="OCO179" s="201"/>
      <c r="OCP179" s="201"/>
      <c r="OCQ179" s="201"/>
      <c r="OCR179" s="201"/>
      <c r="OCS179" s="201"/>
      <c r="OCT179" s="201"/>
      <c r="OCU179" s="201"/>
      <c r="OCV179" s="201"/>
      <c r="OCW179" s="201"/>
      <c r="OCX179" s="201"/>
      <c r="OCY179" s="201"/>
      <c r="OCZ179" s="201"/>
      <c r="ODA179" s="201"/>
      <c r="ODB179" s="201"/>
      <c r="ODC179" s="201"/>
      <c r="ODD179" s="201"/>
      <c r="ODE179" s="201"/>
      <c r="ODF179" s="201"/>
      <c r="ODG179" s="201"/>
      <c r="ODH179" s="201"/>
      <c r="ODI179" s="201"/>
      <c r="ODJ179" s="201"/>
      <c r="ODK179" s="201"/>
      <c r="ODL179" s="201"/>
      <c r="ODM179" s="201"/>
      <c r="ODN179" s="201"/>
      <c r="ODO179" s="201"/>
      <c r="ODP179" s="201"/>
      <c r="ODQ179" s="201"/>
      <c r="ODR179" s="201"/>
      <c r="ODS179" s="201"/>
      <c r="ODT179" s="201"/>
      <c r="ODU179" s="201"/>
      <c r="ODV179" s="201"/>
      <c r="ODW179" s="201"/>
      <c r="ODX179" s="201"/>
      <c r="ODY179" s="201"/>
      <c r="ODZ179" s="201"/>
      <c r="OEA179" s="201"/>
      <c r="OEB179" s="201"/>
      <c r="OEC179" s="201"/>
      <c r="OED179" s="201"/>
      <c r="OEE179" s="201"/>
      <c r="OEF179" s="201"/>
      <c r="OEG179" s="201"/>
      <c r="OEH179" s="201"/>
      <c r="OEI179" s="201"/>
      <c r="OEJ179" s="201"/>
      <c r="OEK179" s="201"/>
      <c r="OEL179" s="201"/>
      <c r="OEM179" s="201"/>
      <c r="OEN179" s="201"/>
      <c r="OEO179" s="201"/>
      <c r="OEP179" s="201"/>
      <c r="OEQ179" s="201"/>
      <c r="OER179" s="201"/>
      <c r="OES179" s="201"/>
      <c r="OET179" s="201"/>
      <c r="OEU179" s="201"/>
      <c r="OEV179" s="201"/>
      <c r="OEW179" s="201"/>
      <c r="OEX179" s="201"/>
      <c r="OEY179" s="201"/>
      <c r="OEZ179" s="201"/>
      <c r="OFA179" s="201"/>
      <c r="OFB179" s="201"/>
      <c r="OFC179" s="201"/>
      <c r="OFD179" s="201"/>
      <c r="OFE179" s="201"/>
      <c r="OFF179" s="201"/>
      <c r="OFG179" s="201"/>
      <c r="OFH179" s="201"/>
      <c r="OFI179" s="201"/>
      <c r="OFJ179" s="201"/>
      <c r="OFK179" s="201"/>
      <c r="OFL179" s="201"/>
      <c r="OFM179" s="201"/>
      <c r="OFN179" s="201"/>
      <c r="OFO179" s="201"/>
      <c r="OFP179" s="201"/>
      <c r="OFQ179" s="201"/>
      <c r="OFR179" s="201"/>
      <c r="OFS179" s="201"/>
      <c r="OFT179" s="201"/>
      <c r="OFU179" s="201"/>
      <c r="OFV179" s="201"/>
      <c r="OFW179" s="201"/>
      <c r="OFX179" s="201"/>
      <c r="OFY179" s="201"/>
      <c r="OFZ179" s="201"/>
      <c r="OGA179" s="201"/>
      <c r="OGB179" s="201"/>
      <c r="OGC179" s="201"/>
      <c r="OGD179" s="201"/>
      <c r="OGE179" s="201"/>
      <c r="OGF179" s="201"/>
      <c r="OGG179" s="201"/>
      <c r="OGH179" s="201"/>
      <c r="OGI179" s="201"/>
      <c r="OGJ179" s="201"/>
      <c r="OGK179" s="201"/>
      <c r="OGL179" s="201"/>
      <c r="OGM179" s="201"/>
      <c r="OGN179" s="201"/>
      <c r="OGO179" s="201"/>
      <c r="OGP179" s="201"/>
      <c r="OGQ179" s="201"/>
      <c r="OGR179" s="201"/>
      <c r="OGS179" s="201"/>
      <c r="OGT179" s="201"/>
      <c r="OGU179" s="201"/>
      <c r="OGV179" s="201"/>
      <c r="OGW179" s="201"/>
      <c r="OGX179" s="201"/>
      <c r="OGY179" s="201"/>
      <c r="OGZ179" s="201"/>
      <c r="OHA179" s="201"/>
      <c r="OHB179" s="201"/>
      <c r="OHC179" s="201"/>
      <c r="OHD179" s="201"/>
      <c r="OHE179" s="201"/>
      <c r="OHF179" s="201"/>
      <c r="OHG179" s="201"/>
      <c r="OHH179" s="201"/>
      <c r="OHI179" s="201"/>
      <c r="OHJ179" s="201"/>
      <c r="OHK179" s="201"/>
      <c r="OHL179" s="201"/>
      <c r="OHM179" s="201"/>
      <c r="OHN179" s="201"/>
      <c r="OHO179" s="201"/>
      <c r="OHP179" s="201"/>
      <c r="OHQ179" s="201"/>
      <c r="OHR179" s="201"/>
      <c r="OHS179" s="201"/>
      <c r="OHT179" s="201"/>
      <c r="OHU179" s="201"/>
      <c r="OHV179" s="201"/>
      <c r="OHW179" s="201"/>
      <c r="OHX179" s="201"/>
      <c r="OHY179" s="201"/>
      <c r="OHZ179" s="201"/>
      <c r="OIA179" s="201"/>
      <c r="OIB179" s="201"/>
      <c r="OIC179" s="201"/>
      <c r="OID179" s="201"/>
      <c r="OIE179" s="201"/>
      <c r="OIF179" s="201"/>
      <c r="OIG179" s="201"/>
      <c r="OIH179" s="201"/>
      <c r="OII179" s="201"/>
      <c r="OIJ179" s="201"/>
      <c r="OIK179" s="201"/>
      <c r="OIL179" s="201"/>
      <c r="OIM179" s="201"/>
      <c r="OIN179" s="201"/>
      <c r="OIO179" s="201"/>
      <c r="OIP179" s="201"/>
      <c r="OIQ179" s="201"/>
      <c r="OIR179" s="201"/>
      <c r="OIS179" s="201"/>
      <c r="OIT179" s="201"/>
      <c r="OIU179" s="201"/>
      <c r="OIV179" s="201"/>
      <c r="OIW179" s="201"/>
      <c r="OIX179" s="201"/>
      <c r="OIY179" s="201"/>
      <c r="OIZ179" s="201"/>
      <c r="OJA179" s="201"/>
      <c r="OJB179" s="201"/>
      <c r="OJC179" s="201"/>
      <c r="OJD179" s="201"/>
      <c r="OJE179" s="201"/>
      <c r="OJF179" s="201"/>
      <c r="OJG179" s="201"/>
      <c r="OJH179" s="201"/>
      <c r="OJI179" s="201"/>
      <c r="OJJ179" s="201"/>
      <c r="OJK179" s="201"/>
      <c r="OJL179" s="201"/>
      <c r="OJM179" s="201"/>
      <c r="OJN179" s="201"/>
      <c r="OJO179" s="201"/>
      <c r="OJP179" s="201"/>
      <c r="OJQ179" s="201"/>
      <c r="OJR179" s="201"/>
      <c r="OJS179" s="201"/>
      <c r="OJT179" s="201"/>
      <c r="OJU179" s="201"/>
      <c r="OJV179" s="201"/>
      <c r="OJW179" s="201"/>
      <c r="OJX179" s="201"/>
      <c r="OJY179" s="201"/>
      <c r="OJZ179" s="201"/>
      <c r="OKA179" s="201"/>
      <c r="OKB179" s="201"/>
      <c r="OKC179" s="201"/>
      <c r="OKD179" s="201"/>
      <c r="OKE179" s="201"/>
      <c r="OKF179" s="201"/>
      <c r="OKG179" s="201"/>
      <c r="OKH179" s="201"/>
      <c r="OKI179" s="201"/>
      <c r="OKJ179" s="201"/>
      <c r="OKK179" s="201"/>
      <c r="OKL179" s="201"/>
      <c r="OKM179" s="201"/>
      <c r="OKN179" s="201"/>
      <c r="OKO179" s="201"/>
      <c r="OKP179" s="201"/>
      <c r="OKQ179" s="201"/>
      <c r="OKR179" s="201"/>
      <c r="OKS179" s="201"/>
      <c r="OKT179" s="201"/>
      <c r="OKU179" s="201"/>
      <c r="OKV179" s="201"/>
      <c r="OKW179" s="201"/>
      <c r="OKX179" s="201"/>
      <c r="OKY179" s="201"/>
      <c r="OKZ179" s="201"/>
      <c r="OLA179" s="201"/>
      <c r="OLB179" s="201"/>
      <c r="OLC179" s="201"/>
      <c r="OLD179" s="201"/>
      <c r="OLE179" s="201"/>
      <c r="OLF179" s="201"/>
      <c r="OLG179" s="201"/>
      <c r="OLH179" s="201"/>
      <c r="OLI179" s="201"/>
      <c r="OLJ179" s="201"/>
      <c r="OLK179" s="201"/>
      <c r="OLL179" s="201"/>
      <c r="OLM179" s="201"/>
      <c r="OLN179" s="201"/>
      <c r="OLO179" s="201"/>
      <c r="OLP179" s="201"/>
      <c r="OLQ179" s="201"/>
      <c r="OLR179" s="201"/>
      <c r="OLS179" s="201"/>
      <c r="OLT179" s="201"/>
      <c r="OLU179" s="201"/>
      <c r="OLV179" s="201"/>
      <c r="OLW179" s="201"/>
      <c r="OLX179" s="201"/>
      <c r="OLY179" s="201"/>
      <c r="OLZ179" s="201"/>
      <c r="OMA179" s="201"/>
      <c r="OMB179" s="201"/>
      <c r="OMC179" s="201"/>
      <c r="OMD179" s="201"/>
      <c r="OME179" s="201"/>
      <c r="OMF179" s="201"/>
      <c r="OMG179" s="201"/>
      <c r="OMH179" s="201"/>
      <c r="OMI179" s="201"/>
      <c r="OMJ179" s="201"/>
      <c r="OMK179" s="201"/>
      <c r="OML179" s="201"/>
      <c r="OMM179" s="201"/>
      <c r="OMN179" s="201"/>
      <c r="OMO179" s="201"/>
      <c r="OMP179" s="201"/>
      <c r="OMQ179" s="201"/>
      <c r="OMR179" s="201"/>
      <c r="OMS179" s="201"/>
      <c r="OMT179" s="201"/>
      <c r="OMU179" s="201"/>
      <c r="OMV179" s="201"/>
      <c r="OMW179" s="201"/>
      <c r="OMX179" s="201"/>
      <c r="OMY179" s="201"/>
      <c r="OMZ179" s="201"/>
      <c r="ONA179" s="201"/>
      <c r="ONB179" s="201"/>
      <c r="ONC179" s="201"/>
      <c r="OND179" s="201"/>
      <c r="ONE179" s="201"/>
      <c r="ONF179" s="201"/>
      <c r="ONG179" s="201"/>
      <c r="ONH179" s="201"/>
      <c r="ONI179" s="201"/>
      <c r="ONJ179" s="201"/>
      <c r="ONK179" s="201"/>
      <c r="ONL179" s="201"/>
      <c r="ONM179" s="201"/>
      <c r="ONN179" s="201"/>
      <c r="ONO179" s="201"/>
      <c r="ONP179" s="201"/>
      <c r="ONQ179" s="201"/>
      <c r="ONR179" s="201"/>
      <c r="ONS179" s="201"/>
      <c r="ONT179" s="201"/>
      <c r="ONU179" s="201"/>
      <c r="ONV179" s="201"/>
      <c r="ONW179" s="201"/>
      <c r="ONX179" s="201"/>
      <c r="ONY179" s="201"/>
      <c r="ONZ179" s="201"/>
      <c r="OOA179" s="201"/>
      <c r="OOB179" s="201"/>
      <c r="OOC179" s="201"/>
      <c r="OOD179" s="201"/>
      <c r="OOE179" s="201"/>
      <c r="OOF179" s="201"/>
      <c r="OOG179" s="201"/>
      <c r="OOH179" s="201"/>
      <c r="OOI179" s="201"/>
      <c r="OOJ179" s="201"/>
      <c r="OOK179" s="201"/>
      <c r="OOL179" s="201"/>
      <c r="OOM179" s="201"/>
      <c r="OON179" s="201"/>
      <c r="OOO179" s="201"/>
      <c r="OOP179" s="201"/>
      <c r="OOQ179" s="201"/>
      <c r="OOR179" s="201"/>
      <c r="OOS179" s="201"/>
      <c r="OOT179" s="201"/>
      <c r="OOU179" s="201"/>
      <c r="OOV179" s="201"/>
      <c r="OOW179" s="201"/>
      <c r="OOX179" s="201"/>
      <c r="OOY179" s="201"/>
      <c r="OOZ179" s="201"/>
      <c r="OPA179" s="201"/>
      <c r="OPB179" s="201"/>
      <c r="OPC179" s="201"/>
      <c r="OPD179" s="201"/>
      <c r="OPE179" s="201"/>
      <c r="OPF179" s="201"/>
      <c r="OPG179" s="201"/>
      <c r="OPH179" s="201"/>
      <c r="OPI179" s="201"/>
      <c r="OPJ179" s="201"/>
      <c r="OPK179" s="201"/>
      <c r="OPL179" s="201"/>
      <c r="OPM179" s="201"/>
      <c r="OPN179" s="201"/>
      <c r="OPO179" s="201"/>
      <c r="OPP179" s="201"/>
      <c r="OPQ179" s="201"/>
      <c r="OPR179" s="201"/>
      <c r="OPS179" s="201"/>
      <c r="OPT179" s="201"/>
      <c r="OPU179" s="201"/>
      <c r="OPV179" s="201"/>
      <c r="OPW179" s="201"/>
      <c r="OPX179" s="201"/>
      <c r="OPY179" s="201"/>
      <c r="OPZ179" s="201"/>
      <c r="OQA179" s="201"/>
      <c r="OQB179" s="201"/>
      <c r="OQC179" s="201"/>
      <c r="OQD179" s="201"/>
      <c r="OQE179" s="201"/>
      <c r="OQF179" s="201"/>
      <c r="OQG179" s="201"/>
      <c r="OQH179" s="201"/>
      <c r="OQI179" s="201"/>
      <c r="OQJ179" s="201"/>
      <c r="OQK179" s="201"/>
      <c r="OQL179" s="201"/>
      <c r="OQM179" s="201"/>
      <c r="OQN179" s="201"/>
      <c r="OQO179" s="201"/>
      <c r="OQP179" s="201"/>
      <c r="OQQ179" s="201"/>
      <c r="OQR179" s="201"/>
      <c r="OQS179" s="201"/>
      <c r="OQT179" s="201"/>
      <c r="OQU179" s="201"/>
      <c r="OQV179" s="201"/>
      <c r="OQW179" s="201"/>
      <c r="OQX179" s="201"/>
      <c r="OQY179" s="201"/>
      <c r="OQZ179" s="201"/>
      <c r="ORA179" s="201"/>
      <c r="ORB179" s="201"/>
      <c r="ORC179" s="201"/>
      <c r="ORD179" s="201"/>
      <c r="ORE179" s="201"/>
      <c r="ORF179" s="201"/>
      <c r="ORG179" s="201"/>
      <c r="ORH179" s="201"/>
      <c r="ORI179" s="201"/>
      <c r="ORJ179" s="201"/>
      <c r="ORK179" s="201"/>
      <c r="ORL179" s="201"/>
      <c r="ORM179" s="201"/>
      <c r="ORN179" s="201"/>
      <c r="ORO179" s="201"/>
      <c r="ORP179" s="201"/>
      <c r="ORQ179" s="201"/>
      <c r="ORR179" s="201"/>
      <c r="ORS179" s="201"/>
      <c r="ORT179" s="201"/>
      <c r="ORU179" s="201"/>
      <c r="ORV179" s="201"/>
      <c r="ORW179" s="201"/>
      <c r="ORX179" s="201"/>
      <c r="ORY179" s="201"/>
      <c r="ORZ179" s="201"/>
      <c r="OSA179" s="201"/>
      <c r="OSB179" s="201"/>
      <c r="OSC179" s="201"/>
      <c r="OSD179" s="201"/>
      <c r="OSE179" s="201"/>
      <c r="OSF179" s="201"/>
      <c r="OSG179" s="201"/>
      <c r="OSH179" s="201"/>
      <c r="OSI179" s="201"/>
      <c r="OSJ179" s="201"/>
      <c r="OSK179" s="201"/>
      <c r="OSL179" s="201"/>
      <c r="OSM179" s="201"/>
      <c r="OSN179" s="201"/>
      <c r="OSO179" s="201"/>
      <c r="OSP179" s="201"/>
      <c r="OSQ179" s="201"/>
      <c r="OSR179" s="201"/>
      <c r="OSS179" s="201"/>
      <c r="OST179" s="201"/>
      <c r="OSU179" s="201"/>
      <c r="OSV179" s="201"/>
      <c r="OSW179" s="201"/>
      <c r="OSX179" s="201"/>
      <c r="OSY179" s="201"/>
      <c r="OSZ179" s="201"/>
      <c r="OTA179" s="201"/>
      <c r="OTB179" s="201"/>
      <c r="OTC179" s="201"/>
      <c r="OTD179" s="201"/>
      <c r="OTE179" s="201"/>
      <c r="OTF179" s="201"/>
      <c r="OTG179" s="201"/>
      <c r="OTH179" s="201"/>
      <c r="OTI179" s="201"/>
      <c r="OTJ179" s="201"/>
      <c r="OTK179" s="201"/>
      <c r="OTL179" s="201"/>
      <c r="OTM179" s="201"/>
      <c r="OTN179" s="201"/>
      <c r="OTO179" s="201"/>
      <c r="OTP179" s="201"/>
      <c r="OTQ179" s="201"/>
      <c r="OTR179" s="201"/>
      <c r="OTS179" s="201"/>
      <c r="OTT179" s="201"/>
      <c r="OTU179" s="201"/>
      <c r="OTV179" s="201"/>
      <c r="OTW179" s="201"/>
      <c r="OTX179" s="201"/>
      <c r="OTY179" s="201"/>
      <c r="OTZ179" s="201"/>
      <c r="OUA179" s="201"/>
      <c r="OUB179" s="201"/>
      <c r="OUC179" s="201"/>
      <c r="OUD179" s="201"/>
      <c r="OUE179" s="201"/>
      <c r="OUF179" s="201"/>
      <c r="OUG179" s="201"/>
      <c r="OUH179" s="201"/>
      <c r="OUI179" s="201"/>
      <c r="OUJ179" s="201"/>
      <c r="OUK179" s="201"/>
      <c r="OUL179" s="201"/>
      <c r="OUM179" s="201"/>
      <c r="OUN179" s="201"/>
      <c r="OUO179" s="201"/>
      <c r="OUP179" s="201"/>
      <c r="OUQ179" s="201"/>
      <c r="OUR179" s="201"/>
      <c r="OUS179" s="201"/>
      <c r="OUT179" s="201"/>
      <c r="OUU179" s="201"/>
      <c r="OUV179" s="201"/>
      <c r="OUW179" s="201"/>
      <c r="OUX179" s="201"/>
      <c r="OUY179" s="201"/>
      <c r="OUZ179" s="201"/>
      <c r="OVA179" s="201"/>
      <c r="OVB179" s="201"/>
      <c r="OVC179" s="201"/>
      <c r="OVD179" s="201"/>
      <c r="OVE179" s="201"/>
      <c r="OVF179" s="201"/>
      <c r="OVG179" s="201"/>
      <c r="OVH179" s="201"/>
      <c r="OVI179" s="201"/>
      <c r="OVJ179" s="201"/>
      <c r="OVK179" s="201"/>
      <c r="OVL179" s="201"/>
      <c r="OVM179" s="201"/>
      <c r="OVN179" s="201"/>
      <c r="OVO179" s="201"/>
      <c r="OVP179" s="201"/>
      <c r="OVQ179" s="201"/>
      <c r="OVR179" s="201"/>
      <c r="OVS179" s="201"/>
      <c r="OVT179" s="201"/>
      <c r="OVU179" s="201"/>
      <c r="OVV179" s="201"/>
      <c r="OVW179" s="201"/>
      <c r="OVX179" s="201"/>
      <c r="OVY179" s="201"/>
      <c r="OVZ179" s="201"/>
      <c r="OWA179" s="201"/>
      <c r="OWB179" s="201"/>
      <c r="OWC179" s="201"/>
      <c r="OWD179" s="201"/>
      <c r="OWE179" s="201"/>
      <c r="OWF179" s="201"/>
      <c r="OWG179" s="201"/>
      <c r="OWH179" s="201"/>
      <c r="OWI179" s="201"/>
      <c r="OWJ179" s="201"/>
      <c r="OWK179" s="201"/>
      <c r="OWL179" s="201"/>
      <c r="OWM179" s="201"/>
      <c r="OWN179" s="201"/>
      <c r="OWO179" s="201"/>
      <c r="OWP179" s="201"/>
      <c r="OWQ179" s="201"/>
      <c r="OWR179" s="201"/>
      <c r="OWS179" s="201"/>
      <c r="OWT179" s="201"/>
      <c r="OWU179" s="201"/>
      <c r="OWV179" s="201"/>
      <c r="OWW179" s="201"/>
      <c r="OWX179" s="201"/>
      <c r="OWY179" s="201"/>
      <c r="OWZ179" s="201"/>
      <c r="OXA179" s="201"/>
      <c r="OXB179" s="201"/>
      <c r="OXC179" s="201"/>
      <c r="OXD179" s="201"/>
      <c r="OXE179" s="201"/>
      <c r="OXF179" s="201"/>
      <c r="OXG179" s="201"/>
      <c r="OXH179" s="201"/>
      <c r="OXI179" s="201"/>
      <c r="OXJ179" s="201"/>
      <c r="OXK179" s="201"/>
      <c r="OXL179" s="201"/>
      <c r="OXM179" s="201"/>
      <c r="OXN179" s="201"/>
      <c r="OXO179" s="201"/>
      <c r="OXP179" s="201"/>
      <c r="OXQ179" s="201"/>
      <c r="OXR179" s="201"/>
      <c r="OXS179" s="201"/>
      <c r="OXT179" s="201"/>
      <c r="OXU179" s="201"/>
      <c r="OXV179" s="201"/>
      <c r="OXW179" s="201"/>
      <c r="OXX179" s="201"/>
      <c r="OXY179" s="201"/>
      <c r="OXZ179" s="201"/>
      <c r="OYA179" s="201"/>
      <c r="OYB179" s="201"/>
      <c r="OYC179" s="201"/>
      <c r="OYD179" s="201"/>
      <c r="OYE179" s="201"/>
      <c r="OYF179" s="201"/>
      <c r="OYG179" s="201"/>
      <c r="OYH179" s="201"/>
      <c r="OYI179" s="201"/>
      <c r="OYJ179" s="201"/>
      <c r="OYK179" s="201"/>
      <c r="OYL179" s="201"/>
      <c r="OYM179" s="201"/>
      <c r="OYN179" s="201"/>
      <c r="OYO179" s="201"/>
      <c r="OYP179" s="201"/>
      <c r="OYQ179" s="201"/>
      <c r="OYR179" s="201"/>
      <c r="OYS179" s="201"/>
      <c r="OYT179" s="201"/>
      <c r="OYU179" s="201"/>
      <c r="OYV179" s="201"/>
      <c r="OYW179" s="201"/>
      <c r="OYX179" s="201"/>
      <c r="OYY179" s="201"/>
      <c r="OYZ179" s="201"/>
      <c r="OZA179" s="201"/>
      <c r="OZB179" s="201"/>
      <c r="OZC179" s="201"/>
      <c r="OZD179" s="201"/>
      <c r="OZE179" s="201"/>
      <c r="OZF179" s="201"/>
      <c r="OZG179" s="201"/>
      <c r="OZH179" s="201"/>
      <c r="OZI179" s="201"/>
      <c r="OZJ179" s="201"/>
      <c r="OZK179" s="201"/>
      <c r="OZL179" s="201"/>
      <c r="OZM179" s="201"/>
      <c r="OZN179" s="201"/>
      <c r="OZO179" s="201"/>
      <c r="OZP179" s="201"/>
      <c r="OZQ179" s="201"/>
      <c r="OZR179" s="201"/>
      <c r="OZS179" s="201"/>
      <c r="OZT179" s="201"/>
      <c r="OZU179" s="201"/>
      <c r="OZV179" s="201"/>
      <c r="OZW179" s="201"/>
      <c r="OZX179" s="201"/>
      <c r="OZY179" s="201"/>
      <c r="OZZ179" s="201"/>
      <c r="PAA179" s="201"/>
      <c r="PAB179" s="201"/>
      <c r="PAC179" s="201"/>
      <c r="PAD179" s="201"/>
      <c r="PAE179" s="201"/>
      <c r="PAF179" s="201"/>
      <c r="PAG179" s="201"/>
      <c r="PAH179" s="201"/>
      <c r="PAI179" s="201"/>
      <c r="PAJ179" s="201"/>
      <c r="PAK179" s="201"/>
      <c r="PAL179" s="201"/>
      <c r="PAM179" s="201"/>
      <c r="PAN179" s="201"/>
      <c r="PAO179" s="201"/>
      <c r="PAP179" s="201"/>
      <c r="PAQ179" s="201"/>
      <c r="PAR179" s="201"/>
      <c r="PAS179" s="201"/>
      <c r="PAT179" s="201"/>
      <c r="PAU179" s="201"/>
      <c r="PAV179" s="201"/>
      <c r="PAW179" s="201"/>
      <c r="PAX179" s="201"/>
      <c r="PAY179" s="201"/>
      <c r="PAZ179" s="201"/>
      <c r="PBA179" s="201"/>
      <c r="PBB179" s="201"/>
      <c r="PBC179" s="201"/>
      <c r="PBD179" s="201"/>
      <c r="PBE179" s="201"/>
      <c r="PBF179" s="201"/>
      <c r="PBG179" s="201"/>
      <c r="PBH179" s="201"/>
      <c r="PBI179" s="201"/>
      <c r="PBJ179" s="201"/>
      <c r="PBK179" s="201"/>
      <c r="PBL179" s="201"/>
      <c r="PBM179" s="201"/>
      <c r="PBN179" s="201"/>
      <c r="PBO179" s="201"/>
      <c r="PBP179" s="201"/>
      <c r="PBQ179" s="201"/>
      <c r="PBR179" s="201"/>
      <c r="PBS179" s="201"/>
      <c r="PBT179" s="201"/>
      <c r="PBU179" s="201"/>
      <c r="PBV179" s="201"/>
      <c r="PBW179" s="201"/>
      <c r="PBX179" s="201"/>
      <c r="PBY179" s="201"/>
      <c r="PBZ179" s="201"/>
      <c r="PCA179" s="201"/>
      <c r="PCB179" s="201"/>
      <c r="PCC179" s="201"/>
      <c r="PCD179" s="201"/>
      <c r="PCE179" s="201"/>
      <c r="PCF179" s="201"/>
      <c r="PCG179" s="201"/>
      <c r="PCH179" s="201"/>
      <c r="PCI179" s="201"/>
      <c r="PCJ179" s="201"/>
      <c r="PCK179" s="201"/>
      <c r="PCL179" s="201"/>
      <c r="PCM179" s="201"/>
      <c r="PCN179" s="201"/>
      <c r="PCO179" s="201"/>
      <c r="PCP179" s="201"/>
      <c r="PCQ179" s="201"/>
      <c r="PCR179" s="201"/>
      <c r="PCS179" s="201"/>
      <c r="PCT179" s="201"/>
      <c r="PCU179" s="201"/>
      <c r="PCV179" s="201"/>
      <c r="PCW179" s="201"/>
      <c r="PCX179" s="201"/>
      <c r="PCY179" s="201"/>
      <c r="PCZ179" s="201"/>
      <c r="PDA179" s="201"/>
      <c r="PDB179" s="201"/>
      <c r="PDC179" s="201"/>
      <c r="PDD179" s="201"/>
      <c r="PDE179" s="201"/>
      <c r="PDF179" s="201"/>
      <c r="PDG179" s="201"/>
      <c r="PDH179" s="201"/>
      <c r="PDI179" s="201"/>
      <c r="PDJ179" s="201"/>
      <c r="PDK179" s="201"/>
      <c r="PDL179" s="201"/>
      <c r="PDM179" s="201"/>
      <c r="PDN179" s="201"/>
      <c r="PDO179" s="201"/>
      <c r="PDP179" s="201"/>
      <c r="PDQ179" s="201"/>
      <c r="PDR179" s="201"/>
      <c r="PDS179" s="201"/>
      <c r="PDT179" s="201"/>
      <c r="PDU179" s="201"/>
      <c r="PDV179" s="201"/>
      <c r="PDW179" s="201"/>
      <c r="PDX179" s="201"/>
      <c r="PDY179" s="201"/>
      <c r="PDZ179" s="201"/>
      <c r="PEA179" s="201"/>
      <c r="PEB179" s="201"/>
      <c r="PEC179" s="201"/>
      <c r="PED179" s="201"/>
      <c r="PEE179" s="201"/>
      <c r="PEF179" s="201"/>
      <c r="PEG179" s="201"/>
      <c r="PEH179" s="201"/>
      <c r="PEI179" s="201"/>
      <c r="PEJ179" s="201"/>
      <c r="PEK179" s="201"/>
      <c r="PEL179" s="201"/>
      <c r="PEM179" s="201"/>
      <c r="PEN179" s="201"/>
      <c r="PEO179" s="201"/>
      <c r="PEP179" s="201"/>
      <c r="PEQ179" s="201"/>
      <c r="PER179" s="201"/>
      <c r="PES179" s="201"/>
      <c r="PET179" s="201"/>
      <c r="PEU179" s="201"/>
      <c r="PEV179" s="201"/>
      <c r="PEW179" s="201"/>
      <c r="PEX179" s="201"/>
      <c r="PEY179" s="201"/>
      <c r="PEZ179" s="201"/>
      <c r="PFA179" s="201"/>
      <c r="PFB179" s="201"/>
      <c r="PFC179" s="201"/>
      <c r="PFD179" s="201"/>
      <c r="PFE179" s="201"/>
      <c r="PFF179" s="201"/>
      <c r="PFG179" s="201"/>
      <c r="PFH179" s="201"/>
      <c r="PFI179" s="201"/>
      <c r="PFJ179" s="201"/>
      <c r="PFK179" s="201"/>
      <c r="PFL179" s="201"/>
      <c r="PFM179" s="201"/>
      <c r="PFN179" s="201"/>
      <c r="PFO179" s="201"/>
      <c r="PFP179" s="201"/>
      <c r="PFQ179" s="201"/>
      <c r="PFR179" s="201"/>
      <c r="PFS179" s="201"/>
      <c r="PFT179" s="201"/>
      <c r="PFU179" s="201"/>
      <c r="PFV179" s="201"/>
      <c r="PFW179" s="201"/>
      <c r="PFX179" s="201"/>
      <c r="PFY179" s="201"/>
      <c r="PFZ179" s="201"/>
      <c r="PGA179" s="201"/>
      <c r="PGB179" s="201"/>
      <c r="PGC179" s="201"/>
      <c r="PGD179" s="201"/>
      <c r="PGE179" s="201"/>
      <c r="PGF179" s="201"/>
      <c r="PGG179" s="201"/>
      <c r="PGH179" s="201"/>
      <c r="PGI179" s="201"/>
      <c r="PGJ179" s="201"/>
      <c r="PGK179" s="201"/>
      <c r="PGL179" s="201"/>
      <c r="PGM179" s="201"/>
      <c r="PGN179" s="201"/>
      <c r="PGO179" s="201"/>
      <c r="PGP179" s="201"/>
      <c r="PGQ179" s="201"/>
      <c r="PGR179" s="201"/>
      <c r="PGS179" s="201"/>
      <c r="PGT179" s="201"/>
      <c r="PGU179" s="201"/>
      <c r="PGV179" s="201"/>
      <c r="PGW179" s="201"/>
      <c r="PGX179" s="201"/>
      <c r="PGY179" s="201"/>
      <c r="PGZ179" s="201"/>
      <c r="PHA179" s="201"/>
      <c r="PHB179" s="201"/>
      <c r="PHC179" s="201"/>
      <c r="PHD179" s="201"/>
      <c r="PHE179" s="201"/>
      <c r="PHF179" s="201"/>
      <c r="PHG179" s="201"/>
      <c r="PHH179" s="201"/>
      <c r="PHI179" s="201"/>
      <c r="PHJ179" s="201"/>
      <c r="PHK179" s="201"/>
      <c r="PHL179" s="201"/>
      <c r="PHM179" s="201"/>
      <c r="PHN179" s="201"/>
      <c r="PHO179" s="201"/>
      <c r="PHP179" s="201"/>
      <c r="PHQ179" s="201"/>
      <c r="PHR179" s="201"/>
      <c r="PHS179" s="201"/>
      <c r="PHT179" s="201"/>
      <c r="PHU179" s="201"/>
      <c r="PHV179" s="201"/>
      <c r="PHW179" s="201"/>
      <c r="PHX179" s="201"/>
      <c r="PHY179" s="201"/>
      <c r="PHZ179" s="201"/>
      <c r="PIA179" s="201"/>
      <c r="PIB179" s="201"/>
      <c r="PIC179" s="201"/>
      <c r="PID179" s="201"/>
      <c r="PIE179" s="201"/>
      <c r="PIF179" s="201"/>
      <c r="PIG179" s="201"/>
      <c r="PIH179" s="201"/>
      <c r="PII179" s="201"/>
      <c r="PIJ179" s="201"/>
      <c r="PIK179" s="201"/>
      <c r="PIL179" s="201"/>
      <c r="PIM179" s="201"/>
      <c r="PIN179" s="201"/>
      <c r="PIO179" s="201"/>
      <c r="PIP179" s="201"/>
      <c r="PIQ179" s="201"/>
      <c r="PIR179" s="201"/>
      <c r="PIS179" s="201"/>
      <c r="PIT179" s="201"/>
      <c r="PIU179" s="201"/>
      <c r="PIV179" s="201"/>
      <c r="PIW179" s="201"/>
      <c r="PIX179" s="201"/>
      <c r="PIY179" s="201"/>
      <c r="PIZ179" s="201"/>
      <c r="PJA179" s="201"/>
      <c r="PJB179" s="201"/>
      <c r="PJC179" s="201"/>
      <c r="PJD179" s="201"/>
      <c r="PJE179" s="201"/>
      <c r="PJF179" s="201"/>
      <c r="PJG179" s="201"/>
      <c r="PJH179" s="201"/>
      <c r="PJI179" s="201"/>
      <c r="PJJ179" s="201"/>
      <c r="PJK179" s="201"/>
      <c r="PJL179" s="201"/>
      <c r="PJM179" s="201"/>
      <c r="PJN179" s="201"/>
      <c r="PJO179" s="201"/>
      <c r="PJP179" s="201"/>
      <c r="PJQ179" s="201"/>
      <c r="PJR179" s="201"/>
      <c r="PJS179" s="201"/>
      <c r="PJT179" s="201"/>
      <c r="PJU179" s="201"/>
      <c r="PJV179" s="201"/>
      <c r="PJW179" s="201"/>
      <c r="PJX179" s="201"/>
      <c r="PJY179" s="201"/>
      <c r="PJZ179" s="201"/>
      <c r="PKA179" s="201"/>
      <c r="PKB179" s="201"/>
      <c r="PKC179" s="201"/>
      <c r="PKD179" s="201"/>
      <c r="PKE179" s="201"/>
      <c r="PKF179" s="201"/>
      <c r="PKG179" s="201"/>
      <c r="PKH179" s="201"/>
      <c r="PKI179" s="201"/>
      <c r="PKJ179" s="201"/>
      <c r="PKK179" s="201"/>
      <c r="PKL179" s="201"/>
      <c r="PKM179" s="201"/>
      <c r="PKN179" s="201"/>
      <c r="PKO179" s="201"/>
      <c r="PKP179" s="201"/>
      <c r="PKQ179" s="201"/>
      <c r="PKR179" s="201"/>
      <c r="PKS179" s="201"/>
      <c r="PKT179" s="201"/>
      <c r="PKU179" s="201"/>
      <c r="PKV179" s="201"/>
      <c r="PKW179" s="201"/>
      <c r="PKX179" s="201"/>
      <c r="PKY179" s="201"/>
      <c r="PKZ179" s="201"/>
      <c r="PLA179" s="201"/>
      <c r="PLB179" s="201"/>
      <c r="PLC179" s="201"/>
      <c r="PLD179" s="201"/>
      <c r="PLE179" s="201"/>
      <c r="PLF179" s="201"/>
      <c r="PLG179" s="201"/>
      <c r="PLH179" s="201"/>
      <c r="PLI179" s="201"/>
      <c r="PLJ179" s="201"/>
      <c r="PLK179" s="201"/>
      <c r="PLL179" s="201"/>
      <c r="PLM179" s="201"/>
      <c r="PLN179" s="201"/>
      <c r="PLO179" s="201"/>
      <c r="PLP179" s="201"/>
      <c r="PLQ179" s="201"/>
      <c r="PLR179" s="201"/>
      <c r="PLS179" s="201"/>
      <c r="PLT179" s="201"/>
      <c r="PLU179" s="201"/>
      <c r="PLV179" s="201"/>
      <c r="PLW179" s="201"/>
      <c r="PLX179" s="201"/>
      <c r="PLY179" s="201"/>
      <c r="PLZ179" s="201"/>
      <c r="PMA179" s="201"/>
      <c r="PMB179" s="201"/>
      <c r="PMC179" s="201"/>
      <c r="PMD179" s="201"/>
      <c r="PME179" s="201"/>
      <c r="PMF179" s="201"/>
      <c r="PMG179" s="201"/>
      <c r="PMH179" s="201"/>
      <c r="PMI179" s="201"/>
      <c r="PMJ179" s="201"/>
      <c r="PMK179" s="201"/>
      <c r="PML179" s="201"/>
      <c r="PMM179" s="201"/>
      <c r="PMN179" s="201"/>
      <c r="PMO179" s="201"/>
      <c r="PMP179" s="201"/>
      <c r="PMQ179" s="201"/>
      <c r="PMR179" s="201"/>
      <c r="PMS179" s="201"/>
      <c r="PMT179" s="201"/>
      <c r="PMU179" s="201"/>
      <c r="PMV179" s="201"/>
      <c r="PMW179" s="201"/>
      <c r="PMX179" s="201"/>
      <c r="PMY179" s="201"/>
      <c r="PMZ179" s="201"/>
      <c r="PNA179" s="201"/>
      <c r="PNB179" s="201"/>
      <c r="PNC179" s="201"/>
      <c r="PND179" s="201"/>
      <c r="PNE179" s="201"/>
      <c r="PNF179" s="201"/>
      <c r="PNG179" s="201"/>
      <c r="PNH179" s="201"/>
      <c r="PNI179" s="201"/>
      <c r="PNJ179" s="201"/>
      <c r="PNK179" s="201"/>
      <c r="PNL179" s="201"/>
      <c r="PNM179" s="201"/>
      <c r="PNN179" s="201"/>
      <c r="PNO179" s="201"/>
      <c r="PNP179" s="201"/>
      <c r="PNQ179" s="201"/>
      <c r="PNR179" s="201"/>
      <c r="PNS179" s="201"/>
      <c r="PNT179" s="201"/>
      <c r="PNU179" s="201"/>
      <c r="PNV179" s="201"/>
      <c r="PNW179" s="201"/>
      <c r="PNX179" s="201"/>
      <c r="PNY179" s="201"/>
      <c r="PNZ179" s="201"/>
      <c r="POA179" s="201"/>
      <c r="POB179" s="201"/>
      <c r="POC179" s="201"/>
      <c r="POD179" s="201"/>
      <c r="POE179" s="201"/>
      <c r="POF179" s="201"/>
      <c r="POG179" s="201"/>
      <c r="POH179" s="201"/>
      <c r="POI179" s="201"/>
      <c r="POJ179" s="201"/>
      <c r="POK179" s="201"/>
      <c r="POL179" s="201"/>
      <c r="POM179" s="201"/>
      <c r="PON179" s="201"/>
      <c r="POO179" s="201"/>
      <c r="POP179" s="201"/>
      <c r="POQ179" s="201"/>
      <c r="POR179" s="201"/>
      <c r="POS179" s="201"/>
      <c r="POT179" s="201"/>
      <c r="POU179" s="201"/>
      <c r="POV179" s="201"/>
      <c r="POW179" s="201"/>
      <c r="POX179" s="201"/>
      <c r="POY179" s="201"/>
      <c r="POZ179" s="201"/>
      <c r="PPA179" s="201"/>
      <c r="PPB179" s="201"/>
      <c r="PPC179" s="201"/>
      <c r="PPD179" s="201"/>
      <c r="PPE179" s="201"/>
      <c r="PPF179" s="201"/>
      <c r="PPG179" s="201"/>
      <c r="PPH179" s="201"/>
      <c r="PPI179" s="201"/>
      <c r="PPJ179" s="201"/>
      <c r="PPK179" s="201"/>
      <c r="PPL179" s="201"/>
      <c r="PPM179" s="201"/>
      <c r="PPN179" s="201"/>
      <c r="PPO179" s="201"/>
      <c r="PPP179" s="201"/>
      <c r="PPQ179" s="201"/>
      <c r="PPR179" s="201"/>
      <c r="PPS179" s="201"/>
      <c r="PPT179" s="201"/>
      <c r="PPU179" s="201"/>
      <c r="PPV179" s="201"/>
      <c r="PPW179" s="201"/>
      <c r="PPX179" s="201"/>
      <c r="PPY179" s="201"/>
      <c r="PPZ179" s="201"/>
      <c r="PQA179" s="201"/>
      <c r="PQB179" s="201"/>
      <c r="PQC179" s="201"/>
      <c r="PQD179" s="201"/>
      <c r="PQE179" s="201"/>
      <c r="PQF179" s="201"/>
      <c r="PQG179" s="201"/>
      <c r="PQH179" s="201"/>
      <c r="PQI179" s="201"/>
      <c r="PQJ179" s="201"/>
      <c r="PQK179" s="201"/>
      <c r="PQL179" s="201"/>
      <c r="PQM179" s="201"/>
      <c r="PQN179" s="201"/>
      <c r="PQO179" s="201"/>
      <c r="PQP179" s="201"/>
      <c r="PQQ179" s="201"/>
      <c r="PQR179" s="201"/>
      <c r="PQS179" s="201"/>
      <c r="PQT179" s="201"/>
      <c r="PQU179" s="201"/>
      <c r="PQV179" s="201"/>
      <c r="PQW179" s="201"/>
      <c r="PQX179" s="201"/>
      <c r="PQY179" s="201"/>
      <c r="PQZ179" s="201"/>
      <c r="PRA179" s="201"/>
      <c r="PRB179" s="201"/>
      <c r="PRC179" s="201"/>
      <c r="PRD179" s="201"/>
      <c r="PRE179" s="201"/>
      <c r="PRF179" s="201"/>
      <c r="PRG179" s="201"/>
      <c r="PRH179" s="201"/>
      <c r="PRI179" s="201"/>
      <c r="PRJ179" s="201"/>
      <c r="PRK179" s="201"/>
      <c r="PRL179" s="201"/>
      <c r="PRM179" s="201"/>
      <c r="PRN179" s="201"/>
      <c r="PRO179" s="201"/>
      <c r="PRP179" s="201"/>
      <c r="PRQ179" s="201"/>
      <c r="PRR179" s="201"/>
      <c r="PRS179" s="201"/>
      <c r="PRT179" s="201"/>
      <c r="PRU179" s="201"/>
      <c r="PRV179" s="201"/>
      <c r="PRW179" s="201"/>
      <c r="PRX179" s="201"/>
      <c r="PRY179" s="201"/>
      <c r="PRZ179" s="201"/>
      <c r="PSA179" s="201"/>
      <c r="PSB179" s="201"/>
      <c r="PSC179" s="201"/>
      <c r="PSD179" s="201"/>
      <c r="PSE179" s="201"/>
      <c r="PSF179" s="201"/>
      <c r="PSG179" s="201"/>
      <c r="PSH179" s="201"/>
      <c r="PSI179" s="201"/>
      <c r="PSJ179" s="201"/>
      <c r="PSK179" s="201"/>
      <c r="PSL179" s="201"/>
      <c r="PSM179" s="201"/>
      <c r="PSN179" s="201"/>
      <c r="PSO179" s="201"/>
      <c r="PSP179" s="201"/>
      <c r="PSQ179" s="201"/>
      <c r="PSR179" s="201"/>
      <c r="PSS179" s="201"/>
      <c r="PST179" s="201"/>
      <c r="PSU179" s="201"/>
      <c r="PSV179" s="201"/>
      <c r="PSW179" s="201"/>
      <c r="PSX179" s="201"/>
      <c r="PSY179" s="201"/>
      <c r="PSZ179" s="201"/>
      <c r="PTA179" s="201"/>
      <c r="PTB179" s="201"/>
      <c r="PTC179" s="201"/>
      <c r="PTD179" s="201"/>
      <c r="PTE179" s="201"/>
      <c r="PTF179" s="201"/>
      <c r="PTG179" s="201"/>
      <c r="PTH179" s="201"/>
      <c r="PTI179" s="201"/>
      <c r="PTJ179" s="201"/>
      <c r="PTK179" s="201"/>
      <c r="PTL179" s="201"/>
      <c r="PTM179" s="201"/>
      <c r="PTN179" s="201"/>
      <c r="PTO179" s="201"/>
      <c r="PTP179" s="201"/>
      <c r="PTQ179" s="201"/>
      <c r="PTR179" s="201"/>
      <c r="PTS179" s="201"/>
      <c r="PTT179" s="201"/>
      <c r="PTU179" s="201"/>
      <c r="PTV179" s="201"/>
      <c r="PTW179" s="201"/>
      <c r="PTX179" s="201"/>
      <c r="PTY179" s="201"/>
      <c r="PTZ179" s="201"/>
      <c r="PUA179" s="201"/>
      <c r="PUB179" s="201"/>
      <c r="PUC179" s="201"/>
      <c r="PUD179" s="201"/>
      <c r="PUE179" s="201"/>
      <c r="PUF179" s="201"/>
      <c r="PUG179" s="201"/>
      <c r="PUH179" s="201"/>
      <c r="PUI179" s="201"/>
      <c r="PUJ179" s="201"/>
      <c r="PUK179" s="201"/>
      <c r="PUL179" s="201"/>
      <c r="PUM179" s="201"/>
      <c r="PUN179" s="201"/>
      <c r="PUO179" s="201"/>
      <c r="PUP179" s="201"/>
      <c r="PUQ179" s="201"/>
      <c r="PUR179" s="201"/>
      <c r="PUS179" s="201"/>
      <c r="PUT179" s="201"/>
      <c r="PUU179" s="201"/>
      <c r="PUV179" s="201"/>
      <c r="PUW179" s="201"/>
      <c r="PUX179" s="201"/>
      <c r="PUY179" s="201"/>
      <c r="PUZ179" s="201"/>
      <c r="PVA179" s="201"/>
      <c r="PVB179" s="201"/>
      <c r="PVC179" s="201"/>
      <c r="PVD179" s="201"/>
      <c r="PVE179" s="201"/>
      <c r="PVF179" s="201"/>
      <c r="PVG179" s="201"/>
      <c r="PVH179" s="201"/>
      <c r="PVI179" s="201"/>
      <c r="PVJ179" s="201"/>
      <c r="PVK179" s="201"/>
      <c r="PVL179" s="201"/>
      <c r="PVM179" s="201"/>
      <c r="PVN179" s="201"/>
      <c r="PVO179" s="201"/>
      <c r="PVP179" s="201"/>
      <c r="PVQ179" s="201"/>
      <c r="PVR179" s="201"/>
      <c r="PVS179" s="201"/>
      <c r="PVT179" s="201"/>
      <c r="PVU179" s="201"/>
      <c r="PVV179" s="201"/>
      <c r="PVW179" s="201"/>
      <c r="PVX179" s="201"/>
      <c r="PVY179" s="201"/>
      <c r="PVZ179" s="201"/>
      <c r="PWA179" s="201"/>
      <c r="PWB179" s="201"/>
      <c r="PWC179" s="201"/>
      <c r="PWD179" s="201"/>
      <c r="PWE179" s="201"/>
      <c r="PWF179" s="201"/>
      <c r="PWG179" s="201"/>
      <c r="PWH179" s="201"/>
      <c r="PWI179" s="201"/>
      <c r="PWJ179" s="201"/>
      <c r="PWK179" s="201"/>
      <c r="PWL179" s="201"/>
      <c r="PWM179" s="201"/>
      <c r="PWN179" s="201"/>
      <c r="PWO179" s="201"/>
      <c r="PWP179" s="201"/>
      <c r="PWQ179" s="201"/>
      <c r="PWR179" s="201"/>
      <c r="PWS179" s="201"/>
      <c r="PWT179" s="201"/>
      <c r="PWU179" s="201"/>
      <c r="PWV179" s="201"/>
      <c r="PWW179" s="201"/>
      <c r="PWX179" s="201"/>
      <c r="PWY179" s="201"/>
      <c r="PWZ179" s="201"/>
      <c r="PXA179" s="201"/>
      <c r="PXB179" s="201"/>
      <c r="PXC179" s="201"/>
      <c r="PXD179" s="201"/>
      <c r="PXE179" s="201"/>
      <c r="PXF179" s="201"/>
      <c r="PXG179" s="201"/>
      <c r="PXH179" s="201"/>
      <c r="PXI179" s="201"/>
      <c r="PXJ179" s="201"/>
      <c r="PXK179" s="201"/>
      <c r="PXL179" s="201"/>
      <c r="PXM179" s="201"/>
      <c r="PXN179" s="201"/>
      <c r="PXO179" s="201"/>
      <c r="PXP179" s="201"/>
      <c r="PXQ179" s="201"/>
      <c r="PXR179" s="201"/>
      <c r="PXS179" s="201"/>
      <c r="PXT179" s="201"/>
      <c r="PXU179" s="201"/>
      <c r="PXV179" s="201"/>
      <c r="PXW179" s="201"/>
      <c r="PXX179" s="201"/>
      <c r="PXY179" s="201"/>
      <c r="PXZ179" s="201"/>
      <c r="PYA179" s="201"/>
      <c r="PYB179" s="201"/>
      <c r="PYC179" s="201"/>
      <c r="PYD179" s="201"/>
      <c r="PYE179" s="201"/>
      <c r="PYF179" s="201"/>
      <c r="PYG179" s="201"/>
      <c r="PYH179" s="201"/>
      <c r="PYI179" s="201"/>
      <c r="PYJ179" s="201"/>
      <c r="PYK179" s="201"/>
      <c r="PYL179" s="201"/>
      <c r="PYM179" s="201"/>
      <c r="PYN179" s="201"/>
      <c r="PYO179" s="201"/>
      <c r="PYP179" s="201"/>
      <c r="PYQ179" s="201"/>
      <c r="PYR179" s="201"/>
      <c r="PYS179" s="201"/>
      <c r="PYT179" s="201"/>
      <c r="PYU179" s="201"/>
      <c r="PYV179" s="201"/>
      <c r="PYW179" s="201"/>
      <c r="PYX179" s="201"/>
      <c r="PYY179" s="201"/>
      <c r="PYZ179" s="201"/>
      <c r="PZA179" s="201"/>
      <c r="PZB179" s="201"/>
      <c r="PZC179" s="201"/>
      <c r="PZD179" s="201"/>
      <c r="PZE179" s="201"/>
      <c r="PZF179" s="201"/>
      <c r="PZG179" s="201"/>
      <c r="PZH179" s="201"/>
      <c r="PZI179" s="201"/>
      <c r="PZJ179" s="201"/>
      <c r="PZK179" s="201"/>
      <c r="PZL179" s="201"/>
      <c r="PZM179" s="201"/>
      <c r="PZN179" s="201"/>
      <c r="PZO179" s="201"/>
      <c r="PZP179" s="201"/>
      <c r="PZQ179" s="201"/>
      <c r="PZR179" s="201"/>
      <c r="PZS179" s="201"/>
      <c r="PZT179" s="201"/>
      <c r="PZU179" s="201"/>
      <c r="PZV179" s="201"/>
      <c r="PZW179" s="201"/>
      <c r="PZX179" s="201"/>
      <c r="PZY179" s="201"/>
      <c r="PZZ179" s="201"/>
      <c r="QAA179" s="201"/>
      <c r="QAB179" s="201"/>
      <c r="QAC179" s="201"/>
      <c r="QAD179" s="201"/>
      <c r="QAE179" s="201"/>
      <c r="QAF179" s="201"/>
      <c r="QAG179" s="201"/>
      <c r="QAH179" s="201"/>
      <c r="QAI179" s="201"/>
      <c r="QAJ179" s="201"/>
      <c r="QAK179" s="201"/>
      <c r="QAL179" s="201"/>
      <c r="QAM179" s="201"/>
      <c r="QAN179" s="201"/>
      <c r="QAO179" s="201"/>
      <c r="QAP179" s="201"/>
      <c r="QAQ179" s="201"/>
      <c r="QAR179" s="201"/>
      <c r="QAS179" s="201"/>
      <c r="QAT179" s="201"/>
      <c r="QAU179" s="201"/>
      <c r="QAV179" s="201"/>
      <c r="QAW179" s="201"/>
      <c r="QAX179" s="201"/>
      <c r="QAY179" s="201"/>
      <c r="QAZ179" s="201"/>
      <c r="QBA179" s="201"/>
      <c r="QBB179" s="201"/>
      <c r="QBC179" s="201"/>
      <c r="QBD179" s="201"/>
      <c r="QBE179" s="201"/>
      <c r="QBF179" s="201"/>
      <c r="QBG179" s="201"/>
      <c r="QBH179" s="201"/>
      <c r="QBI179" s="201"/>
      <c r="QBJ179" s="201"/>
      <c r="QBK179" s="201"/>
      <c r="QBL179" s="201"/>
      <c r="QBM179" s="201"/>
      <c r="QBN179" s="201"/>
      <c r="QBO179" s="201"/>
      <c r="QBP179" s="201"/>
      <c r="QBQ179" s="201"/>
      <c r="QBR179" s="201"/>
      <c r="QBS179" s="201"/>
      <c r="QBT179" s="201"/>
      <c r="QBU179" s="201"/>
      <c r="QBV179" s="201"/>
      <c r="QBW179" s="201"/>
      <c r="QBX179" s="201"/>
      <c r="QBY179" s="201"/>
      <c r="QBZ179" s="201"/>
      <c r="QCA179" s="201"/>
      <c r="QCB179" s="201"/>
      <c r="QCC179" s="201"/>
      <c r="QCD179" s="201"/>
      <c r="QCE179" s="201"/>
      <c r="QCF179" s="201"/>
      <c r="QCG179" s="201"/>
      <c r="QCH179" s="201"/>
      <c r="QCI179" s="201"/>
      <c r="QCJ179" s="201"/>
      <c r="QCK179" s="201"/>
      <c r="QCL179" s="201"/>
      <c r="QCM179" s="201"/>
      <c r="QCN179" s="201"/>
      <c r="QCO179" s="201"/>
      <c r="QCP179" s="201"/>
      <c r="QCQ179" s="201"/>
      <c r="QCR179" s="201"/>
      <c r="QCS179" s="201"/>
      <c r="QCT179" s="201"/>
      <c r="QCU179" s="201"/>
      <c r="QCV179" s="201"/>
      <c r="QCW179" s="201"/>
      <c r="QCX179" s="201"/>
      <c r="QCY179" s="201"/>
      <c r="QCZ179" s="201"/>
      <c r="QDA179" s="201"/>
      <c r="QDB179" s="201"/>
      <c r="QDC179" s="201"/>
      <c r="QDD179" s="201"/>
      <c r="QDE179" s="201"/>
      <c r="QDF179" s="201"/>
      <c r="QDG179" s="201"/>
      <c r="QDH179" s="201"/>
      <c r="QDI179" s="201"/>
      <c r="QDJ179" s="201"/>
      <c r="QDK179" s="201"/>
      <c r="QDL179" s="201"/>
      <c r="QDM179" s="201"/>
      <c r="QDN179" s="201"/>
      <c r="QDO179" s="201"/>
      <c r="QDP179" s="201"/>
      <c r="QDQ179" s="201"/>
      <c r="QDR179" s="201"/>
      <c r="QDS179" s="201"/>
      <c r="QDT179" s="201"/>
      <c r="QDU179" s="201"/>
      <c r="QDV179" s="201"/>
      <c r="QDW179" s="201"/>
      <c r="QDX179" s="201"/>
      <c r="QDY179" s="201"/>
      <c r="QDZ179" s="201"/>
      <c r="QEA179" s="201"/>
      <c r="QEB179" s="201"/>
      <c r="QEC179" s="201"/>
      <c r="QED179" s="201"/>
      <c r="QEE179" s="201"/>
      <c r="QEF179" s="201"/>
      <c r="QEG179" s="201"/>
      <c r="QEH179" s="201"/>
      <c r="QEI179" s="201"/>
      <c r="QEJ179" s="201"/>
      <c r="QEK179" s="201"/>
      <c r="QEL179" s="201"/>
      <c r="QEM179" s="201"/>
      <c r="QEN179" s="201"/>
      <c r="QEO179" s="201"/>
      <c r="QEP179" s="201"/>
      <c r="QEQ179" s="201"/>
      <c r="QER179" s="201"/>
      <c r="QES179" s="201"/>
      <c r="QET179" s="201"/>
      <c r="QEU179" s="201"/>
      <c r="QEV179" s="201"/>
      <c r="QEW179" s="201"/>
      <c r="QEX179" s="201"/>
      <c r="QEY179" s="201"/>
      <c r="QEZ179" s="201"/>
      <c r="QFA179" s="201"/>
      <c r="QFB179" s="201"/>
      <c r="QFC179" s="201"/>
      <c r="QFD179" s="201"/>
      <c r="QFE179" s="201"/>
      <c r="QFF179" s="201"/>
      <c r="QFG179" s="201"/>
      <c r="QFH179" s="201"/>
      <c r="QFI179" s="201"/>
      <c r="QFJ179" s="201"/>
      <c r="QFK179" s="201"/>
      <c r="QFL179" s="201"/>
      <c r="QFM179" s="201"/>
      <c r="QFN179" s="201"/>
      <c r="QFO179" s="201"/>
      <c r="QFP179" s="201"/>
      <c r="QFQ179" s="201"/>
      <c r="QFR179" s="201"/>
      <c r="QFS179" s="201"/>
      <c r="QFT179" s="201"/>
      <c r="QFU179" s="201"/>
      <c r="QFV179" s="201"/>
      <c r="QFW179" s="201"/>
      <c r="QFX179" s="201"/>
      <c r="QFY179" s="201"/>
      <c r="QFZ179" s="201"/>
      <c r="QGA179" s="201"/>
      <c r="QGB179" s="201"/>
      <c r="QGC179" s="201"/>
      <c r="QGD179" s="201"/>
      <c r="QGE179" s="201"/>
      <c r="QGF179" s="201"/>
      <c r="QGG179" s="201"/>
      <c r="QGH179" s="201"/>
      <c r="QGI179" s="201"/>
      <c r="QGJ179" s="201"/>
      <c r="QGK179" s="201"/>
      <c r="QGL179" s="201"/>
      <c r="QGM179" s="201"/>
      <c r="QGN179" s="201"/>
      <c r="QGO179" s="201"/>
      <c r="QGP179" s="201"/>
      <c r="QGQ179" s="201"/>
      <c r="QGR179" s="201"/>
      <c r="QGS179" s="201"/>
      <c r="QGT179" s="201"/>
      <c r="QGU179" s="201"/>
      <c r="QGV179" s="201"/>
      <c r="QGW179" s="201"/>
      <c r="QGX179" s="201"/>
      <c r="QGY179" s="201"/>
      <c r="QGZ179" s="201"/>
      <c r="QHA179" s="201"/>
      <c r="QHB179" s="201"/>
      <c r="QHC179" s="201"/>
      <c r="QHD179" s="201"/>
      <c r="QHE179" s="201"/>
      <c r="QHF179" s="201"/>
      <c r="QHG179" s="201"/>
      <c r="QHH179" s="201"/>
      <c r="QHI179" s="201"/>
      <c r="QHJ179" s="201"/>
      <c r="QHK179" s="201"/>
      <c r="QHL179" s="201"/>
      <c r="QHM179" s="201"/>
      <c r="QHN179" s="201"/>
      <c r="QHO179" s="201"/>
      <c r="QHP179" s="201"/>
      <c r="QHQ179" s="201"/>
      <c r="QHR179" s="201"/>
      <c r="QHS179" s="201"/>
      <c r="QHT179" s="201"/>
      <c r="QHU179" s="201"/>
      <c r="QHV179" s="201"/>
      <c r="QHW179" s="201"/>
      <c r="QHX179" s="201"/>
      <c r="QHY179" s="201"/>
      <c r="QHZ179" s="201"/>
      <c r="QIA179" s="201"/>
      <c r="QIB179" s="201"/>
      <c r="QIC179" s="201"/>
      <c r="QID179" s="201"/>
      <c r="QIE179" s="201"/>
      <c r="QIF179" s="201"/>
      <c r="QIG179" s="201"/>
      <c r="QIH179" s="201"/>
      <c r="QII179" s="201"/>
      <c r="QIJ179" s="201"/>
      <c r="QIK179" s="201"/>
      <c r="QIL179" s="201"/>
      <c r="QIM179" s="201"/>
      <c r="QIN179" s="201"/>
      <c r="QIO179" s="201"/>
      <c r="QIP179" s="201"/>
      <c r="QIQ179" s="201"/>
      <c r="QIR179" s="201"/>
      <c r="QIS179" s="201"/>
      <c r="QIT179" s="201"/>
      <c r="QIU179" s="201"/>
      <c r="QIV179" s="201"/>
      <c r="QIW179" s="201"/>
      <c r="QIX179" s="201"/>
      <c r="QIY179" s="201"/>
      <c r="QIZ179" s="201"/>
      <c r="QJA179" s="201"/>
      <c r="QJB179" s="201"/>
      <c r="QJC179" s="201"/>
      <c r="QJD179" s="201"/>
      <c r="QJE179" s="201"/>
      <c r="QJF179" s="201"/>
      <c r="QJG179" s="201"/>
      <c r="QJH179" s="201"/>
      <c r="QJI179" s="201"/>
      <c r="QJJ179" s="201"/>
      <c r="QJK179" s="201"/>
      <c r="QJL179" s="201"/>
      <c r="QJM179" s="201"/>
      <c r="QJN179" s="201"/>
      <c r="QJO179" s="201"/>
      <c r="QJP179" s="201"/>
      <c r="QJQ179" s="201"/>
      <c r="QJR179" s="201"/>
      <c r="QJS179" s="201"/>
      <c r="QJT179" s="201"/>
      <c r="QJU179" s="201"/>
      <c r="QJV179" s="201"/>
      <c r="QJW179" s="201"/>
      <c r="QJX179" s="201"/>
      <c r="QJY179" s="201"/>
      <c r="QJZ179" s="201"/>
      <c r="QKA179" s="201"/>
      <c r="QKB179" s="201"/>
      <c r="QKC179" s="201"/>
      <c r="QKD179" s="201"/>
      <c r="QKE179" s="201"/>
      <c r="QKF179" s="201"/>
      <c r="QKG179" s="201"/>
      <c r="QKH179" s="201"/>
      <c r="QKI179" s="201"/>
      <c r="QKJ179" s="201"/>
      <c r="QKK179" s="201"/>
      <c r="QKL179" s="201"/>
      <c r="QKM179" s="201"/>
      <c r="QKN179" s="201"/>
      <c r="QKO179" s="201"/>
      <c r="QKP179" s="201"/>
      <c r="QKQ179" s="201"/>
      <c r="QKR179" s="201"/>
      <c r="QKS179" s="201"/>
      <c r="QKT179" s="201"/>
      <c r="QKU179" s="201"/>
      <c r="QKV179" s="201"/>
      <c r="QKW179" s="201"/>
      <c r="QKX179" s="201"/>
      <c r="QKY179" s="201"/>
      <c r="QKZ179" s="201"/>
      <c r="QLA179" s="201"/>
      <c r="QLB179" s="201"/>
      <c r="QLC179" s="201"/>
      <c r="QLD179" s="201"/>
      <c r="QLE179" s="201"/>
      <c r="QLF179" s="201"/>
      <c r="QLG179" s="201"/>
      <c r="QLH179" s="201"/>
      <c r="QLI179" s="201"/>
      <c r="QLJ179" s="201"/>
      <c r="QLK179" s="201"/>
      <c r="QLL179" s="201"/>
      <c r="QLM179" s="201"/>
      <c r="QLN179" s="201"/>
      <c r="QLO179" s="201"/>
      <c r="QLP179" s="201"/>
      <c r="QLQ179" s="201"/>
      <c r="QLR179" s="201"/>
      <c r="QLS179" s="201"/>
      <c r="QLT179" s="201"/>
      <c r="QLU179" s="201"/>
      <c r="QLV179" s="201"/>
      <c r="QLW179" s="201"/>
      <c r="QLX179" s="201"/>
      <c r="QLY179" s="201"/>
      <c r="QLZ179" s="201"/>
      <c r="QMA179" s="201"/>
      <c r="QMB179" s="201"/>
      <c r="QMC179" s="201"/>
      <c r="QMD179" s="201"/>
      <c r="QME179" s="201"/>
      <c r="QMF179" s="201"/>
      <c r="QMG179" s="201"/>
      <c r="QMH179" s="201"/>
      <c r="QMI179" s="201"/>
      <c r="QMJ179" s="201"/>
      <c r="QMK179" s="201"/>
      <c r="QML179" s="201"/>
      <c r="QMM179" s="201"/>
      <c r="QMN179" s="201"/>
      <c r="QMO179" s="201"/>
      <c r="QMP179" s="201"/>
      <c r="QMQ179" s="201"/>
      <c r="QMR179" s="201"/>
      <c r="QMS179" s="201"/>
      <c r="QMT179" s="201"/>
      <c r="QMU179" s="201"/>
      <c r="QMV179" s="201"/>
      <c r="QMW179" s="201"/>
      <c r="QMX179" s="201"/>
      <c r="QMY179" s="201"/>
      <c r="QMZ179" s="201"/>
      <c r="QNA179" s="201"/>
      <c r="QNB179" s="201"/>
      <c r="QNC179" s="201"/>
      <c r="QND179" s="201"/>
      <c r="QNE179" s="201"/>
      <c r="QNF179" s="201"/>
      <c r="QNG179" s="201"/>
      <c r="QNH179" s="201"/>
      <c r="QNI179" s="201"/>
      <c r="QNJ179" s="201"/>
      <c r="QNK179" s="201"/>
      <c r="QNL179" s="201"/>
      <c r="QNM179" s="201"/>
      <c r="QNN179" s="201"/>
      <c r="QNO179" s="201"/>
      <c r="QNP179" s="201"/>
      <c r="QNQ179" s="201"/>
      <c r="QNR179" s="201"/>
      <c r="QNS179" s="201"/>
      <c r="QNT179" s="201"/>
      <c r="QNU179" s="201"/>
      <c r="QNV179" s="201"/>
      <c r="QNW179" s="201"/>
      <c r="QNX179" s="201"/>
      <c r="QNY179" s="201"/>
      <c r="QNZ179" s="201"/>
      <c r="QOA179" s="201"/>
      <c r="QOB179" s="201"/>
      <c r="QOC179" s="201"/>
      <c r="QOD179" s="201"/>
      <c r="QOE179" s="201"/>
      <c r="QOF179" s="201"/>
      <c r="QOG179" s="201"/>
      <c r="QOH179" s="201"/>
      <c r="QOI179" s="201"/>
      <c r="QOJ179" s="201"/>
      <c r="QOK179" s="201"/>
      <c r="QOL179" s="201"/>
      <c r="QOM179" s="201"/>
      <c r="QON179" s="201"/>
      <c r="QOO179" s="201"/>
      <c r="QOP179" s="201"/>
      <c r="QOQ179" s="201"/>
      <c r="QOR179" s="201"/>
      <c r="QOS179" s="201"/>
      <c r="QOT179" s="201"/>
      <c r="QOU179" s="201"/>
      <c r="QOV179" s="201"/>
      <c r="QOW179" s="201"/>
      <c r="QOX179" s="201"/>
      <c r="QOY179" s="201"/>
      <c r="QOZ179" s="201"/>
      <c r="QPA179" s="201"/>
      <c r="QPB179" s="201"/>
      <c r="QPC179" s="201"/>
      <c r="QPD179" s="201"/>
      <c r="QPE179" s="201"/>
      <c r="QPF179" s="201"/>
      <c r="QPG179" s="201"/>
      <c r="QPH179" s="201"/>
      <c r="QPI179" s="201"/>
      <c r="QPJ179" s="201"/>
      <c r="QPK179" s="201"/>
      <c r="QPL179" s="201"/>
      <c r="QPM179" s="201"/>
      <c r="QPN179" s="201"/>
      <c r="QPO179" s="201"/>
      <c r="QPP179" s="201"/>
      <c r="QPQ179" s="201"/>
      <c r="QPR179" s="201"/>
      <c r="QPS179" s="201"/>
      <c r="QPT179" s="201"/>
      <c r="QPU179" s="201"/>
      <c r="QPV179" s="201"/>
      <c r="QPW179" s="201"/>
      <c r="QPX179" s="201"/>
      <c r="QPY179" s="201"/>
      <c r="QPZ179" s="201"/>
      <c r="QQA179" s="201"/>
      <c r="QQB179" s="201"/>
      <c r="QQC179" s="201"/>
      <c r="QQD179" s="201"/>
      <c r="QQE179" s="201"/>
      <c r="QQF179" s="201"/>
      <c r="QQG179" s="201"/>
      <c r="QQH179" s="201"/>
      <c r="QQI179" s="201"/>
      <c r="QQJ179" s="201"/>
      <c r="QQK179" s="201"/>
      <c r="QQL179" s="201"/>
      <c r="QQM179" s="201"/>
      <c r="QQN179" s="201"/>
      <c r="QQO179" s="201"/>
      <c r="QQP179" s="201"/>
      <c r="QQQ179" s="201"/>
      <c r="QQR179" s="201"/>
      <c r="QQS179" s="201"/>
      <c r="QQT179" s="201"/>
      <c r="QQU179" s="201"/>
      <c r="QQV179" s="201"/>
      <c r="QQW179" s="201"/>
      <c r="QQX179" s="201"/>
      <c r="QQY179" s="201"/>
      <c r="QQZ179" s="201"/>
      <c r="QRA179" s="201"/>
      <c r="QRB179" s="201"/>
      <c r="QRC179" s="201"/>
      <c r="QRD179" s="201"/>
      <c r="QRE179" s="201"/>
      <c r="QRF179" s="201"/>
      <c r="QRG179" s="201"/>
      <c r="QRH179" s="201"/>
      <c r="QRI179" s="201"/>
      <c r="QRJ179" s="201"/>
      <c r="QRK179" s="201"/>
      <c r="QRL179" s="201"/>
      <c r="QRM179" s="201"/>
      <c r="QRN179" s="201"/>
      <c r="QRO179" s="201"/>
      <c r="QRP179" s="201"/>
      <c r="QRQ179" s="201"/>
      <c r="QRR179" s="201"/>
      <c r="QRS179" s="201"/>
      <c r="QRT179" s="201"/>
      <c r="QRU179" s="201"/>
      <c r="QRV179" s="201"/>
      <c r="QRW179" s="201"/>
      <c r="QRX179" s="201"/>
      <c r="QRY179" s="201"/>
      <c r="QRZ179" s="201"/>
      <c r="QSA179" s="201"/>
      <c r="QSB179" s="201"/>
      <c r="QSC179" s="201"/>
      <c r="QSD179" s="201"/>
      <c r="QSE179" s="201"/>
      <c r="QSF179" s="201"/>
      <c r="QSG179" s="201"/>
      <c r="QSH179" s="201"/>
      <c r="QSI179" s="201"/>
      <c r="QSJ179" s="201"/>
      <c r="QSK179" s="201"/>
      <c r="QSL179" s="201"/>
      <c r="QSM179" s="201"/>
      <c r="QSN179" s="201"/>
      <c r="QSO179" s="201"/>
      <c r="QSP179" s="201"/>
      <c r="QSQ179" s="201"/>
      <c r="QSR179" s="201"/>
      <c r="QSS179" s="201"/>
      <c r="QST179" s="201"/>
      <c r="QSU179" s="201"/>
      <c r="QSV179" s="201"/>
      <c r="QSW179" s="201"/>
      <c r="QSX179" s="201"/>
      <c r="QSY179" s="201"/>
      <c r="QSZ179" s="201"/>
      <c r="QTA179" s="201"/>
      <c r="QTB179" s="201"/>
      <c r="QTC179" s="201"/>
      <c r="QTD179" s="201"/>
      <c r="QTE179" s="201"/>
      <c r="QTF179" s="201"/>
      <c r="QTG179" s="201"/>
      <c r="QTH179" s="201"/>
      <c r="QTI179" s="201"/>
      <c r="QTJ179" s="201"/>
      <c r="QTK179" s="201"/>
      <c r="QTL179" s="201"/>
      <c r="QTM179" s="201"/>
      <c r="QTN179" s="201"/>
      <c r="QTO179" s="201"/>
      <c r="QTP179" s="201"/>
      <c r="QTQ179" s="201"/>
      <c r="QTR179" s="201"/>
      <c r="QTS179" s="201"/>
      <c r="QTT179" s="201"/>
      <c r="QTU179" s="201"/>
      <c r="QTV179" s="201"/>
      <c r="QTW179" s="201"/>
      <c r="QTX179" s="201"/>
      <c r="QTY179" s="201"/>
      <c r="QTZ179" s="201"/>
      <c r="QUA179" s="201"/>
      <c r="QUB179" s="201"/>
      <c r="QUC179" s="201"/>
      <c r="QUD179" s="201"/>
      <c r="QUE179" s="201"/>
      <c r="QUF179" s="201"/>
      <c r="QUG179" s="201"/>
      <c r="QUH179" s="201"/>
      <c r="QUI179" s="201"/>
      <c r="QUJ179" s="201"/>
      <c r="QUK179" s="201"/>
      <c r="QUL179" s="201"/>
      <c r="QUM179" s="201"/>
      <c r="QUN179" s="201"/>
      <c r="QUO179" s="201"/>
      <c r="QUP179" s="201"/>
      <c r="QUQ179" s="201"/>
      <c r="QUR179" s="201"/>
      <c r="QUS179" s="201"/>
      <c r="QUT179" s="201"/>
      <c r="QUU179" s="201"/>
      <c r="QUV179" s="201"/>
      <c r="QUW179" s="201"/>
      <c r="QUX179" s="201"/>
      <c r="QUY179" s="201"/>
      <c r="QUZ179" s="201"/>
      <c r="QVA179" s="201"/>
      <c r="QVB179" s="201"/>
      <c r="QVC179" s="201"/>
      <c r="QVD179" s="201"/>
      <c r="QVE179" s="201"/>
      <c r="QVF179" s="201"/>
      <c r="QVG179" s="201"/>
      <c r="QVH179" s="201"/>
      <c r="QVI179" s="201"/>
      <c r="QVJ179" s="201"/>
      <c r="QVK179" s="201"/>
      <c r="QVL179" s="201"/>
      <c r="QVM179" s="201"/>
      <c r="QVN179" s="201"/>
      <c r="QVO179" s="201"/>
      <c r="QVP179" s="201"/>
      <c r="QVQ179" s="201"/>
      <c r="QVR179" s="201"/>
      <c r="QVS179" s="201"/>
      <c r="QVT179" s="201"/>
      <c r="QVU179" s="201"/>
      <c r="QVV179" s="201"/>
      <c r="QVW179" s="201"/>
      <c r="QVX179" s="201"/>
      <c r="QVY179" s="201"/>
      <c r="QVZ179" s="201"/>
      <c r="QWA179" s="201"/>
      <c r="QWB179" s="201"/>
      <c r="QWC179" s="201"/>
      <c r="QWD179" s="201"/>
      <c r="QWE179" s="201"/>
      <c r="QWF179" s="201"/>
      <c r="QWG179" s="201"/>
      <c r="QWH179" s="201"/>
      <c r="QWI179" s="201"/>
      <c r="QWJ179" s="201"/>
      <c r="QWK179" s="201"/>
      <c r="QWL179" s="201"/>
      <c r="QWM179" s="201"/>
      <c r="QWN179" s="201"/>
      <c r="QWO179" s="201"/>
      <c r="QWP179" s="201"/>
      <c r="QWQ179" s="201"/>
      <c r="QWR179" s="201"/>
      <c r="QWS179" s="201"/>
      <c r="QWT179" s="201"/>
      <c r="QWU179" s="201"/>
      <c r="QWV179" s="201"/>
      <c r="QWW179" s="201"/>
      <c r="QWX179" s="201"/>
      <c r="QWY179" s="201"/>
      <c r="QWZ179" s="201"/>
      <c r="QXA179" s="201"/>
      <c r="QXB179" s="201"/>
      <c r="QXC179" s="201"/>
      <c r="QXD179" s="201"/>
      <c r="QXE179" s="201"/>
      <c r="QXF179" s="201"/>
      <c r="QXG179" s="201"/>
      <c r="QXH179" s="201"/>
      <c r="QXI179" s="201"/>
      <c r="QXJ179" s="201"/>
      <c r="QXK179" s="201"/>
      <c r="QXL179" s="201"/>
      <c r="QXM179" s="201"/>
      <c r="QXN179" s="201"/>
      <c r="QXO179" s="201"/>
      <c r="QXP179" s="201"/>
      <c r="QXQ179" s="201"/>
      <c r="QXR179" s="201"/>
      <c r="QXS179" s="201"/>
      <c r="QXT179" s="201"/>
      <c r="QXU179" s="201"/>
      <c r="QXV179" s="201"/>
      <c r="QXW179" s="201"/>
      <c r="QXX179" s="201"/>
      <c r="QXY179" s="201"/>
      <c r="QXZ179" s="201"/>
      <c r="QYA179" s="201"/>
      <c r="QYB179" s="201"/>
      <c r="QYC179" s="201"/>
      <c r="QYD179" s="201"/>
      <c r="QYE179" s="201"/>
      <c r="QYF179" s="201"/>
      <c r="QYG179" s="201"/>
      <c r="QYH179" s="201"/>
      <c r="QYI179" s="201"/>
      <c r="QYJ179" s="201"/>
      <c r="QYK179" s="201"/>
      <c r="QYL179" s="201"/>
      <c r="QYM179" s="201"/>
      <c r="QYN179" s="201"/>
      <c r="QYO179" s="201"/>
      <c r="QYP179" s="201"/>
      <c r="QYQ179" s="201"/>
      <c r="QYR179" s="201"/>
      <c r="QYS179" s="201"/>
      <c r="QYT179" s="201"/>
      <c r="QYU179" s="201"/>
      <c r="QYV179" s="201"/>
      <c r="QYW179" s="201"/>
      <c r="QYX179" s="201"/>
      <c r="QYY179" s="201"/>
      <c r="QYZ179" s="201"/>
      <c r="QZA179" s="201"/>
      <c r="QZB179" s="201"/>
      <c r="QZC179" s="201"/>
      <c r="QZD179" s="201"/>
      <c r="QZE179" s="201"/>
      <c r="QZF179" s="201"/>
      <c r="QZG179" s="201"/>
      <c r="QZH179" s="201"/>
      <c r="QZI179" s="201"/>
      <c r="QZJ179" s="201"/>
      <c r="QZK179" s="201"/>
      <c r="QZL179" s="201"/>
      <c r="QZM179" s="201"/>
      <c r="QZN179" s="201"/>
      <c r="QZO179" s="201"/>
      <c r="QZP179" s="201"/>
      <c r="QZQ179" s="201"/>
      <c r="QZR179" s="201"/>
      <c r="QZS179" s="201"/>
      <c r="QZT179" s="201"/>
      <c r="QZU179" s="201"/>
      <c r="QZV179" s="201"/>
      <c r="QZW179" s="201"/>
      <c r="QZX179" s="201"/>
      <c r="QZY179" s="201"/>
      <c r="QZZ179" s="201"/>
      <c r="RAA179" s="201"/>
      <c r="RAB179" s="201"/>
      <c r="RAC179" s="201"/>
      <c r="RAD179" s="201"/>
      <c r="RAE179" s="201"/>
      <c r="RAF179" s="201"/>
      <c r="RAG179" s="201"/>
      <c r="RAH179" s="201"/>
      <c r="RAI179" s="201"/>
      <c r="RAJ179" s="201"/>
      <c r="RAK179" s="201"/>
      <c r="RAL179" s="201"/>
      <c r="RAM179" s="201"/>
      <c r="RAN179" s="201"/>
      <c r="RAO179" s="201"/>
      <c r="RAP179" s="201"/>
      <c r="RAQ179" s="201"/>
      <c r="RAR179" s="201"/>
      <c r="RAS179" s="201"/>
      <c r="RAT179" s="201"/>
      <c r="RAU179" s="201"/>
      <c r="RAV179" s="201"/>
      <c r="RAW179" s="201"/>
      <c r="RAX179" s="201"/>
      <c r="RAY179" s="201"/>
      <c r="RAZ179" s="201"/>
      <c r="RBA179" s="201"/>
      <c r="RBB179" s="201"/>
      <c r="RBC179" s="201"/>
      <c r="RBD179" s="201"/>
      <c r="RBE179" s="201"/>
      <c r="RBF179" s="201"/>
      <c r="RBG179" s="201"/>
      <c r="RBH179" s="201"/>
      <c r="RBI179" s="201"/>
      <c r="RBJ179" s="201"/>
      <c r="RBK179" s="201"/>
      <c r="RBL179" s="201"/>
      <c r="RBM179" s="201"/>
      <c r="RBN179" s="201"/>
      <c r="RBO179" s="201"/>
      <c r="RBP179" s="201"/>
      <c r="RBQ179" s="201"/>
      <c r="RBR179" s="201"/>
      <c r="RBS179" s="201"/>
      <c r="RBT179" s="201"/>
      <c r="RBU179" s="201"/>
      <c r="RBV179" s="201"/>
      <c r="RBW179" s="201"/>
      <c r="RBX179" s="201"/>
      <c r="RBY179" s="201"/>
      <c r="RBZ179" s="201"/>
      <c r="RCA179" s="201"/>
      <c r="RCB179" s="201"/>
      <c r="RCC179" s="201"/>
      <c r="RCD179" s="201"/>
      <c r="RCE179" s="201"/>
      <c r="RCF179" s="201"/>
      <c r="RCG179" s="201"/>
      <c r="RCH179" s="201"/>
      <c r="RCI179" s="201"/>
      <c r="RCJ179" s="201"/>
      <c r="RCK179" s="201"/>
      <c r="RCL179" s="201"/>
      <c r="RCM179" s="201"/>
      <c r="RCN179" s="201"/>
      <c r="RCO179" s="201"/>
      <c r="RCP179" s="201"/>
      <c r="RCQ179" s="201"/>
      <c r="RCR179" s="201"/>
      <c r="RCS179" s="201"/>
      <c r="RCT179" s="201"/>
      <c r="RCU179" s="201"/>
      <c r="RCV179" s="201"/>
      <c r="RCW179" s="201"/>
      <c r="RCX179" s="201"/>
      <c r="RCY179" s="201"/>
      <c r="RCZ179" s="201"/>
      <c r="RDA179" s="201"/>
      <c r="RDB179" s="201"/>
      <c r="RDC179" s="201"/>
      <c r="RDD179" s="201"/>
      <c r="RDE179" s="201"/>
      <c r="RDF179" s="201"/>
      <c r="RDG179" s="201"/>
      <c r="RDH179" s="201"/>
      <c r="RDI179" s="201"/>
      <c r="RDJ179" s="201"/>
      <c r="RDK179" s="201"/>
      <c r="RDL179" s="201"/>
      <c r="RDM179" s="201"/>
      <c r="RDN179" s="201"/>
      <c r="RDO179" s="201"/>
      <c r="RDP179" s="201"/>
      <c r="RDQ179" s="201"/>
      <c r="RDR179" s="201"/>
      <c r="RDS179" s="201"/>
      <c r="RDT179" s="201"/>
      <c r="RDU179" s="201"/>
      <c r="RDV179" s="201"/>
      <c r="RDW179" s="201"/>
      <c r="RDX179" s="201"/>
      <c r="RDY179" s="201"/>
      <c r="RDZ179" s="201"/>
      <c r="REA179" s="201"/>
      <c r="REB179" s="201"/>
      <c r="REC179" s="201"/>
      <c r="RED179" s="201"/>
      <c r="REE179" s="201"/>
      <c r="REF179" s="201"/>
      <c r="REG179" s="201"/>
      <c r="REH179" s="201"/>
      <c r="REI179" s="201"/>
      <c r="REJ179" s="201"/>
      <c r="REK179" s="201"/>
      <c r="REL179" s="201"/>
      <c r="REM179" s="201"/>
      <c r="REN179" s="201"/>
      <c r="REO179" s="201"/>
      <c r="REP179" s="201"/>
      <c r="REQ179" s="201"/>
      <c r="RER179" s="201"/>
      <c r="RES179" s="201"/>
      <c r="RET179" s="201"/>
      <c r="REU179" s="201"/>
      <c r="REV179" s="201"/>
      <c r="REW179" s="201"/>
      <c r="REX179" s="201"/>
      <c r="REY179" s="201"/>
      <c r="REZ179" s="201"/>
      <c r="RFA179" s="201"/>
      <c r="RFB179" s="201"/>
      <c r="RFC179" s="201"/>
      <c r="RFD179" s="201"/>
      <c r="RFE179" s="201"/>
      <c r="RFF179" s="201"/>
      <c r="RFG179" s="201"/>
      <c r="RFH179" s="201"/>
      <c r="RFI179" s="201"/>
      <c r="RFJ179" s="201"/>
      <c r="RFK179" s="201"/>
      <c r="RFL179" s="201"/>
      <c r="RFM179" s="201"/>
      <c r="RFN179" s="201"/>
      <c r="RFO179" s="201"/>
      <c r="RFP179" s="201"/>
      <c r="RFQ179" s="201"/>
      <c r="RFR179" s="201"/>
      <c r="RFS179" s="201"/>
      <c r="RFT179" s="201"/>
      <c r="RFU179" s="201"/>
      <c r="RFV179" s="201"/>
      <c r="RFW179" s="201"/>
      <c r="RFX179" s="201"/>
      <c r="RFY179" s="201"/>
      <c r="RFZ179" s="201"/>
      <c r="RGA179" s="201"/>
      <c r="RGB179" s="201"/>
      <c r="RGC179" s="201"/>
      <c r="RGD179" s="201"/>
      <c r="RGE179" s="201"/>
      <c r="RGF179" s="201"/>
      <c r="RGG179" s="201"/>
      <c r="RGH179" s="201"/>
      <c r="RGI179" s="201"/>
      <c r="RGJ179" s="201"/>
      <c r="RGK179" s="201"/>
      <c r="RGL179" s="201"/>
      <c r="RGM179" s="201"/>
      <c r="RGN179" s="201"/>
      <c r="RGO179" s="201"/>
      <c r="RGP179" s="201"/>
      <c r="RGQ179" s="201"/>
      <c r="RGR179" s="201"/>
      <c r="RGS179" s="201"/>
      <c r="RGT179" s="201"/>
      <c r="RGU179" s="201"/>
      <c r="RGV179" s="201"/>
      <c r="RGW179" s="201"/>
      <c r="RGX179" s="201"/>
      <c r="RGY179" s="201"/>
      <c r="RGZ179" s="201"/>
      <c r="RHA179" s="201"/>
      <c r="RHB179" s="201"/>
      <c r="RHC179" s="201"/>
      <c r="RHD179" s="201"/>
      <c r="RHE179" s="201"/>
      <c r="RHF179" s="201"/>
      <c r="RHG179" s="201"/>
      <c r="RHH179" s="201"/>
      <c r="RHI179" s="201"/>
      <c r="RHJ179" s="201"/>
      <c r="RHK179" s="201"/>
      <c r="RHL179" s="201"/>
      <c r="RHM179" s="201"/>
      <c r="RHN179" s="201"/>
      <c r="RHO179" s="201"/>
      <c r="RHP179" s="201"/>
      <c r="RHQ179" s="201"/>
      <c r="RHR179" s="201"/>
      <c r="RHS179" s="201"/>
      <c r="RHT179" s="201"/>
      <c r="RHU179" s="201"/>
      <c r="RHV179" s="201"/>
      <c r="RHW179" s="201"/>
      <c r="RHX179" s="201"/>
      <c r="RHY179" s="201"/>
      <c r="RHZ179" s="201"/>
      <c r="RIA179" s="201"/>
      <c r="RIB179" s="201"/>
      <c r="RIC179" s="201"/>
      <c r="RID179" s="201"/>
      <c r="RIE179" s="201"/>
      <c r="RIF179" s="201"/>
      <c r="RIG179" s="201"/>
      <c r="RIH179" s="201"/>
      <c r="RII179" s="201"/>
      <c r="RIJ179" s="201"/>
      <c r="RIK179" s="201"/>
      <c r="RIL179" s="201"/>
      <c r="RIM179" s="201"/>
      <c r="RIN179" s="201"/>
      <c r="RIO179" s="201"/>
      <c r="RIP179" s="201"/>
      <c r="RIQ179" s="201"/>
      <c r="RIR179" s="201"/>
      <c r="RIS179" s="201"/>
      <c r="RIT179" s="201"/>
      <c r="RIU179" s="201"/>
      <c r="RIV179" s="201"/>
      <c r="RIW179" s="201"/>
      <c r="RIX179" s="201"/>
      <c r="RIY179" s="201"/>
      <c r="RIZ179" s="201"/>
      <c r="RJA179" s="201"/>
      <c r="RJB179" s="201"/>
      <c r="RJC179" s="201"/>
      <c r="RJD179" s="201"/>
      <c r="RJE179" s="201"/>
      <c r="RJF179" s="201"/>
      <c r="RJG179" s="201"/>
      <c r="RJH179" s="201"/>
      <c r="RJI179" s="201"/>
      <c r="RJJ179" s="201"/>
      <c r="RJK179" s="201"/>
      <c r="RJL179" s="201"/>
      <c r="RJM179" s="201"/>
      <c r="RJN179" s="201"/>
      <c r="RJO179" s="201"/>
      <c r="RJP179" s="201"/>
      <c r="RJQ179" s="201"/>
      <c r="RJR179" s="201"/>
      <c r="RJS179" s="201"/>
      <c r="RJT179" s="201"/>
      <c r="RJU179" s="201"/>
      <c r="RJV179" s="201"/>
      <c r="RJW179" s="201"/>
      <c r="RJX179" s="201"/>
      <c r="RJY179" s="201"/>
      <c r="RJZ179" s="201"/>
      <c r="RKA179" s="201"/>
      <c r="RKB179" s="201"/>
      <c r="RKC179" s="201"/>
      <c r="RKD179" s="201"/>
      <c r="RKE179" s="201"/>
      <c r="RKF179" s="201"/>
      <c r="RKG179" s="201"/>
      <c r="RKH179" s="201"/>
      <c r="RKI179" s="201"/>
      <c r="RKJ179" s="201"/>
      <c r="RKK179" s="201"/>
      <c r="RKL179" s="201"/>
      <c r="RKM179" s="201"/>
      <c r="RKN179" s="201"/>
      <c r="RKO179" s="201"/>
      <c r="RKP179" s="201"/>
      <c r="RKQ179" s="201"/>
      <c r="RKR179" s="201"/>
      <c r="RKS179" s="201"/>
      <c r="RKT179" s="201"/>
      <c r="RKU179" s="201"/>
      <c r="RKV179" s="201"/>
      <c r="RKW179" s="201"/>
      <c r="RKX179" s="201"/>
      <c r="RKY179" s="201"/>
      <c r="RKZ179" s="201"/>
      <c r="RLA179" s="201"/>
      <c r="RLB179" s="201"/>
      <c r="RLC179" s="201"/>
      <c r="RLD179" s="201"/>
      <c r="RLE179" s="201"/>
      <c r="RLF179" s="201"/>
      <c r="RLG179" s="201"/>
      <c r="RLH179" s="201"/>
      <c r="RLI179" s="201"/>
      <c r="RLJ179" s="201"/>
      <c r="RLK179" s="201"/>
      <c r="RLL179" s="201"/>
      <c r="RLM179" s="201"/>
      <c r="RLN179" s="201"/>
      <c r="RLO179" s="201"/>
      <c r="RLP179" s="201"/>
      <c r="RLQ179" s="201"/>
      <c r="RLR179" s="201"/>
      <c r="RLS179" s="201"/>
      <c r="RLT179" s="201"/>
      <c r="RLU179" s="201"/>
      <c r="RLV179" s="201"/>
      <c r="RLW179" s="201"/>
      <c r="RLX179" s="201"/>
      <c r="RLY179" s="201"/>
      <c r="RLZ179" s="201"/>
      <c r="RMA179" s="201"/>
      <c r="RMB179" s="201"/>
      <c r="RMC179" s="201"/>
      <c r="RMD179" s="201"/>
      <c r="RME179" s="201"/>
      <c r="RMF179" s="201"/>
      <c r="RMG179" s="201"/>
      <c r="RMH179" s="201"/>
      <c r="RMI179" s="201"/>
      <c r="RMJ179" s="201"/>
      <c r="RMK179" s="201"/>
      <c r="RML179" s="201"/>
      <c r="RMM179" s="201"/>
      <c r="RMN179" s="201"/>
      <c r="RMO179" s="201"/>
      <c r="RMP179" s="201"/>
      <c r="RMQ179" s="201"/>
      <c r="RMR179" s="201"/>
      <c r="RMS179" s="201"/>
      <c r="RMT179" s="201"/>
      <c r="RMU179" s="201"/>
      <c r="RMV179" s="201"/>
      <c r="RMW179" s="201"/>
      <c r="RMX179" s="201"/>
      <c r="RMY179" s="201"/>
      <c r="RMZ179" s="201"/>
      <c r="RNA179" s="201"/>
      <c r="RNB179" s="201"/>
      <c r="RNC179" s="201"/>
      <c r="RND179" s="201"/>
      <c r="RNE179" s="201"/>
      <c r="RNF179" s="201"/>
      <c r="RNG179" s="201"/>
      <c r="RNH179" s="201"/>
      <c r="RNI179" s="201"/>
      <c r="RNJ179" s="201"/>
      <c r="RNK179" s="201"/>
      <c r="RNL179" s="201"/>
      <c r="RNM179" s="201"/>
      <c r="RNN179" s="201"/>
      <c r="RNO179" s="201"/>
      <c r="RNP179" s="201"/>
      <c r="RNQ179" s="201"/>
      <c r="RNR179" s="201"/>
      <c r="RNS179" s="201"/>
      <c r="RNT179" s="201"/>
      <c r="RNU179" s="201"/>
      <c r="RNV179" s="201"/>
      <c r="RNW179" s="201"/>
      <c r="RNX179" s="201"/>
      <c r="RNY179" s="201"/>
      <c r="RNZ179" s="201"/>
      <c r="ROA179" s="201"/>
      <c r="ROB179" s="201"/>
      <c r="ROC179" s="201"/>
      <c r="ROD179" s="201"/>
      <c r="ROE179" s="201"/>
      <c r="ROF179" s="201"/>
      <c r="ROG179" s="201"/>
      <c r="ROH179" s="201"/>
      <c r="ROI179" s="201"/>
      <c r="ROJ179" s="201"/>
      <c r="ROK179" s="201"/>
      <c r="ROL179" s="201"/>
      <c r="ROM179" s="201"/>
      <c r="RON179" s="201"/>
      <c r="ROO179" s="201"/>
      <c r="ROP179" s="201"/>
      <c r="ROQ179" s="201"/>
      <c r="ROR179" s="201"/>
      <c r="ROS179" s="201"/>
      <c r="ROT179" s="201"/>
      <c r="ROU179" s="201"/>
      <c r="ROV179" s="201"/>
      <c r="ROW179" s="201"/>
      <c r="ROX179" s="201"/>
      <c r="ROY179" s="201"/>
      <c r="ROZ179" s="201"/>
      <c r="RPA179" s="201"/>
      <c r="RPB179" s="201"/>
      <c r="RPC179" s="201"/>
      <c r="RPD179" s="201"/>
      <c r="RPE179" s="201"/>
      <c r="RPF179" s="201"/>
      <c r="RPG179" s="201"/>
      <c r="RPH179" s="201"/>
      <c r="RPI179" s="201"/>
      <c r="RPJ179" s="201"/>
      <c r="RPK179" s="201"/>
      <c r="RPL179" s="201"/>
      <c r="RPM179" s="201"/>
      <c r="RPN179" s="201"/>
      <c r="RPO179" s="201"/>
      <c r="RPP179" s="201"/>
      <c r="RPQ179" s="201"/>
      <c r="RPR179" s="201"/>
      <c r="RPS179" s="201"/>
      <c r="RPT179" s="201"/>
      <c r="RPU179" s="201"/>
      <c r="RPV179" s="201"/>
      <c r="RPW179" s="201"/>
      <c r="RPX179" s="201"/>
      <c r="RPY179" s="201"/>
      <c r="RPZ179" s="201"/>
      <c r="RQA179" s="201"/>
      <c r="RQB179" s="201"/>
      <c r="RQC179" s="201"/>
      <c r="RQD179" s="201"/>
      <c r="RQE179" s="201"/>
      <c r="RQF179" s="201"/>
      <c r="RQG179" s="201"/>
      <c r="RQH179" s="201"/>
      <c r="RQI179" s="201"/>
      <c r="RQJ179" s="201"/>
      <c r="RQK179" s="201"/>
      <c r="RQL179" s="201"/>
      <c r="RQM179" s="201"/>
      <c r="RQN179" s="201"/>
      <c r="RQO179" s="201"/>
      <c r="RQP179" s="201"/>
      <c r="RQQ179" s="201"/>
      <c r="RQR179" s="201"/>
      <c r="RQS179" s="201"/>
      <c r="RQT179" s="201"/>
      <c r="RQU179" s="201"/>
      <c r="RQV179" s="201"/>
      <c r="RQW179" s="201"/>
      <c r="RQX179" s="201"/>
      <c r="RQY179" s="201"/>
      <c r="RQZ179" s="201"/>
      <c r="RRA179" s="201"/>
      <c r="RRB179" s="201"/>
      <c r="RRC179" s="201"/>
      <c r="RRD179" s="201"/>
      <c r="RRE179" s="201"/>
      <c r="RRF179" s="201"/>
      <c r="RRG179" s="201"/>
      <c r="RRH179" s="201"/>
      <c r="RRI179" s="201"/>
      <c r="RRJ179" s="201"/>
      <c r="RRK179" s="201"/>
      <c r="RRL179" s="201"/>
      <c r="RRM179" s="201"/>
      <c r="RRN179" s="201"/>
      <c r="RRO179" s="201"/>
      <c r="RRP179" s="201"/>
      <c r="RRQ179" s="201"/>
      <c r="RRR179" s="201"/>
      <c r="RRS179" s="201"/>
      <c r="RRT179" s="201"/>
      <c r="RRU179" s="201"/>
      <c r="RRV179" s="201"/>
      <c r="RRW179" s="201"/>
      <c r="RRX179" s="201"/>
      <c r="RRY179" s="201"/>
      <c r="RRZ179" s="201"/>
      <c r="RSA179" s="201"/>
      <c r="RSB179" s="201"/>
      <c r="RSC179" s="201"/>
      <c r="RSD179" s="201"/>
      <c r="RSE179" s="201"/>
      <c r="RSF179" s="201"/>
      <c r="RSG179" s="201"/>
      <c r="RSH179" s="201"/>
      <c r="RSI179" s="201"/>
      <c r="RSJ179" s="201"/>
      <c r="RSK179" s="201"/>
      <c r="RSL179" s="201"/>
      <c r="RSM179" s="201"/>
      <c r="RSN179" s="201"/>
      <c r="RSO179" s="201"/>
      <c r="RSP179" s="201"/>
      <c r="RSQ179" s="201"/>
      <c r="RSR179" s="201"/>
      <c r="RSS179" s="201"/>
      <c r="RST179" s="201"/>
      <c r="RSU179" s="201"/>
      <c r="RSV179" s="201"/>
      <c r="RSW179" s="201"/>
      <c r="RSX179" s="201"/>
      <c r="RSY179" s="201"/>
      <c r="RSZ179" s="201"/>
      <c r="RTA179" s="201"/>
      <c r="RTB179" s="201"/>
      <c r="RTC179" s="201"/>
      <c r="RTD179" s="201"/>
      <c r="RTE179" s="201"/>
      <c r="RTF179" s="201"/>
      <c r="RTG179" s="201"/>
      <c r="RTH179" s="201"/>
      <c r="RTI179" s="201"/>
      <c r="RTJ179" s="201"/>
      <c r="RTK179" s="201"/>
      <c r="RTL179" s="201"/>
      <c r="RTM179" s="201"/>
      <c r="RTN179" s="201"/>
      <c r="RTO179" s="201"/>
      <c r="RTP179" s="201"/>
      <c r="RTQ179" s="201"/>
      <c r="RTR179" s="201"/>
      <c r="RTS179" s="201"/>
      <c r="RTT179" s="201"/>
      <c r="RTU179" s="201"/>
      <c r="RTV179" s="201"/>
      <c r="RTW179" s="201"/>
      <c r="RTX179" s="201"/>
      <c r="RTY179" s="201"/>
      <c r="RTZ179" s="201"/>
      <c r="RUA179" s="201"/>
      <c r="RUB179" s="201"/>
      <c r="RUC179" s="201"/>
      <c r="RUD179" s="201"/>
      <c r="RUE179" s="201"/>
      <c r="RUF179" s="201"/>
      <c r="RUG179" s="201"/>
      <c r="RUH179" s="201"/>
      <c r="RUI179" s="201"/>
      <c r="RUJ179" s="201"/>
      <c r="RUK179" s="201"/>
      <c r="RUL179" s="201"/>
      <c r="RUM179" s="201"/>
      <c r="RUN179" s="201"/>
      <c r="RUO179" s="201"/>
      <c r="RUP179" s="201"/>
      <c r="RUQ179" s="201"/>
      <c r="RUR179" s="201"/>
      <c r="RUS179" s="201"/>
      <c r="RUT179" s="201"/>
      <c r="RUU179" s="201"/>
      <c r="RUV179" s="201"/>
      <c r="RUW179" s="201"/>
      <c r="RUX179" s="201"/>
      <c r="RUY179" s="201"/>
      <c r="RUZ179" s="201"/>
      <c r="RVA179" s="201"/>
      <c r="RVB179" s="201"/>
      <c r="RVC179" s="201"/>
      <c r="RVD179" s="201"/>
      <c r="RVE179" s="201"/>
      <c r="RVF179" s="201"/>
      <c r="RVG179" s="201"/>
      <c r="RVH179" s="201"/>
      <c r="RVI179" s="201"/>
      <c r="RVJ179" s="201"/>
      <c r="RVK179" s="201"/>
      <c r="RVL179" s="201"/>
      <c r="RVM179" s="201"/>
      <c r="RVN179" s="201"/>
      <c r="RVO179" s="201"/>
      <c r="RVP179" s="201"/>
      <c r="RVQ179" s="201"/>
      <c r="RVR179" s="201"/>
      <c r="RVS179" s="201"/>
      <c r="RVT179" s="201"/>
      <c r="RVU179" s="201"/>
      <c r="RVV179" s="201"/>
      <c r="RVW179" s="201"/>
      <c r="RVX179" s="201"/>
      <c r="RVY179" s="201"/>
      <c r="RVZ179" s="201"/>
      <c r="RWA179" s="201"/>
      <c r="RWB179" s="201"/>
      <c r="RWC179" s="201"/>
      <c r="RWD179" s="201"/>
      <c r="RWE179" s="201"/>
      <c r="RWF179" s="201"/>
      <c r="RWG179" s="201"/>
      <c r="RWH179" s="201"/>
      <c r="RWI179" s="201"/>
      <c r="RWJ179" s="201"/>
      <c r="RWK179" s="201"/>
      <c r="RWL179" s="201"/>
      <c r="RWM179" s="201"/>
      <c r="RWN179" s="201"/>
      <c r="RWO179" s="201"/>
      <c r="RWP179" s="201"/>
      <c r="RWQ179" s="201"/>
      <c r="RWR179" s="201"/>
      <c r="RWS179" s="201"/>
      <c r="RWT179" s="201"/>
      <c r="RWU179" s="201"/>
      <c r="RWV179" s="201"/>
      <c r="RWW179" s="201"/>
      <c r="RWX179" s="201"/>
      <c r="RWY179" s="201"/>
      <c r="RWZ179" s="201"/>
      <c r="RXA179" s="201"/>
      <c r="RXB179" s="201"/>
      <c r="RXC179" s="201"/>
      <c r="RXD179" s="201"/>
      <c r="RXE179" s="201"/>
      <c r="RXF179" s="201"/>
      <c r="RXG179" s="201"/>
      <c r="RXH179" s="201"/>
      <c r="RXI179" s="201"/>
      <c r="RXJ179" s="201"/>
      <c r="RXK179" s="201"/>
      <c r="RXL179" s="201"/>
      <c r="RXM179" s="201"/>
      <c r="RXN179" s="201"/>
      <c r="RXO179" s="201"/>
      <c r="RXP179" s="201"/>
      <c r="RXQ179" s="201"/>
      <c r="RXR179" s="201"/>
      <c r="RXS179" s="201"/>
      <c r="RXT179" s="201"/>
      <c r="RXU179" s="201"/>
      <c r="RXV179" s="201"/>
      <c r="RXW179" s="201"/>
      <c r="RXX179" s="201"/>
      <c r="RXY179" s="201"/>
      <c r="RXZ179" s="201"/>
      <c r="RYA179" s="201"/>
      <c r="RYB179" s="201"/>
      <c r="RYC179" s="201"/>
      <c r="RYD179" s="201"/>
      <c r="RYE179" s="201"/>
      <c r="RYF179" s="201"/>
      <c r="RYG179" s="201"/>
      <c r="RYH179" s="201"/>
      <c r="RYI179" s="201"/>
      <c r="RYJ179" s="201"/>
      <c r="RYK179" s="201"/>
      <c r="RYL179" s="201"/>
      <c r="RYM179" s="201"/>
      <c r="RYN179" s="201"/>
      <c r="RYO179" s="201"/>
      <c r="RYP179" s="201"/>
      <c r="RYQ179" s="201"/>
      <c r="RYR179" s="201"/>
      <c r="RYS179" s="201"/>
      <c r="RYT179" s="201"/>
      <c r="RYU179" s="201"/>
      <c r="RYV179" s="201"/>
      <c r="RYW179" s="201"/>
      <c r="RYX179" s="201"/>
      <c r="RYY179" s="201"/>
      <c r="RYZ179" s="201"/>
      <c r="RZA179" s="201"/>
      <c r="RZB179" s="201"/>
      <c r="RZC179" s="201"/>
      <c r="RZD179" s="201"/>
      <c r="RZE179" s="201"/>
      <c r="RZF179" s="201"/>
      <c r="RZG179" s="201"/>
      <c r="RZH179" s="201"/>
      <c r="RZI179" s="201"/>
      <c r="RZJ179" s="201"/>
      <c r="RZK179" s="201"/>
      <c r="RZL179" s="201"/>
      <c r="RZM179" s="201"/>
      <c r="RZN179" s="201"/>
      <c r="RZO179" s="201"/>
      <c r="RZP179" s="201"/>
      <c r="RZQ179" s="201"/>
      <c r="RZR179" s="201"/>
      <c r="RZS179" s="201"/>
      <c r="RZT179" s="201"/>
      <c r="RZU179" s="201"/>
      <c r="RZV179" s="201"/>
      <c r="RZW179" s="201"/>
      <c r="RZX179" s="201"/>
      <c r="RZY179" s="201"/>
      <c r="RZZ179" s="201"/>
      <c r="SAA179" s="201"/>
      <c r="SAB179" s="201"/>
      <c r="SAC179" s="201"/>
      <c r="SAD179" s="201"/>
      <c r="SAE179" s="201"/>
      <c r="SAF179" s="201"/>
      <c r="SAG179" s="201"/>
      <c r="SAH179" s="201"/>
      <c r="SAI179" s="201"/>
      <c r="SAJ179" s="201"/>
      <c r="SAK179" s="201"/>
      <c r="SAL179" s="201"/>
      <c r="SAM179" s="201"/>
      <c r="SAN179" s="201"/>
      <c r="SAO179" s="201"/>
      <c r="SAP179" s="201"/>
      <c r="SAQ179" s="201"/>
      <c r="SAR179" s="201"/>
      <c r="SAS179" s="201"/>
      <c r="SAT179" s="201"/>
      <c r="SAU179" s="201"/>
      <c r="SAV179" s="201"/>
      <c r="SAW179" s="201"/>
      <c r="SAX179" s="201"/>
      <c r="SAY179" s="201"/>
      <c r="SAZ179" s="201"/>
      <c r="SBA179" s="201"/>
      <c r="SBB179" s="201"/>
      <c r="SBC179" s="201"/>
      <c r="SBD179" s="201"/>
      <c r="SBE179" s="201"/>
      <c r="SBF179" s="201"/>
      <c r="SBG179" s="201"/>
      <c r="SBH179" s="201"/>
      <c r="SBI179" s="201"/>
      <c r="SBJ179" s="201"/>
      <c r="SBK179" s="201"/>
      <c r="SBL179" s="201"/>
      <c r="SBM179" s="201"/>
      <c r="SBN179" s="201"/>
      <c r="SBO179" s="201"/>
      <c r="SBP179" s="201"/>
      <c r="SBQ179" s="201"/>
      <c r="SBR179" s="201"/>
      <c r="SBS179" s="201"/>
      <c r="SBT179" s="201"/>
      <c r="SBU179" s="201"/>
      <c r="SBV179" s="201"/>
      <c r="SBW179" s="201"/>
      <c r="SBX179" s="201"/>
      <c r="SBY179" s="201"/>
      <c r="SBZ179" s="201"/>
      <c r="SCA179" s="201"/>
      <c r="SCB179" s="201"/>
      <c r="SCC179" s="201"/>
      <c r="SCD179" s="201"/>
      <c r="SCE179" s="201"/>
      <c r="SCF179" s="201"/>
      <c r="SCG179" s="201"/>
      <c r="SCH179" s="201"/>
      <c r="SCI179" s="201"/>
      <c r="SCJ179" s="201"/>
      <c r="SCK179" s="201"/>
      <c r="SCL179" s="201"/>
      <c r="SCM179" s="201"/>
      <c r="SCN179" s="201"/>
      <c r="SCO179" s="201"/>
      <c r="SCP179" s="201"/>
      <c r="SCQ179" s="201"/>
      <c r="SCR179" s="201"/>
      <c r="SCS179" s="201"/>
      <c r="SCT179" s="201"/>
      <c r="SCU179" s="201"/>
      <c r="SCV179" s="201"/>
      <c r="SCW179" s="201"/>
      <c r="SCX179" s="201"/>
      <c r="SCY179" s="201"/>
      <c r="SCZ179" s="201"/>
      <c r="SDA179" s="201"/>
      <c r="SDB179" s="201"/>
      <c r="SDC179" s="201"/>
      <c r="SDD179" s="201"/>
      <c r="SDE179" s="201"/>
      <c r="SDF179" s="201"/>
      <c r="SDG179" s="201"/>
      <c r="SDH179" s="201"/>
      <c r="SDI179" s="201"/>
      <c r="SDJ179" s="201"/>
      <c r="SDK179" s="201"/>
      <c r="SDL179" s="201"/>
      <c r="SDM179" s="201"/>
      <c r="SDN179" s="201"/>
      <c r="SDO179" s="201"/>
      <c r="SDP179" s="201"/>
      <c r="SDQ179" s="201"/>
      <c r="SDR179" s="201"/>
      <c r="SDS179" s="201"/>
      <c r="SDT179" s="201"/>
      <c r="SDU179" s="201"/>
      <c r="SDV179" s="201"/>
      <c r="SDW179" s="201"/>
      <c r="SDX179" s="201"/>
      <c r="SDY179" s="201"/>
      <c r="SDZ179" s="201"/>
      <c r="SEA179" s="201"/>
      <c r="SEB179" s="201"/>
      <c r="SEC179" s="201"/>
      <c r="SED179" s="201"/>
      <c r="SEE179" s="201"/>
      <c r="SEF179" s="201"/>
      <c r="SEG179" s="201"/>
      <c r="SEH179" s="201"/>
      <c r="SEI179" s="201"/>
      <c r="SEJ179" s="201"/>
      <c r="SEK179" s="201"/>
      <c r="SEL179" s="201"/>
      <c r="SEM179" s="201"/>
      <c r="SEN179" s="201"/>
      <c r="SEO179" s="201"/>
      <c r="SEP179" s="201"/>
      <c r="SEQ179" s="201"/>
      <c r="SER179" s="201"/>
      <c r="SES179" s="201"/>
      <c r="SET179" s="201"/>
      <c r="SEU179" s="201"/>
      <c r="SEV179" s="201"/>
      <c r="SEW179" s="201"/>
      <c r="SEX179" s="201"/>
      <c r="SEY179" s="201"/>
      <c r="SEZ179" s="201"/>
      <c r="SFA179" s="201"/>
      <c r="SFB179" s="201"/>
      <c r="SFC179" s="201"/>
      <c r="SFD179" s="201"/>
      <c r="SFE179" s="201"/>
      <c r="SFF179" s="201"/>
      <c r="SFG179" s="201"/>
      <c r="SFH179" s="201"/>
      <c r="SFI179" s="201"/>
      <c r="SFJ179" s="201"/>
      <c r="SFK179" s="201"/>
      <c r="SFL179" s="201"/>
      <c r="SFM179" s="201"/>
      <c r="SFN179" s="201"/>
      <c r="SFO179" s="201"/>
      <c r="SFP179" s="201"/>
      <c r="SFQ179" s="201"/>
      <c r="SFR179" s="201"/>
      <c r="SFS179" s="201"/>
      <c r="SFT179" s="201"/>
      <c r="SFU179" s="201"/>
      <c r="SFV179" s="201"/>
      <c r="SFW179" s="201"/>
      <c r="SFX179" s="201"/>
      <c r="SFY179" s="201"/>
      <c r="SFZ179" s="201"/>
      <c r="SGA179" s="201"/>
      <c r="SGB179" s="201"/>
      <c r="SGC179" s="201"/>
      <c r="SGD179" s="201"/>
      <c r="SGE179" s="201"/>
      <c r="SGF179" s="201"/>
      <c r="SGG179" s="201"/>
      <c r="SGH179" s="201"/>
      <c r="SGI179" s="201"/>
      <c r="SGJ179" s="201"/>
      <c r="SGK179" s="201"/>
      <c r="SGL179" s="201"/>
      <c r="SGM179" s="201"/>
      <c r="SGN179" s="201"/>
      <c r="SGO179" s="201"/>
      <c r="SGP179" s="201"/>
      <c r="SGQ179" s="201"/>
      <c r="SGR179" s="201"/>
      <c r="SGS179" s="201"/>
      <c r="SGT179" s="201"/>
      <c r="SGU179" s="201"/>
      <c r="SGV179" s="201"/>
      <c r="SGW179" s="201"/>
      <c r="SGX179" s="201"/>
      <c r="SGY179" s="201"/>
      <c r="SGZ179" s="201"/>
      <c r="SHA179" s="201"/>
      <c r="SHB179" s="201"/>
      <c r="SHC179" s="201"/>
      <c r="SHD179" s="201"/>
      <c r="SHE179" s="201"/>
      <c r="SHF179" s="201"/>
      <c r="SHG179" s="201"/>
      <c r="SHH179" s="201"/>
      <c r="SHI179" s="201"/>
      <c r="SHJ179" s="201"/>
      <c r="SHK179" s="201"/>
      <c r="SHL179" s="201"/>
      <c r="SHM179" s="201"/>
      <c r="SHN179" s="201"/>
      <c r="SHO179" s="201"/>
      <c r="SHP179" s="201"/>
      <c r="SHQ179" s="201"/>
      <c r="SHR179" s="201"/>
      <c r="SHS179" s="201"/>
      <c r="SHT179" s="201"/>
      <c r="SHU179" s="201"/>
      <c r="SHV179" s="201"/>
      <c r="SHW179" s="201"/>
      <c r="SHX179" s="201"/>
      <c r="SHY179" s="201"/>
      <c r="SHZ179" s="201"/>
      <c r="SIA179" s="201"/>
      <c r="SIB179" s="201"/>
      <c r="SIC179" s="201"/>
      <c r="SID179" s="201"/>
      <c r="SIE179" s="201"/>
      <c r="SIF179" s="201"/>
      <c r="SIG179" s="201"/>
      <c r="SIH179" s="201"/>
      <c r="SII179" s="201"/>
      <c r="SIJ179" s="201"/>
      <c r="SIK179" s="201"/>
      <c r="SIL179" s="201"/>
      <c r="SIM179" s="201"/>
      <c r="SIN179" s="201"/>
      <c r="SIO179" s="201"/>
      <c r="SIP179" s="201"/>
      <c r="SIQ179" s="201"/>
      <c r="SIR179" s="201"/>
      <c r="SIS179" s="201"/>
      <c r="SIT179" s="201"/>
      <c r="SIU179" s="201"/>
      <c r="SIV179" s="201"/>
      <c r="SIW179" s="201"/>
      <c r="SIX179" s="201"/>
      <c r="SIY179" s="201"/>
      <c r="SIZ179" s="201"/>
      <c r="SJA179" s="201"/>
      <c r="SJB179" s="201"/>
      <c r="SJC179" s="201"/>
      <c r="SJD179" s="201"/>
      <c r="SJE179" s="201"/>
      <c r="SJF179" s="201"/>
      <c r="SJG179" s="201"/>
      <c r="SJH179" s="201"/>
      <c r="SJI179" s="201"/>
      <c r="SJJ179" s="201"/>
      <c r="SJK179" s="201"/>
      <c r="SJL179" s="201"/>
      <c r="SJM179" s="201"/>
      <c r="SJN179" s="201"/>
      <c r="SJO179" s="201"/>
      <c r="SJP179" s="201"/>
      <c r="SJQ179" s="201"/>
      <c r="SJR179" s="201"/>
      <c r="SJS179" s="201"/>
      <c r="SJT179" s="201"/>
      <c r="SJU179" s="201"/>
      <c r="SJV179" s="201"/>
      <c r="SJW179" s="201"/>
      <c r="SJX179" s="201"/>
      <c r="SJY179" s="201"/>
      <c r="SJZ179" s="201"/>
      <c r="SKA179" s="201"/>
      <c r="SKB179" s="201"/>
      <c r="SKC179" s="201"/>
      <c r="SKD179" s="201"/>
      <c r="SKE179" s="201"/>
      <c r="SKF179" s="201"/>
      <c r="SKG179" s="201"/>
      <c r="SKH179" s="201"/>
      <c r="SKI179" s="201"/>
      <c r="SKJ179" s="201"/>
      <c r="SKK179" s="201"/>
      <c r="SKL179" s="201"/>
      <c r="SKM179" s="201"/>
      <c r="SKN179" s="201"/>
      <c r="SKO179" s="201"/>
      <c r="SKP179" s="201"/>
      <c r="SKQ179" s="201"/>
      <c r="SKR179" s="201"/>
      <c r="SKS179" s="201"/>
      <c r="SKT179" s="201"/>
      <c r="SKU179" s="201"/>
      <c r="SKV179" s="201"/>
      <c r="SKW179" s="201"/>
      <c r="SKX179" s="201"/>
      <c r="SKY179" s="201"/>
      <c r="SKZ179" s="201"/>
      <c r="SLA179" s="201"/>
      <c r="SLB179" s="201"/>
      <c r="SLC179" s="201"/>
      <c r="SLD179" s="201"/>
      <c r="SLE179" s="201"/>
      <c r="SLF179" s="201"/>
      <c r="SLG179" s="201"/>
      <c r="SLH179" s="201"/>
      <c r="SLI179" s="201"/>
      <c r="SLJ179" s="201"/>
      <c r="SLK179" s="201"/>
      <c r="SLL179" s="201"/>
      <c r="SLM179" s="201"/>
      <c r="SLN179" s="201"/>
      <c r="SLO179" s="201"/>
      <c r="SLP179" s="201"/>
      <c r="SLQ179" s="201"/>
      <c r="SLR179" s="201"/>
      <c r="SLS179" s="201"/>
      <c r="SLT179" s="201"/>
      <c r="SLU179" s="201"/>
      <c r="SLV179" s="201"/>
      <c r="SLW179" s="201"/>
      <c r="SLX179" s="201"/>
      <c r="SLY179" s="201"/>
      <c r="SLZ179" s="201"/>
      <c r="SMA179" s="201"/>
      <c r="SMB179" s="201"/>
      <c r="SMC179" s="201"/>
      <c r="SMD179" s="201"/>
      <c r="SME179" s="201"/>
      <c r="SMF179" s="201"/>
      <c r="SMG179" s="201"/>
      <c r="SMH179" s="201"/>
      <c r="SMI179" s="201"/>
      <c r="SMJ179" s="201"/>
      <c r="SMK179" s="201"/>
      <c r="SML179" s="201"/>
      <c r="SMM179" s="201"/>
      <c r="SMN179" s="201"/>
      <c r="SMO179" s="201"/>
      <c r="SMP179" s="201"/>
      <c r="SMQ179" s="201"/>
      <c r="SMR179" s="201"/>
      <c r="SMS179" s="201"/>
      <c r="SMT179" s="201"/>
      <c r="SMU179" s="201"/>
      <c r="SMV179" s="201"/>
      <c r="SMW179" s="201"/>
      <c r="SMX179" s="201"/>
      <c r="SMY179" s="201"/>
      <c r="SMZ179" s="201"/>
      <c r="SNA179" s="201"/>
      <c r="SNB179" s="201"/>
      <c r="SNC179" s="201"/>
      <c r="SND179" s="201"/>
      <c r="SNE179" s="201"/>
      <c r="SNF179" s="201"/>
      <c r="SNG179" s="201"/>
      <c r="SNH179" s="201"/>
      <c r="SNI179" s="201"/>
      <c r="SNJ179" s="201"/>
      <c r="SNK179" s="201"/>
      <c r="SNL179" s="201"/>
      <c r="SNM179" s="201"/>
      <c r="SNN179" s="201"/>
      <c r="SNO179" s="201"/>
      <c r="SNP179" s="201"/>
      <c r="SNQ179" s="201"/>
      <c r="SNR179" s="201"/>
      <c r="SNS179" s="201"/>
      <c r="SNT179" s="201"/>
      <c r="SNU179" s="201"/>
      <c r="SNV179" s="201"/>
      <c r="SNW179" s="201"/>
      <c r="SNX179" s="201"/>
      <c r="SNY179" s="201"/>
      <c r="SNZ179" s="201"/>
      <c r="SOA179" s="201"/>
      <c r="SOB179" s="201"/>
      <c r="SOC179" s="201"/>
      <c r="SOD179" s="201"/>
      <c r="SOE179" s="201"/>
      <c r="SOF179" s="201"/>
      <c r="SOG179" s="201"/>
      <c r="SOH179" s="201"/>
      <c r="SOI179" s="201"/>
      <c r="SOJ179" s="201"/>
      <c r="SOK179" s="201"/>
      <c r="SOL179" s="201"/>
      <c r="SOM179" s="201"/>
      <c r="SON179" s="201"/>
      <c r="SOO179" s="201"/>
      <c r="SOP179" s="201"/>
      <c r="SOQ179" s="201"/>
      <c r="SOR179" s="201"/>
      <c r="SOS179" s="201"/>
      <c r="SOT179" s="201"/>
      <c r="SOU179" s="201"/>
      <c r="SOV179" s="201"/>
      <c r="SOW179" s="201"/>
      <c r="SOX179" s="201"/>
      <c r="SOY179" s="201"/>
      <c r="SOZ179" s="201"/>
      <c r="SPA179" s="201"/>
      <c r="SPB179" s="201"/>
      <c r="SPC179" s="201"/>
      <c r="SPD179" s="201"/>
      <c r="SPE179" s="201"/>
      <c r="SPF179" s="201"/>
      <c r="SPG179" s="201"/>
      <c r="SPH179" s="201"/>
      <c r="SPI179" s="201"/>
      <c r="SPJ179" s="201"/>
      <c r="SPK179" s="201"/>
      <c r="SPL179" s="201"/>
      <c r="SPM179" s="201"/>
      <c r="SPN179" s="201"/>
      <c r="SPO179" s="201"/>
      <c r="SPP179" s="201"/>
      <c r="SPQ179" s="201"/>
      <c r="SPR179" s="201"/>
      <c r="SPS179" s="201"/>
      <c r="SPT179" s="201"/>
      <c r="SPU179" s="201"/>
      <c r="SPV179" s="201"/>
      <c r="SPW179" s="201"/>
      <c r="SPX179" s="201"/>
      <c r="SPY179" s="201"/>
      <c r="SPZ179" s="201"/>
      <c r="SQA179" s="201"/>
      <c r="SQB179" s="201"/>
      <c r="SQC179" s="201"/>
      <c r="SQD179" s="201"/>
      <c r="SQE179" s="201"/>
      <c r="SQF179" s="201"/>
      <c r="SQG179" s="201"/>
      <c r="SQH179" s="201"/>
      <c r="SQI179" s="201"/>
      <c r="SQJ179" s="201"/>
      <c r="SQK179" s="201"/>
      <c r="SQL179" s="201"/>
      <c r="SQM179" s="201"/>
      <c r="SQN179" s="201"/>
      <c r="SQO179" s="201"/>
      <c r="SQP179" s="201"/>
      <c r="SQQ179" s="201"/>
      <c r="SQR179" s="201"/>
      <c r="SQS179" s="201"/>
      <c r="SQT179" s="201"/>
      <c r="SQU179" s="201"/>
      <c r="SQV179" s="201"/>
      <c r="SQW179" s="201"/>
      <c r="SQX179" s="201"/>
      <c r="SQY179" s="201"/>
      <c r="SQZ179" s="201"/>
      <c r="SRA179" s="201"/>
      <c r="SRB179" s="201"/>
      <c r="SRC179" s="201"/>
      <c r="SRD179" s="201"/>
      <c r="SRE179" s="201"/>
      <c r="SRF179" s="201"/>
      <c r="SRG179" s="201"/>
      <c r="SRH179" s="201"/>
      <c r="SRI179" s="201"/>
      <c r="SRJ179" s="201"/>
      <c r="SRK179" s="201"/>
      <c r="SRL179" s="201"/>
      <c r="SRM179" s="201"/>
      <c r="SRN179" s="201"/>
      <c r="SRO179" s="201"/>
      <c r="SRP179" s="201"/>
      <c r="SRQ179" s="201"/>
      <c r="SRR179" s="201"/>
      <c r="SRS179" s="201"/>
      <c r="SRT179" s="201"/>
      <c r="SRU179" s="201"/>
      <c r="SRV179" s="201"/>
      <c r="SRW179" s="201"/>
      <c r="SRX179" s="201"/>
      <c r="SRY179" s="201"/>
      <c r="SRZ179" s="201"/>
      <c r="SSA179" s="201"/>
      <c r="SSB179" s="201"/>
      <c r="SSC179" s="201"/>
      <c r="SSD179" s="201"/>
      <c r="SSE179" s="201"/>
      <c r="SSF179" s="201"/>
      <c r="SSG179" s="201"/>
      <c r="SSH179" s="201"/>
      <c r="SSI179" s="201"/>
      <c r="SSJ179" s="201"/>
      <c r="SSK179" s="201"/>
      <c r="SSL179" s="201"/>
      <c r="SSM179" s="201"/>
      <c r="SSN179" s="201"/>
      <c r="SSO179" s="201"/>
      <c r="SSP179" s="201"/>
      <c r="SSQ179" s="201"/>
      <c r="SSR179" s="201"/>
      <c r="SSS179" s="201"/>
      <c r="SST179" s="201"/>
      <c r="SSU179" s="201"/>
      <c r="SSV179" s="201"/>
      <c r="SSW179" s="201"/>
      <c r="SSX179" s="201"/>
      <c r="SSY179" s="201"/>
      <c r="SSZ179" s="201"/>
      <c r="STA179" s="201"/>
      <c r="STB179" s="201"/>
      <c r="STC179" s="201"/>
      <c r="STD179" s="201"/>
      <c r="STE179" s="201"/>
      <c r="STF179" s="201"/>
      <c r="STG179" s="201"/>
      <c r="STH179" s="201"/>
      <c r="STI179" s="201"/>
      <c r="STJ179" s="201"/>
      <c r="STK179" s="201"/>
      <c r="STL179" s="201"/>
      <c r="STM179" s="201"/>
      <c r="STN179" s="201"/>
      <c r="STO179" s="201"/>
      <c r="STP179" s="201"/>
      <c r="STQ179" s="201"/>
      <c r="STR179" s="201"/>
      <c r="STS179" s="201"/>
      <c r="STT179" s="201"/>
      <c r="STU179" s="201"/>
      <c r="STV179" s="201"/>
      <c r="STW179" s="201"/>
      <c r="STX179" s="201"/>
      <c r="STY179" s="201"/>
      <c r="STZ179" s="201"/>
      <c r="SUA179" s="201"/>
      <c r="SUB179" s="201"/>
      <c r="SUC179" s="201"/>
      <c r="SUD179" s="201"/>
      <c r="SUE179" s="201"/>
      <c r="SUF179" s="201"/>
      <c r="SUG179" s="201"/>
      <c r="SUH179" s="201"/>
      <c r="SUI179" s="201"/>
      <c r="SUJ179" s="201"/>
      <c r="SUK179" s="201"/>
      <c r="SUL179" s="201"/>
      <c r="SUM179" s="201"/>
      <c r="SUN179" s="201"/>
      <c r="SUO179" s="201"/>
      <c r="SUP179" s="201"/>
      <c r="SUQ179" s="201"/>
      <c r="SUR179" s="201"/>
      <c r="SUS179" s="201"/>
      <c r="SUT179" s="201"/>
      <c r="SUU179" s="201"/>
      <c r="SUV179" s="201"/>
      <c r="SUW179" s="201"/>
      <c r="SUX179" s="201"/>
      <c r="SUY179" s="201"/>
      <c r="SUZ179" s="201"/>
      <c r="SVA179" s="201"/>
      <c r="SVB179" s="201"/>
      <c r="SVC179" s="201"/>
      <c r="SVD179" s="201"/>
      <c r="SVE179" s="201"/>
      <c r="SVF179" s="201"/>
      <c r="SVG179" s="201"/>
      <c r="SVH179" s="201"/>
      <c r="SVI179" s="201"/>
      <c r="SVJ179" s="201"/>
      <c r="SVK179" s="201"/>
      <c r="SVL179" s="201"/>
      <c r="SVM179" s="201"/>
      <c r="SVN179" s="201"/>
      <c r="SVO179" s="201"/>
      <c r="SVP179" s="201"/>
      <c r="SVQ179" s="201"/>
      <c r="SVR179" s="201"/>
      <c r="SVS179" s="201"/>
      <c r="SVT179" s="201"/>
      <c r="SVU179" s="201"/>
      <c r="SVV179" s="201"/>
      <c r="SVW179" s="201"/>
      <c r="SVX179" s="201"/>
      <c r="SVY179" s="201"/>
      <c r="SVZ179" s="201"/>
      <c r="SWA179" s="201"/>
      <c r="SWB179" s="201"/>
      <c r="SWC179" s="201"/>
      <c r="SWD179" s="201"/>
      <c r="SWE179" s="201"/>
      <c r="SWF179" s="201"/>
      <c r="SWG179" s="201"/>
      <c r="SWH179" s="201"/>
      <c r="SWI179" s="201"/>
      <c r="SWJ179" s="201"/>
      <c r="SWK179" s="201"/>
      <c r="SWL179" s="201"/>
      <c r="SWM179" s="201"/>
      <c r="SWN179" s="201"/>
      <c r="SWO179" s="201"/>
      <c r="SWP179" s="201"/>
      <c r="SWQ179" s="201"/>
      <c r="SWR179" s="201"/>
      <c r="SWS179" s="201"/>
      <c r="SWT179" s="201"/>
      <c r="SWU179" s="201"/>
      <c r="SWV179" s="201"/>
      <c r="SWW179" s="201"/>
      <c r="SWX179" s="201"/>
      <c r="SWY179" s="201"/>
      <c r="SWZ179" s="201"/>
      <c r="SXA179" s="201"/>
      <c r="SXB179" s="201"/>
      <c r="SXC179" s="201"/>
      <c r="SXD179" s="201"/>
      <c r="SXE179" s="201"/>
      <c r="SXF179" s="201"/>
      <c r="SXG179" s="201"/>
      <c r="SXH179" s="201"/>
      <c r="SXI179" s="201"/>
      <c r="SXJ179" s="201"/>
      <c r="SXK179" s="201"/>
      <c r="SXL179" s="201"/>
      <c r="SXM179" s="201"/>
      <c r="SXN179" s="201"/>
      <c r="SXO179" s="201"/>
      <c r="SXP179" s="201"/>
      <c r="SXQ179" s="201"/>
      <c r="SXR179" s="201"/>
      <c r="SXS179" s="201"/>
      <c r="SXT179" s="201"/>
      <c r="SXU179" s="201"/>
      <c r="SXV179" s="201"/>
      <c r="SXW179" s="201"/>
      <c r="SXX179" s="201"/>
      <c r="SXY179" s="201"/>
      <c r="SXZ179" s="201"/>
      <c r="SYA179" s="201"/>
      <c r="SYB179" s="201"/>
      <c r="SYC179" s="201"/>
      <c r="SYD179" s="201"/>
      <c r="SYE179" s="201"/>
      <c r="SYF179" s="201"/>
      <c r="SYG179" s="201"/>
      <c r="SYH179" s="201"/>
      <c r="SYI179" s="201"/>
      <c r="SYJ179" s="201"/>
      <c r="SYK179" s="201"/>
      <c r="SYL179" s="201"/>
      <c r="SYM179" s="201"/>
      <c r="SYN179" s="201"/>
      <c r="SYO179" s="201"/>
      <c r="SYP179" s="201"/>
      <c r="SYQ179" s="201"/>
      <c r="SYR179" s="201"/>
      <c r="SYS179" s="201"/>
      <c r="SYT179" s="201"/>
      <c r="SYU179" s="201"/>
      <c r="SYV179" s="201"/>
      <c r="SYW179" s="201"/>
      <c r="SYX179" s="201"/>
      <c r="SYY179" s="201"/>
      <c r="SYZ179" s="201"/>
      <c r="SZA179" s="201"/>
      <c r="SZB179" s="201"/>
      <c r="SZC179" s="201"/>
      <c r="SZD179" s="201"/>
      <c r="SZE179" s="201"/>
      <c r="SZF179" s="201"/>
      <c r="SZG179" s="201"/>
      <c r="SZH179" s="201"/>
      <c r="SZI179" s="201"/>
      <c r="SZJ179" s="201"/>
      <c r="SZK179" s="201"/>
      <c r="SZL179" s="201"/>
      <c r="SZM179" s="201"/>
      <c r="SZN179" s="201"/>
      <c r="SZO179" s="201"/>
      <c r="SZP179" s="201"/>
      <c r="SZQ179" s="201"/>
      <c r="SZR179" s="201"/>
      <c r="SZS179" s="201"/>
      <c r="SZT179" s="201"/>
      <c r="SZU179" s="201"/>
      <c r="SZV179" s="201"/>
      <c r="SZW179" s="201"/>
      <c r="SZX179" s="201"/>
      <c r="SZY179" s="201"/>
      <c r="SZZ179" s="201"/>
      <c r="TAA179" s="201"/>
      <c r="TAB179" s="201"/>
      <c r="TAC179" s="201"/>
      <c r="TAD179" s="201"/>
      <c r="TAE179" s="201"/>
      <c r="TAF179" s="201"/>
      <c r="TAG179" s="201"/>
      <c r="TAH179" s="201"/>
      <c r="TAI179" s="201"/>
      <c r="TAJ179" s="201"/>
      <c r="TAK179" s="201"/>
      <c r="TAL179" s="201"/>
      <c r="TAM179" s="201"/>
      <c r="TAN179" s="201"/>
      <c r="TAO179" s="201"/>
      <c r="TAP179" s="201"/>
      <c r="TAQ179" s="201"/>
      <c r="TAR179" s="201"/>
      <c r="TAS179" s="201"/>
      <c r="TAT179" s="201"/>
      <c r="TAU179" s="201"/>
      <c r="TAV179" s="201"/>
      <c r="TAW179" s="201"/>
      <c r="TAX179" s="201"/>
      <c r="TAY179" s="201"/>
      <c r="TAZ179" s="201"/>
      <c r="TBA179" s="201"/>
      <c r="TBB179" s="201"/>
      <c r="TBC179" s="201"/>
      <c r="TBD179" s="201"/>
      <c r="TBE179" s="201"/>
      <c r="TBF179" s="201"/>
      <c r="TBG179" s="201"/>
      <c r="TBH179" s="201"/>
      <c r="TBI179" s="201"/>
      <c r="TBJ179" s="201"/>
      <c r="TBK179" s="201"/>
      <c r="TBL179" s="201"/>
      <c r="TBM179" s="201"/>
      <c r="TBN179" s="201"/>
      <c r="TBO179" s="201"/>
      <c r="TBP179" s="201"/>
      <c r="TBQ179" s="201"/>
      <c r="TBR179" s="201"/>
      <c r="TBS179" s="201"/>
      <c r="TBT179" s="201"/>
      <c r="TBU179" s="201"/>
      <c r="TBV179" s="201"/>
      <c r="TBW179" s="201"/>
      <c r="TBX179" s="201"/>
      <c r="TBY179" s="201"/>
      <c r="TBZ179" s="201"/>
      <c r="TCA179" s="201"/>
      <c r="TCB179" s="201"/>
      <c r="TCC179" s="201"/>
      <c r="TCD179" s="201"/>
      <c r="TCE179" s="201"/>
      <c r="TCF179" s="201"/>
      <c r="TCG179" s="201"/>
      <c r="TCH179" s="201"/>
      <c r="TCI179" s="201"/>
      <c r="TCJ179" s="201"/>
      <c r="TCK179" s="201"/>
      <c r="TCL179" s="201"/>
      <c r="TCM179" s="201"/>
      <c r="TCN179" s="201"/>
      <c r="TCO179" s="201"/>
      <c r="TCP179" s="201"/>
      <c r="TCQ179" s="201"/>
      <c r="TCR179" s="201"/>
      <c r="TCS179" s="201"/>
      <c r="TCT179" s="201"/>
      <c r="TCU179" s="201"/>
      <c r="TCV179" s="201"/>
      <c r="TCW179" s="201"/>
      <c r="TCX179" s="201"/>
      <c r="TCY179" s="201"/>
      <c r="TCZ179" s="201"/>
      <c r="TDA179" s="201"/>
      <c r="TDB179" s="201"/>
      <c r="TDC179" s="201"/>
      <c r="TDD179" s="201"/>
      <c r="TDE179" s="201"/>
      <c r="TDF179" s="201"/>
      <c r="TDG179" s="201"/>
      <c r="TDH179" s="201"/>
      <c r="TDI179" s="201"/>
      <c r="TDJ179" s="201"/>
      <c r="TDK179" s="201"/>
      <c r="TDL179" s="201"/>
      <c r="TDM179" s="201"/>
      <c r="TDN179" s="201"/>
      <c r="TDO179" s="201"/>
      <c r="TDP179" s="201"/>
      <c r="TDQ179" s="201"/>
      <c r="TDR179" s="201"/>
      <c r="TDS179" s="201"/>
      <c r="TDT179" s="201"/>
      <c r="TDU179" s="201"/>
      <c r="TDV179" s="201"/>
      <c r="TDW179" s="201"/>
      <c r="TDX179" s="201"/>
      <c r="TDY179" s="201"/>
      <c r="TDZ179" s="201"/>
      <c r="TEA179" s="201"/>
      <c r="TEB179" s="201"/>
      <c r="TEC179" s="201"/>
      <c r="TED179" s="201"/>
      <c r="TEE179" s="201"/>
      <c r="TEF179" s="201"/>
      <c r="TEG179" s="201"/>
      <c r="TEH179" s="201"/>
      <c r="TEI179" s="201"/>
      <c r="TEJ179" s="201"/>
      <c r="TEK179" s="201"/>
      <c r="TEL179" s="201"/>
      <c r="TEM179" s="201"/>
      <c r="TEN179" s="201"/>
      <c r="TEO179" s="201"/>
      <c r="TEP179" s="201"/>
      <c r="TEQ179" s="201"/>
      <c r="TER179" s="201"/>
      <c r="TES179" s="201"/>
      <c r="TET179" s="201"/>
      <c r="TEU179" s="201"/>
      <c r="TEV179" s="201"/>
      <c r="TEW179" s="201"/>
      <c r="TEX179" s="201"/>
      <c r="TEY179" s="201"/>
      <c r="TEZ179" s="201"/>
      <c r="TFA179" s="201"/>
      <c r="TFB179" s="201"/>
      <c r="TFC179" s="201"/>
      <c r="TFD179" s="201"/>
      <c r="TFE179" s="201"/>
      <c r="TFF179" s="201"/>
      <c r="TFG179" s="201"/>
      <c r="TFH179" s="201"/>
      <c r="TFI179" s="201"/>
      <c r="TFJ179" s="201"/>
      <c r="TFK179" s="201"/>
      <c r="TFL179" s="201"/>
      <c r="TFM179" s="201"/>
      <c r="TFN179" s="201"/>
      <c r="TFO179" s="201"/>
      <c r="TFP179" s="201"/>
      <c r="TFQ179" s="201"/>
      <c r="TFR179" s="201"/>
      <c r="TFS179" s="201"/>
      <c r="TFT179" s="201"/>
      <c r="TFU179" s="201"/>
      <c r="TFV179" s="201"/>
      <c r="TFW179" s="201"/>
      <c r="TFX179" s="201"/>
      <c r="TFY179" s="201"/>
      <c r="TFZ179" s="201"/>
      <c r="TGA179" s="201"/>
      <c r="TGB179" s="201"/>
      <c r="TGC179" s="201"/>
      <c r="TGD179" s="201"/>
      <c r="TGE179" s="201"/>
      <c r="TGF179" s="201"/>
      <c r="TGG179" s="201"/>
      <c r="TGH179" s="201"/>
      <c r="TGI179" s="201"/>
      <c r="TGJ179" s="201"/>
      <c r="TGK179" s="201"/>
      <c r="TGL179" s="201"/>
      <c r="TGM179" s="201"/>
      <c r="TGN179" s="201"/>
      <c r="TGO179" s="201"/>
      <c r="TGP179" s="201"/>
      <c r="TGQ179" s="201"/>
      <c r="TGR179" s="201"/>
      <c r="TGS179" s="201"/>
      <c r="TGT179" s="201"/>
      <c r="TGU179" s="201"/>
      <c r="TGV179" s="201"/>
      <c r="TGW179" s="201"/>
      <c r="TGX179" s="201"/>
      <c r="TGY179" s="201"/>
      <c r="TGZ179" s="201"/>
      <c r="THA179" s="201"/>
      <c r="THB179" s="201"/>
      <c r="THC179" s="201"/>
      <c r="THD179" s="201"/>
      <c r="THE179" s="201"/>
      <c r="THF179" s="201"/>
      <c r="THG179" s="201"/>
      <c r="THH179" s="201"/>
      <c r="THI179" s="201"/>
      <c r="THJ179" s="201"/>
      <c r="THK179" s="201"/>
      <c r="THL179" s="201"/>
      <c r="THM179" s="201"/>
      <c r="THN179" s="201"/>
      <c r="THO179" s="201"/>
      <c r="THP179" s="201"/>
      <c r="THQ179" s="201"/>
      <c r="THR179" s="201"/>
      <c r="THS179" s="201"/>
      <c r="THT179" s="201"/>
      <c r="THU179" s="201"/>
      <c r="THV179" s="201"/>
      <c r="THW179" s="201"/>
      <c r="THX179" s="201"/>
      <c r="THY179" s="201"/>
      <c r="THZ179" s="201"/>
      <c r="TIA179" s="201"/>
      <c r="TIB179" s="201"/>
      <c r="TIC179" s="201"/>
      <c r="TID179" s="201"/>
      <c r="TIE179" s="201"/>
      <c r="TIF179" s="201"/>
      <c r="TIG179" s="201"/>
      <c r="TIH179" s="201"/>
      <c r="TII179" s="201"/>
      <c r="TIJ179" s="201"/>
      <c r="TIK179" s="201"/>
      <c r="TIL179" s="201"/>
      <c r="TIM179" s="201"/>
      <c r="TIN179" s="201"/>
      <c r="TIO179" s="201"/>
      <c r="TIP179" s="201"/>
      <c r="TIQ179" s="201"/>
      <c r="TIR179" s="201"/>
      <c r="TIS179" s="201"/>
      <c r="TIT179" s="201"/>
      <c r="TIU179" s="201"/>
      <c r="TIV179" s="201"/>
      <c r="TIW179" s="201"/>
      <c r="TIX179" s="201"/>
      <c r="TIY179" s="201"/>
      <c r="TIZ179" s="201"/>
      <c r="TJA179" s="201"/>
      <c r="TJB179" s="201"/>
      <c r="TJC179" s="201"/>
      <c r="TJD179" s="201"/>
      <c r="TJE179" s="201"/>
      <c r="TJF179" s="201"/>
      <c r="TJG179" s="201"/>
      <c r="TJH179" s="201"/>
      <c r="TJI179" s="201"/>
      <c r="TJJ179" s="201"/>
      <c r="TJK179" s="201"/>
      <c r="TJL179" s="201"/>
      <c r="TJM179" s="201"/>
      <c r="TJN179" s="201"/>
      <c r="TJO179" s="201"/>
      <c r="TJP179" s="201"/>
      <c r="TJQ179" s="201"/>
      <c r="TJR179" s="201"/>
      <c r="TJS179" s="201"/>
      <c r="TJT179" s="201"/>
      <c r="TJU179" s="201"/>
      <c r="TJV179" s="201"/>
      <c r="TJW179" s="201"/>
      <c r="TJX179" s="201"/>
      <c r="TJY179" s="201"/>
      <c r="TJZ179" s="201"/>
      <c r="TKA179" s="201"/>
      <c r="TKB179" s="201"/>
      <c r="TKC179" s="201"/>
      <c r="TKD179" s="201"/>
      <c r="TKE179" s="201"/>
      <c r="TKF179" s="201"/>
      <c r="TKG179" s="201"/>
      <c r="TKH179" s="201"/>
      <c r="TKI179" s="201"/>
      <c r="TKJ179" s="201"/>
      <c r="TKK179" s="201"/>
      <c r="TKL179" s="201"/>
      <c r="TKM179" s="201"/>
      <c r="TKN179" s="201"/>
      <c r="TKO179" s="201"/>
      <c r="TKP179" s="201"/>
      <c r="TKQ179" s="201"/>
      <c r="TKR179" s="201"/>
      <c r="TKS179" s="201"/>
      <c r="TKT179" s="201"/>
      <c r="TKU179" s="201"/>
      <c r="TKV179" s="201"/>
      <c r="TKW179" s="201"/>
      <c r="TKX179" s="201"/>
      <c r="TKY179" s="201"/>
      <c r="TKZ179" s="201"/>
      <c r="TLA179" s="201"/>
      <c r="TLB179" s="201"/>
      <c r="TLC179" s="201"/>
      <c r="TLD179" s="201"/>
      <c r="TLE179" s="201"/>
      <c r="TLF179" s="201"/>
      <c r="TLG179" s="201"/>
      <c r="TLH179" s="201"/>
      <c r="TLI179" s="201"/>
      <c r="TLJ179" s="201"/>
      <c r="TLK179" s="201"/>
      <c r="TLL179" s="201"/>
      <c r="TLM179" s="201"/>
      <c r="TLN179" s="201"/>
      <c r="TLO179" s="201"/>
      <c r="TLP179" s="201"/>
      <c r="TLQ179" s="201"/>
      <c r="TLR179" s="201"/>
      <c r="TLS179" s="201"/>
      <c r="TLT179" s="201"/>
      <c r="TLU179" s="201"/>
      <c r="TLV179" s="201"/>
      <c r="TLW179" s="201"/>
      <c r="TLX179" s="201"/>
      <c r="TLY179" s="201"/>
      <c r="TLZ179" s="201"/>
      <c r="TMA179" s="201"/>
      <c r="TMB179" s="201"/>
      <c r="TMC179" s="201"/>
      <c r="TMD179" s="201"/>
      <c r="TME179" s="201"/>
      <c r="TMF179" s="201"/>
      <c r="TMG179" s="201"/>
      <c r="TMH179" s="201"/>
      <c r="TMI179" s="201"/>
      <c r="TMJ179" s="201"/>
      <c r="TMK179" s="201"/>
      <c r="TML179" s="201"/>
      <c r="TMM179" s="201"/>
      <c r="TMN179" s="201"/>
      <c r="TMO179" s="201"/>
      <c r="TMP179" s="201"/>
      <c r="TMQ179" s="201"/>
      <c r="TMR179" s="201"/>
      <c r="TMS179" s="201"/>
      <c r="TMT179" s="201"/>
      <c r="TMU179" s="201"/>
      <c r="TMV179" s="201"/>
      <c r="TMW179" s="201"/>
      <c r="TMX179" s="201"/>
      <c r="TMY179" s="201"/>
      <c r="TMZ179" s="201"/>
      <c r="TNA179" s="201"/>
      <c r="TNB179" s="201"/>
      <c r="TNC179" s="201"/>
      <c r="TND179" s="201"/>
      <c r="TNE179" s="201"/>
      <c r="TNF179" s="201"/>
      <c r="TNG179" s="201"/>
      <c r="TNH179" s="201"/>
      <c r="TNI179" s="201"/>
      <c r="TNJ179" s="201"/>
      <c r="TNK179" s="201"/>
      <c r="TNL179" s="201"/>
      <c r="TNM179" s="201"/>
      <c r="TNN179" s="201"/>
      <c r="TNO179" s="201"/>
      <c r="TNP179" s="201"/>
      <c r="TNQ179" s="201"/>
      <c r="TNR179" s="201"/>
      <c r="TNS179" s="201"/>
      <c r="TNT179" s="201"/>
      <c r="TNU179" s="201"/>
      <c r="TNV179" s="201"/>
      <c r="TNW179" s="201"/>
      <c r="TNX179" s="201"/>
      <c r="TNY179" s="201"/>
      <c r="TNZ179" s="201"/>
      <c r="TOA179" s="201"/>
      <c r="TOB179" s="201"/>
      <c r="TOC179" s="201"/>
      <c r="TOD179" s="201"/>
      <c r="TOE179" s="201"/>
      <c r="TOF179" s="201"/>
      <c r="TOG179" s="201"/>
      <c r="TOH179" s="201"/>
      <c r="TOI179" s="201"/>
      <c r="TOJ179" s="201"/>
      <c r="TOK179" s="201"/>
      <c r="TOL179" s="201"/>
      <c r="TOM179" s="201"/>
      <c r="TON179" s="201"/>
      <c r="TOO179" s="201"/>
      <c r="TOP179" s="201"/>
      <c r="TOQ179" s="201"/>
      <c r="TOR179" s="201"/>
      <c r="TOS179" s="201"/>
      <c r="TOT179" s="201"/>
      <c r="TOU179" s="201"/>
      <c r="TOV179" s="201"/>
      <c r="TOW179" s="201"/>
      <c r="TOX179" s="201"/>
      <c r="TOY179" s="201"/>
      <c r="TOZ179" s="201"/>
      <c r="TPA179" s="201"/>
      <c r="TPB179" s="201"/>
      <c r="TPC179" s="201"/>
      <c r="TPD179" s="201"/>
      <c r="TPE179" s="201"/>
      <c r="TPF179" s="201"/>
      <c r="TPG179" s="201"/>
      <c r="TPH179" s="201"/>
      <c r="TPI179" s="201"/>
      <c r="TPJ179" s="201"/>
      <c r="TPK179" s="201"/>
      <c r="TPL179" s="201"/>
      <c r="TPM179" s="201"/>
      <c r="TPN179" s="201"/>
      <c r="TPO179" s="201"/>
      <c r="TPP179" s="201"/>
      <c r="TPQ179" s="201"/>
      <c r="TPR179" s="201"/>
      <c r="TPS179" s="201"/>
      <c r="TPT179" s="201"/>
      <c r="TPU179" s="201"/>
      <c r="TPV179" s="201"/>
      <c r="TPW179" s="201"/>
      <c r="TPX179" s="201"/>
      <c r="TPY179" s="201"/>
      <c r="TPZ179" s="201"/>
      <c r="TQA179" s="201"/>
      <c r="TQB179" s="201"/>
      <c r="TQC179" s="201"/>
      <c r="TQD179" s="201"/>
      <c r="TQE179" s="201"/>
      <c r="TQF179" s="201"/>
      <c r="TQG179" s="201"/>
      <c r="TQH179" s="201"/>
      <c r="TQI179" s="201"/>
      <c r="TQJ179" s="201"/>
      <c r="TQK179" s="201"/>
      <c r="TQL179" s="201"/>
      <c r="TQM179" s="201"/>
      <c r="TQN179" s="201"/>
      <c r="TQO179" s="201"/>
      <c r="TQP179" s="201"/>
      <c r="TQQ179" s="201"/>
      <c r="TQR179" s="201"/>
      <c r="TQS179" s="201"/>
      <c r="TQT179" s="201"/>
      <c r="TQU179" s="201"/>
      <c r="TQV179" s="201"/>
      <c r="TQW179" s="201"/>
      <c r="TQX179" s="201"/>
      <c r="TQY179" s="201"/>
      <c r="TQZ179" s="201"/>
      <c r="TRA179" s="201"/>
      <c r="TRB179" s="201"/>
      <c r="TRC179" s="201"/>
      <c r="TRD179" s="201"/>
      <c r="TRE179" s="201"/>
      <c r="TRF179" s="201"/>
      <c r="TRG179" s="201"/>
      <c r="TRH179" s="201"/>
      <c r="TRI179" s="201"/>
      <c r="TRJ179" s="201"/>
      <c r="TRK179" s="201"/>
      <c r="TRL179" s="201"/>
      <c r="TRM179" s="201"/>
      <c r="TRN179" s="201"/>
      <c r="TRO179" s="201"/>
      <c r="TRP179" s="201"/>
      <c r="TRQ179" s="201"/>
      <c r="TRR179" s="201"/>
      <c r="TRS179" s="201"/>
      <c r="TRT179" s="201"/>
      <c r="TRU179" s="201"/>
      <c r="TRV179" s="201"/>
      <c r="TRW179" s="201"/>
      <c r="TRX179" s="201"/>
      <c r="TRY179" s="201"/>
      <c r="TRZ179" s="201"/>
      <c r="TSA179" s="201"/>
      <c r="TSB179" s="201"/>
      <c r="TSC179" s="201"/>
      <c r="TSD179" s="201"/>
      <c r="TSE179" s="201"/>
      <c r="TSF179" s="201"/>
      <c r="TSG179" s="201"/>
      <c r="TSH179" s="201"/>
      <c r="TSI179" s="201"/>
      <c r="TSJ179" s="201"/>
      <c r="TSK179" s="201"/>
      <c r="TSL179" s="201"/>
      <c r="TSM179" s="201"/>
      <c r="TSN179" s="201"/>
      <c r="TSO179" s="201"/>
      <c r="TSP179" s="201"/>
      <c r="TSQ179" s="201"/>
      <c r="TSR179" s="201"/>
      <c r="TSS179" s="201"/>
      <c r="TST179" s="201"/>
      <c r="TSU179" s="201"/>
      <c r="TSV179" s="201"/>
      <c r="TSW179" s="201"/>
      <c r="TSX179" s="201"/>
      <c r="TSY179" s="201"/>
      <c r="TSZ179" s="201"/>
      <c r="TTA179" s="201"/>
      <c r="TTB179" s="201"/>
      <c r="TTC179" s="201"/>
      <c r="TTD179" s="201"/>
      <c r="TTE179" s="201"/>
      <c r="TTF179" s="201"/>
      <c r="TTG179" s="201"/>
      <c r="TTH179" s="201"/>
      <c r="TTI179" s="201"/>
      <c r="TTJ179" s="201"/>
      <c r="TTK179" s="201"/>
      <c r="TTL179" s="201"/>
      <c r="TTM179" s="201"/>
      <c r="TTN179" s="201"/>
      <c r="TTO179" s="201"/>
      <c r="TTP179" s="201"/>
      <c r="TTQ179" s="201"/>
      <c r="TTR179" s="201"/>
      <c r="TTS179" s="201"/>
      <c r="TTT179" s="201"/>
      <c r="TTU179" s="201"/>
      <c r="TTV179" s="201"/>
      <c r="TTW179" s="201"/>
      <c r="TTX179" s="201"/>
      <c r="TTY179" s="201"/>
      <c r="TTZ179" s="201"/>
      <c r="TUA179" s="201"/>
      <c r="TUB179" s="201"/>
      <c r="TUC179" s="201"/>
      <c r="TUD179" s="201"/>
      <c r="TUE179" s="201"/>
      <c r="TUF179" s="201"/>
      <c r="TUG179" s="201"/>
      <c r="TUH179" s="201"/>
      <c r="TUI179" s="201"/>
      <c r="TUJ179" s="201"/>
      <c r="TUK179" s="201"/>
      <c r="TUL179" s="201"/>
      <c r="TUM179" s="201"/>
      <c r="TUN179" s="201"/>
      <c r="TUO179" s="201"/>
      <c r="TUP179" s="201"/>
      <c r="TUQ179" s="201"/>
      <c r="TUR179" s="201"/>
      <c r="TUS179" s="201"/>
      <c r="TUT179" s="201"/>
      <c r="TUU179" s="201"/>
      <c r="TUV179" s="201"/>
      <c r="TUW179" s="201"/>
      <c r="TUX179" s="201"/>
      <c r="TUY179" s="201"/>
      <c r="TUZ179" s="201"/>
      <c r="TVA179" s="201"/>
      <c r="TVB179" s="201"/>
      <c r="TVC179" s="201"/>
      <c r="TVD179" s="201"/>
      <c r="TVE179" s="201"/>
      <c r="TVF179" s="201"/>
      <c r="TVG179" s="201"/>
      <c r="TVH179" s="201"/>
      <c r="TVI179" s="201"/>
      <c r="TVJ179" s="201"/>
      <c r="TVK179" s="201"/>
      <c r="TVL179" s="201"/>
      <c r="TVM179" s="201"/>
      <c r="TVN179" s="201"/>
      <c r="TVO179" s="201"/>
      <c r="TVP179" s="201"/>
      <c r="TVQ179" s="201"/>
      <c r="TVR179" s="201"/>
      <c r="TVS179" s="201"/>
      <c r="TVT179" s="201"/>
      <c r="TVU179" s="201"/>
      <c r="TVV179" s="201"/>
      <c r="TVW179" s="201"/>
      <c r="TVX179" s="201"/>
      <c r="TVY179" s="201"/>
      <c r="TVZ179" s="201"/>
      <c r="TWA179" s="201"/>
      <c r="TWB179" s="201"/>
      <c r="TWC179" s="201"/>
      <c r="TWD179" s="201"/>
      <c r="TWE179" s="201"/>
      <c r="TWF179" s="201"/>
      <c r="TWG179" s="201"/>
      <c r="TWH179" s="201"/>
      <c r="TWI179" s="201"/>
      <c r="TWJ179" s="201"/>
      <c r="TWK179" s="201"/>
      <c r="TWL179" s="201"/>
      <c r="TWM179" s="201"/>
      <c r="TWN179" s="201"/>
      <c r="TWO179" s="201"/>
      <c r="TWP179" s="201"/>
      <c r="TWQ179" s="201"/>
      <c r="TWR179" s="201"/>
      <c r="TWS179" s="201"/>
      <c r="TWT179" s="201"/>
      <c r="TWU179" s="201"/>
      <c r="TWV179" s="201"/>
      <c r="TWW179" s="201"/>
      <c r="TWX179" s="201"/>
      <c r="TWY179" s="201"/>
      <c r="TWZ179" s="201"/>
      <c r="TXA179" s="201"/>
      <c r="TXB179" s="201"/>
      <c r="TXC179" s="201"/>
      <c r="TXD179" s="201"/>
      <c r="TXE179" s="201"/>
      <c r="TXF179" s="201"/>
      <c r="TXG179" s="201"/>
      <c r="TXH179" s="201"/>
      <c r="TXI179" s="201"/>
      <c r="TXJ179" s="201"/>
      <c r="TXK179" s="201"/>
      <c r="TXL179" s="201"/>
      <c r="TXM179" s="201"/>
      <c r="TXN179" s="201"/>
      <c r="TXO179" s="201"/>
      <c r="TXP179" s="201"/>
      <c r="TXQ179" s="201"/>
      <c r="TXR179" s="201"/>
      <c r="TXS179" s="201"/>
      <c r="TXT179" s="201"/>
      <c r="TXU179" s="201"/>
      <c r="TXV179" s="201"/>
      <c r="TXW179" s="201"/>
      <c r="TXX179" s="201"/>
      <c r="TXY179" s="201"/>
      <c r="TXZ179" s="201"/>
      <c r="TYA179" s="201"/>
      <c r="TYB179" s="201"/>
      <c r="TYC179" s="201"/>
      <c r="TYD179" s="201"/>
      <c r="TYE179" s="201"/>
      <c r="TYF179" s="201"/>
      <c r="TYG179" s="201"/>
      <c r="TYH179" s="201"/>
      <c r="TYI179" s="201"/>
      <c r="TYJ179" s="201"/>
      <c r="TYK179" s="201"/>
      <c r="TYL179" s="201"/>
      <c r="TYM179" s="201"/>
      <c r="TYN179" s="201"/>
      <c r="TYO179" s="201"/>
      <c r="TYP179" s="201"/>
      <c r="TYQ179" s="201"/>
      <c r="TYR179" s="201"/>
      <c r="TYS179" s="201"/>
      <c r="TYT179" s="201"/>
      <c r="TYU179" s="201"/>
      <c r="TYV179" s="201"/>
      <c r="TYW179" s="201"/>
      <c r="TYX179" s="201"/>
      <c r="TYY179" s="201"/>
      <c r="TYZ179" s="201"/>
      <c r="TZA179" s="201"/>
      <c r="TZB179" s="201"/>
      <c r="TZC179" s="201"/>
      <c r="TZD179" s="201"/>
      <c r="TZE179" s="201"/>
      <c r="TZF179" s="201"/>
      <c r="TZG179" s="201"/>
      <c r="TZH179" s="201"/>
      <c r="TZI179" s="201"/>
      <c r="TZJ179" s="201"/>
      <c r="TZK179" s="201"/>
      <c r="TZL179" s="201"/>
      <c r="TZM179" s="201"/>
      <c r="TZN179" s="201"/>
      <c r="TZO179" s="201"/>
      <c r="TZP179" s="201"/>
      <c r="TZQ179" s="201"/>
      <c r="TZR179" s="201"/>
      <c r="TZS179" s="201"/>
      <c r="TZT179" s="201"/>
      <c r="TZU179" s="201"/>
      <c r="TZV179" s="201"/>
      <c r="TZW179" s="201"/>
      <c r="TZX179" s="201"/>
      <c r="TZY179" s="201"/>
      <c r="TZZ179" s="201"/>
      <c r="UAA179" s="201"/>
      <c r="UAB179" s="201"/>
      <c r="UAC179" s="201"/>
      <c r="UAD179" s="201"/>
      <c r="UAE179" s="201"/>
      <c r="UAF179" s="201"/>
      <c r="UAG179" s="201"/>
      <c r="UAH179" s="201"/>
      <c r="UAI179" s="201"/>
      <c r="UAJ179" s="201"/>
      <c r="UAK179" s="201"/>
      <c r="UAL179" s="201"/>
      <c r="UAM179" s="201"/>
      <c r="UAN179" s="201"/>
      <c r="UAO179" s="201"/>
      <c r="UAP179" s="201"/>
      <c r="UAQ179" s="201"/>
      <c r="UAR179" s="201"/>
      <c r="UAS179" s="201"/>
      <c r="UAT179" s="201"/>
      <c r="UAU179" s="201"/>
      <c r="UAV179" s="201"/>
      <c r="UAW179" s="201"/>
      <c r="UAX179" s="201"/>
      <c r="UAY179" s="201"/>
      <c r="UAZ179" s="201"/>
      <c r="UBA179" s="201"/>
      <c r="UBB179" s="201"/>
      <c r="UBC179" s="201"/>
      <c r="UBD179" s="201"/>
      <c r="UBE179" s="201"/>
      <c r="UBF179" s="201"/>
      <c r="UBG179" s="201"/>
      <c r="UBH179" s="201"/>
      <c r="UBI179" s="201"/>
      <c r="UBJ179" s="201"/>
      <c r="UBK179" s="201"/>
      <c r="UBL179" s="201"/>
      <c r="UBM179" s="201"/>
      <c r="UBN179" s="201"/>
      <c r="UBO179" s="201"/>
      <c r="UBP179" s="201"/>
      <c r="UBQ179" s="201"/>
      <c r="UBR179" s="201"/>
      <c r="UBS179" s="201"/>
      <c r="UBT179" s="201"/>
      <c r="UBU179" s="201"/>
      <c r="UBV179" s="201"/>
      <c r="UBW179" s="201"/>
      <c r="UBX179" s="201"/>
      <c r="UBY179" s="201"/>
      <c r="UBZ179" s="201"/>
      <c r="UCA179" s="201"/>
      <c r="UCB179" s="201"/>
      <c r="UCC179" s="201"/>
      <c r="UCD179" s="201"/>
      <c r="UCE179" s="201"/>
      <c r="UCF179" s="201"/>
      <c r="UCG179" s="201"/>
      <c r="UCH179" s="201"/>
      <c r="UCI179" s="201"/>
      <c r="UCJ179" s="201"/>
      <c r="UCK179" s="201"/>
      <c r="UCL179" s="201"/>
      <c r="UCM179" s="201"/>
      <c r="UCN179" s="201"/>
      <c r="UCO179" s="201"/>
      <c r="UCP179" s="201"/>
      <c r="UCQ179" s="201"/>
      <c r="UCR179" s="201"/>
      <c r="UCS179" s="201"/>
      <c r="UCT179" s="201"/>
      <c r="UCU179" s="201"/>
      <c r="UCV179" s="201"/>
      <c r="UCW179" s="201"/>
      <c r="UCX179" s="201"/>
      <c r="UCY179" s="201"/>
      <c r="UCZ179" s="201"/>
      <c r="UDA179" s="201"/>
      <c r="UDB179" s="201"/>
      <c r="UDC179" s="201"/>
      <c r="UDD179" s="201"/>
      <c r="UDE179" s="201"/>
      <c r="UDF179" s="201"/>
      <c r="UDG179" s="201"/>
      <c r="UDH179" s="201"/>
      <c r="UDI179" s="201"/>
      <c r="UDJ179" s="201"/>
      <c r="UDK179" s="201"/>
      <c r="UDL179" s="201"/>
      <c r="UDM179" s="201"/>
      <c r="UDN179" s="201"/>
      <c r="UDO179" s="201"/>
      <c r="UDP179" s="201"/>
      <c r="UDQ179" s="201"/>
      <c r="UDR179" s="201"/>
      <c r="UDS179" s="201"/>
      <c r="UDT179" s="201"/>
      <c r="UDU179" s="201"/>
      <c r="UDV179" s="201"/>
      <c r="UDW179" s="201"/>
      <c r="UDX179" s="201"/>
      <c r="UDY179" s="201"/>
      <c r="UDZ179" s="201"/>
      <c r="UEA179" s="201"/>
      <c r="UEB179" s="201"/>
      <c r="UEC179" s="201"/>
      <c r="UED179" s="201"/>
      <c r="UEE179" s="201"/>
      <c r="UEF179" s="201"/>
      <c r="UEG179" s="201"/>
      <c r="UEH179" s="201"/>
      <c r="UEI179" s="201"/>
      <c r="UEJ179" s="201"/>
      <c r="UEK179" s="201"/>
      <c r="UEL179" s="201"/>
      <c r="UEM179" s="201"/>
      <c r="UEN179" s="201"/>
      <c r="UEO179" s="201"/>
      <c r="UEP179" s="201"/>
      <c r="UEQ179" s="201"/>
      <c r="UER179" s="201"/>
      <c r="UES179" s="201"/>
      <c r="UET179" s="201"/>
      <c r="UEU179" s="201"/>
      <c r="UEV179" s="201"/>
      <c r="UEW179" s="201"/>
      <c r="UEX179" s="201"/>
      <c r="UEY179" s="201"/>
      <c r="UEZ179" s="201"/>
      <c r="UFA179" s="201"/>
      <c r="UFB179" s="201"/>
      <c r="UFC179" s="201"/>
      <c r="UFD179" s="201"/>
      <c r="UFE179" s="201"/>
      <c r="UFF179" s="201"/>
      <c r="UFG179" s="201"/>
      <c r="UFH179" s="201"/>
      <c r="UFI179" s="201"/>
      <c r="UFJ179" s="201"/>
      <c r="UFK179" s="201"/>
      <c r="UFL179" s="201"/>
      <c r="UFM179" s="201"/>
      <c r="UFN179" s="201"/>
      <c r="UFO179" s="201"/>
      <c r="UFP179" s="201"/>
      <c r="UFQ179" s="201"/>
      <c r="UFR179" s="201"/>
      <c r="UFS179" s="201"/>
      <c r="UFT179" s="201"/>
      <c r="UFU179" s="201"/>
      <c r="UFV179" s="201"/>
      <c r="UFW179" s="201"/>
      <c r="UFX179" s="201"/>
      <c r="UFY179" s="201"/>
      <c r="UFZ179" s="201"/>
      <c r="UGA179" s="201"/>
      <c r="UGB179" s="201"/>
      <c r="UGC179" s="201"/>
      <c r="UGD179" s="201"/>
      <c r="UGE179" s="201"/>
      <c r="UGF179" s="201"/>
      <c r="UGG179" s="201"/>
      <c r="UGH179" s="201"/>
      <c r="UGI179" s="201"/>
      <c r="UGJ179" s="201"/>
      <c r="UGK179" s="201"/>
      <c r="UGL179" s="201"/>
      <c r="UGM179" s="201"/>
      <c r="UGN179" s="201"/>
      <c r="UGO179" s="201"/>
      <c r="UGP179" s="201"/>
      <c r="UGQ179" s="201"/>
      <c r="UGR179" s="201"/>
      <c r="UGS179" s="201"/>
      <c r="UGT179" s="201"/>
      <c r="UGU179" s="201"/>
      <c r="UGV179" s="201"/>
      <c r="UGW179" s="201"/>
      <c r="UGX179" s="201"/>
      <c r="UGY179" s="201"/>
      <c r="UGZ179" s="201"/>
      <c r="UHA179" s="201"/>
      <c r="UHB179" s="201"/>
      <c r="UHC179" s="201"/>
      <c r="UHD179" s="201"/>
      <c r="UHE179" s="201"/>
      <c r="UHF179" s="201"/>
      <c r="UHG179" s="201"/>
      <c r="UHH179" s="201"/>
      <c r="UHI179" s="201"/>
      <c r="UHJ179" s="201"/>
      <c r="UHK179" s="201"/>
      <c r="UHL179" s="201"/>
      <c r="UHM179" s="201"/>
      <c r="UHN179" s="201"/>
      <c r="UHO179" s="201"/>
      <c r="UHP179" s="201"/>
      <c r="UHQ179" s="201"/>
      <c r="UHR179" s="201"/>
      <c r="UHS179" s="201"/>
      <c r="UHT179" s="201"/>
      <c r="UHU179" s="201"/>
      <c r="UHV179" s="201"/>
      <c r="UHW179" s="201"/>
      <c r="UHX179" s="201"/>
      <c r="UHY179" s="201"/>
      <c r="UHZ179" s="201"/>
      <c r="UIA179" s="201"/>
      <c r="UIB179" s="201"/>
      <c r="UIC179" s="201"/>
      <c r="UID179" s="201"/>
      <c r="UIE179" s="201"/>
      <c r="UIF179" s="201"/>
      <c r="UIG179" s="201"/>
      <c r="UIH179" s="201"/>
      <c r="UII179" s="201"/>
      <c r="UIJ179" s="201"/>
      <c r="UIK179" s="201"/>
      <c r="UIL179" s="201"/>
      <c r="UIM179" s="201"/>
      <c r="UIN179" s="201"/>
      <c r="UIO179" s="201"/>
      <c r="UIP179" s="201"/>
      <c r="UIQ179" s="201"/>
      <c r="UIR179" s="201"/>
      <c r="UIS179" s="201"/>
      <c r="UIT179" s="201"/>
      <c r="UIU179" s="201"/>
      <c r="UIV179" s="201"/>
      <c r="UIW179" s="201"/>
      <c r="UIX179" s="201"/>
      <c r="UIY179" s="201"/>
      <c r="UIZ179" s="201"/>
      <c r="UJA179" s="201"/>
      <c r="UJB179" s="201"/>
      <c r="UJC179" s="201"/>
      <c r="UJD179" s="201"/>
      <c r="UJE179" s="201"/>
      <c r="UJF179" s="201"/>
      <c r="UJG179" s="201"/>
      <c r="UJH179" s="201"/>
      <c r="UJI179" s="201"/>
      <c r="UJJ179" s="201"/>
      <c r="UJK179" s="201"/>
      <c r="UJL179" s="201"/>
      <c r="UJM179" s="201"/>
      <c r="UJN179" s="201"/>
      <c r="UJO179" s="201"/>
      <c r="UJP179" s="201"/>
      <c r="UJQ179" s="201"/>
      <c r="UJR179" s="201"/>
      <c r="UJS179" s="201"/>
      <c r="UJT179" s="201"/>
      <c r="UJU179" s="201"/>
      <c r="UJV179" s="201"/>
      <c r="UJW179" s="201"/>
      <c r="UJX179" s="201"/>
      <c r="UJY179" s="201"/>
      <c r="UJZ179" s="201"/>
      <c r="UKA179" s="201"/>
      <c r="UKB179" s="201"/>
      <c r="UKC179" s="201"/>
      <c r="UKD179" s="201"/>
      <c r="UKE179" s="201"/>
      <c r="UKF179" s="201"/>
      <c r="UKG179" s="201"/>
      <c r="UKH179" s="201"/>
      <c r="UKI179" s="201"/>
      <c r="UKJ179" s="201"/>
      <c r="UKK179" s="201"/>
      <c r="UKL179" s="201"/>
      <c r="UKM179" s="201"/>
      <c r="UKN179" s="201"/>
      <c r="UKO179" s="201"/>
      <c r="UKP179" s="201"/>
      <c r="UKQ179" s="201"/>
      <c r="UKR179" s="201"/>
      <c r="UKS179" s="201"/>
      <c r="UKT179" s="201"/>
      <c r="UKU179" s="201"/>
      <c r="UKV179" s="201"/>
      <c r="UKW179" s="201"/>
      <c r="UKX179" s="201"/>
      <c r="UKY179" s="201"/>
      <c r="UKZ179" s="201"/>
      <c r="ULA179" s="201"/>
      <c r="ULB179" s="201"/>
      <c r="ULC179" s="201"/>
      <c r="ULD179" s="201"/>
      <c r="ULE179" s="201"/>
      <c r="ULF179" s="201"/>
      <c r="ULG179" s="201"/>
      <c r="ULH179" s="201"/>
      <c r="ULI179" s="201"/>
      <c r="ULJ179" s="201"/>
      <c r="ULK179" s="201"/>
      <c r="ULL179" s="201"/>
      <c r="ULM179" s="201"/>
      <c r="ULN179" s="201"/>
      <c r="ULO179" s="201"/>
      <c r="ULP179" s="201"/>
      <c r="ULQ179" s="201"/>
      <c r="ULR179" s="201"/>
      <c r="ULS179" s="201"/>
      <c r="ULT179" s="201"/>
      <c r="ULU179" s="201"/>
      <c r="ULV179" s="201"/>
      <c r="ULW179" s="201"/>
      <c r="ULX179" s="201"/>
      <c r="ULY179" s="201"/>
      <c r="ULZ179" s="201"/>
      <c r="UMA179" s="201"/>
      <c r="UMB179" s="201"/>
      <c r="UMC179" s="201"/>
      <c r="UMD179" s="201"/>
      <c r="UME179" s="201"/>
      <c r="UMF179" s="201"/>
      <c r="UMG179" s="201"/>
      <c r="UMH179" s="201"/>
      <c r="UMI179" s="201"/>
      <c r="UMJ179" s="201"/>
      <c r="UMK179" s="201"/>
      <c r="UML179" s="201"/>
      <c r="UMM179" s="201"/>
      <c r="UMN179" s="201"/>
      <c r="UMO179" s="201"/>
      <c r="UMP179" s="201"/>
      <c r="UMQ179" s="201"/>
      <c r="UMR179" s="201"/>
      <c r="UMS179" s="201"/>
      <c r="UMT179" s="201"/>
      <c r="UMU179" s="201"/>
      <c r="UMV179" s="201"/>
      <c r="UMW179" s="201"/>
      <c r="UMX179" s="201"/>
      <c r="UMY179" s="201"/>
      <c r="UMZ179" s="201"/>
      <c r="UNA179" s="201"/>
      <c r="UNB179" s="201"/>
      <c r="UNC179" s="201"/>
      <c r="UND179" s="201"/>
      <c r="UNE179" s="201"/>
      <c r="UNF179" s="201"/>
      <c r="UNG179" s="201"/>
      <c r="UNH179" s="201"/>
      <c r="UNI179" s="201"/>
      <c r="UNJ179" s="201"/>
      <c r="UNK179" s="201"/>
      <c r="UNL179" s="201"/>
      <c r="UNM179" s="201"/>
      <c r="UNN179" s="201"/>
      <c r="UNO179" s="201"/>
      <c r="UNP179" s="201"/>
      <c r="UNQ179" s="201"/>
      <c r="UNR179" s="201"/>
      <c r="UNS179" s="201"/>
      <c r="UNT179" s="201"/>
      <c r="UNU179" s="201"/>
      <c r="UNV179" s="201"/>
      <c r="UNW179" s="201"/>
      <c r="UNX179" s="201"/>
      <c r="UNY179" s="201"/>
      <c r="UNZ179" s="201"/>
      <c r="UOA179" s="201"/>
      <c r="UOB179" s="201"/>
      <c r="UOC179" s="201"/>
      <c r="UOD179" s="201"/>
      <c r="UOE179" s="201"/>
      <c r="UOF179" s="201"/>
      <c r="UOG179" s="201"/>
      <c r="UOH179" s="201"/>
      <c r="UOI179" s="201"/>
      <c r="UOJ179" s="201"/>
      <c r="UOK179" s="201"/>
      <c r="UOL179" s="201"/>
      <c r="UOM179" s="201"/>
      <c r="UON179" s="201"/>
      <c r="UOO179" s="201"/>
      <c r="UOP179" s="201"/>
      <c r="UOQ179" s="201"/>
      <c r="UOR179" s="201"/>
      <c r="UOS179" s="201"/>
      <c r="UOT179" s="201"/>
      <c r="UOU179" s="201"/>
      <c r="UOV179" s="201"/>
      <c r="UOW179" s="201"/>
      <c r="UOX179" s="201"/>
      <c r="UOY179" s="201"/>
      <c r="UOZ179" s="201"/>
      <c r="UPA179" s="201"/>
      <c r="UPB179" s="201"/>
      <c r="UPC179" s="201"/>
      <c r="UPD179" s="201"/>
      <c r="UPE179" s="201"/>
      <c r="UPF179" s="201"/>
      <c r="UPG179" s="201"/>
      <c r="UPH179" s="201"/>
      <c r="UPI179" s="201"/>
      <c r="UPJ179" s="201"/>
      <c r="UPK179" s="201"/>
      <c r="UPL179" s="201"/>
      <c r="UPM179" s="201"/>
      <c r="UPN179" s="201"/>
      <c r="UPO179" s="201"/>
      <c r="UPP179" s="201"/>
      <c r="UPQ179" s="201"/>
      <c r="UPR179" s="201"/>
      <c r="UPS179" s="201"/>
      <c r="UPT179" s="201"/>
      <c r="UPU179" s="201"/>
      <c r="UPV179" s="201"/>
      <c r="UPW179" s="201"/>
      <c r="UPX179" s="201"/>
      <c r="UPY179" s="201"/>
      <c r="UPZ179" s="201"/>
      <c r="UQA179" s="201"/>
      <c r="UQB179" s="201"/>
      <c r="UQC179" s="201"/>
      <c r="UQD179" s="201"/>
      <c r="UQE179" s="201"/>
      <c r="UQF179" s="201"/>
      <c r="UQG179" s="201"/>
      <c r="UQH179" s="201"/>
      <c r="UQI179" s="201"/>
      <c r="UQJ179" s="201"/>
      <c r="UQK179" s="201"/>
      <c r="UQL179" s="201"/>
      <c r="UQM179" s="201"/>
      <c r="UQN179" s="201"/>
      <c r="UQO179" s="201"/>
      <c r="UQP179" s="201"/>
      <c r="UQQ179" s="201"/>
      <c r="UQR179" s="201"/>
      <c r="UQS179" s="201"/>
      <c r="UQT179" s="201"/>
      <c r="UQU179" s="201"/>
      <c r="UQV179" s="201"/>
      <c r="UQW179" s="201"/>
      <c r="UQX179" s="201"/>
      <c r="UQY179" s="201"/>
      <c r="UQZ179" s="201"/>
      <c r="URA179" s="201"/>
      <c r="URB179" s="201"/>
      <c r="URC179" s="201"/>
      <c r="URD179" s="201"/>
      <c r="URE179" s="201"/>
      <c r="URF179" s="201"/>
      <c r="URG179" s="201"/>
      <c r="URH179" s="201"/>
      <c r="URI179" s="201"/>
      <c r="URJ179" s="201"/>
      <c r="URK179" s="201"/>
      <c r="URL179" s="201"/>
      <c r="URM179" s="201"/>
      <c r="URN179" s="201"/>
      <c r="URO179" s="201"/>
      <c r="URP179" s="201"/>
      <c r="URQ179" s="201"/>
      <c r="URR179" s="201"/>
      <c r="URS179" s="201"/>
      <c r="URT179" s="201"/>
      <c r="URU179" s="201"/>
      <c r="URV179" s="201"/>
      <c r="URW179" s="201"/>
      <c r="URX179" s="201"/>
      <c r="URY179" s="201"/>
      <c r="URZ179" s="201"/>
      <c r="USA179" s="201"/>
      <c r="USB179" s="201"/>
      <c r="USC179" s="201"/>
      <c r="USD179" s="201"/>
      <c r="USE179" s="201"/>
      <c r="USF179" s="201"/>
      <c r="USG179" s="201"/>
      <c r="USH179" s="201"/>
      <c r="USI179" s="201"/>
      <c r="USJ179" s="201"/>
      <c r="USK179" s="201"/>
      <c r="USL179" s="201"/>
      <c r="USM179" s="201"/>
      <c r="USN179" s="201"/>
      <c r="USO179" s="201"/>
      <c r="USP179" s="201"/>
      <c r="USQ179" s="201"/>
      <c r="USR179" s="201"/>
      <c r="USS179" s="201"/>
      <c r="UST179" s="201"/>
      <c r="USU179" s="201"/>
      <c r="USV179" s="201"/>
      <c r="USW179" s="201"/>
      <c r="USX179" s="201"/>
      <c r="USY179" s="201"/>
      <c r="USZ179" s="201"/>
      <c r="UTA179" s="201"/>
      <c r="UTB179" s="201"/>
      <c r="UTC179" s="201"/>
      <c r="UTD179" s="201"/>
      <c r="UTE179" s="201"/>
      <c r="UTF179" s="201"/>
      <c r="UTG179" s="201"/>
      <c r="UTH179" s="201"/>
      <c r="UTI179" s="201"/>
      <c r="UTJ179" s="201"/>
      <c r="UTK179" s="201"/>
      <c r="UTL179" s="201"/>
      <c r="UTM179" s="201"/>
      <c r="UTN179" s="201"/>
      <c r="UTO179" s="201"/>
      <c r="UTP179" s="201"/>
      <c r="UTQ179" s="201"/>
      <c r="UTR179" s="201"/>
      <c r="UTS179" s="201"/>
      <c r="UTT179" s="201"/>
      <c r="UTU179" s="201"/>
      <c r="UTV179" s="201"/>
      <c r="UTW179" s="201"/>
      <c r="UTX179" s="201"/>
      <c r="UTY179" s="201"/>
      <c r="UTZ179" s="201"/>
      <c r="UUA179" s="201"/>
      <c r="UUB179" s="201"/>
      <c r="UUC179" s="201"/>
      <c r="UUD179" s="201"/>
      <c r="UUE179" s="201"/>
      <c r="UUF179" s="201"/>
      <c r="UUG179" s="201"/>
      <c r="UUH179" s="201"/>
      <c r="UUI179" s="201"/>
      <c r="UUJ179" s="201"/>
      <c r="UUK179" s="201"/>
      <c r="UUL179" s="201"/>
      <c r="UUM179" s="201"/>
      <c r="UUN179" s="201"/>
      <c r="UUO179" s="201"/>
      <c r="UUP179" s="201"/>
      <c r="UUQ179" s="201"/>
      <c r="UUR179" s="201"/>
      <c r="UUS179" s="201"/>
      <c r="UUT179" s="201"/>
      <c r="UUU179" s="201"/>
      <c r="UUV179" s="201"/>
      <c r="UUW179" s="201"/>
      <c r="UUX179" s="201"/>
      <c r="UUY179" s="201"/>
      <c r="UUZ179" s="201"/>
      <c r="UVA179" s="201"/>
      <c r="UVB179" s="201"/>
      <c r="UVC179" s="201"/>
      <c r="UVD179" s="201"/>
      <c r="UVE179" s="201"/>
      <c r="UVF179" s="201"/>
      <c r="UVG179" s="201"/>
      <c r="UVH179" s="201"/>
      <c r="UVI179" s="201"/>
      <c r="UVJ179" s="201"/>
      <c r="UVK179" s="201"/>
      <c r="UVL179" s="201"/>
      <c r="UVM179" s="201"/>
      <c r="UVN179" s="201"/>
      <c r="UVO179" s="201"/>
      <c r="UVP179" s="201"/>
      <c r="UVQ179" s="201"/>
      <c r="UVR179" s="201"/>
      <c r="UVS179" s="201"/>
      <c r="UVT179" s="201"/>
      <c r="UVU179" s="201"/>
      <c r="UVV179" s="201"/>
      <c r="UVW179" s="201"/>
      <c r="UVX179" s="201"/>
      <c r="UVY179" s="201"/>
      <c r="UVZ179" s="201"/>
      <c r="UWA179" s="201"/>
      <c r="UWB179" s="201"/>
      <c r="UWC179" s="201"/>
      <c r="UWD179" s="201"/>
      <c r="UWE179" s="201"/>
      <c r="UWF179" s="201"/>
      <c r="UWG179" s="201"/>
      <c r="UWH179" s="201"/>
      <c r="UWI179" s="201"/>
      <c r="UWJ179" s="201"/>
      <c r="UWK179" s="201"/>
      <c r="UWL179" s="201"/>
      <c r="UWM179" s="201"/>
      <c r="UWN179" s="201"/>
      <c r="UWO179" s="201"/>
      <c r="UWP179" s="201"/>
      <c r="UWQ179" s="201"/>
      <c r="UWR179" s="201"/>
      <c r="UWS179" s="201"/>
      <c r="UWT179" s="201"/>
      <c r="UWU179" s="201"/>
      <c r="UWV179" s="201"/>
      <c r="UWW179" s="201"/>
      <c r="UWX179" s="201"/>
      <c r="UWY179" s="201"/>
      <c r="UWZ179" s="201"/>
      <c r="UXA179" s="201"/>
      <c r="UXB179" s="201"/>
      <c r="UXC179" s="201"/>
      <c r="UXD179" s="201"/>
      <c r="UXE179" s="201"/>
      <c r="UXF179" s="201"/>
      <c r="UXG179" s="201"/>
      <c r="UXH179" s="201"/>
      <c r="UXI179" s="201"/>
      <c r="UXJ179" s="201"/>
      <c r="UXK179" s="201"/>
      <c r="UXL179" s="201"/>
      <c r="UXM179" s="201"/>
      <c r="UXN179" s="201"/>
      <c r="UXO179" s="201"/>
      <c r="UXP179" s="201"/>
      <c r="UXQ179" s="201"/>
      <c r="UXR179" s="201"/>
      <c r="UXS179" s="201"/>
      <c r="UXT179" s="201"/>
      <c r="UXU179" s="201"/>
      <c r="UXV179" s="201"/>
      <c r="UXW179" s="201"/>
      <c r="UXX179" s="201"/>
      <c r="UXY179" s="201"/>
      <c r="UXZ179" s="201"/>
      <c r="UYA179" s="201"/>
      <c r="UYB179" s="201"/>
      <c r="UYC179" s="201"/>
      <c r="UYD179" s="201"/>
      <c r="UYE179" s="201"/>
      <c r="UYF179" s="201"/>
      <c r="UYG179" s="201"/>
      <c r="UYH179" s="201"/>
      <c r="UYI179" s="201"/>
      <c r="UYJ179" s="201"/>
      <c r="UYK179" s="201"/>
      <c r="UYL179" s="201"/>
      <c r="UYM179" s="201"/>
      <c r="UYN179" s="201"/>
      <c r="UYO179" s="201"/>
      <c r="UYP179" s="201"/>
      <c r="UYQ179" s="201"/>
      <c r="UYR179" s="201"/>
      <c r="UYS179" s="201"/>
      <c r="UYT179" s="201"/>
      <c r="UYU179" s="201"/>
      <c r="UYV179" s="201"/>
      <c r="UYW179" s="201"/>
      <c r="UYX179" s="201"/>
      <c r="UYY179" s="201"/>
      <c r="UYZ179" s="201"/>
      <c r="UZA179" s="201"/>
      <c r="UZB179" s="201"/>
      <c r="UZC179" s="201"/>
      <c r="UZD179" s="201"/>
      <c r="UZE179" s="201"/>
      <c r="UZF179" s="201"/>
      <c r="UZG179" s="201"/>
      <c r="UZH179" s="201"/>
      <c r="UZI179" s="201"/>
      <c r="UZJ179" s="201"/>
      <c r="UZK179" s="201"/>
      <c r="UZL179" s="201"/>
      <c r="UZM179" s="201"/>
      <c r="UZN179" s="201"/>
      <c r="UZO179" s="201"/>
      <c r="UZP179" s="201"/>
      <c r="UZQ179" s="201"/>
      <c r="UZR179" s="201"/>
      <c r="UZS179" s="201"/>
      <c r="UZT179" s="201"/>
      <c r="UZU179" s="201"/>
      <c r="UZV179" s="201"/>
      <c r="UZW179" s="201"/>
      <c r="UZX179" s="201"/>
      <c r="UZY179" s="201"/>
      <c r="UZZ179" s="201"/>
      <c r="VAA179" s="201"/>
      <c r="VAB179" s="201"/>
      <c r="VAC179" s="201"/>
      <c r="VAD179" s="201"/>
      <c r="VAE179" s="201"/>
      <c r="VAF179" s="201"/>
      <c r="VAG179" s="201"/>
      <c r="VAH179" s="201"/>
      <c r="VAI179" s="201"/>
      <c r="VAJ179" s="201"/>
      <c r="VAK179" s="201"/>
      <c r="VAL179" s="201"/>
      <c r="VAM179" s="201"/>
      <c r="VAN179" s="201"/>
      <c r="VAO179" s="201"/>
      <c r="VAP179" s="201"/>
      <c r="VAQ179" s="201"/>
      <c r="VAR179" s="201"/>
      <c r="VAS179" s="201"/>
      <c r="VAT179" s="201"/>
      <c r="VAU179" s="201"/>
      <c r="VAV179" s="201"/>
      <c r="VAW179" s="201"/>
      <c r="VAX179" s="201"/>
      <c r="VAY179" s="201"/>
      <c r="VAZ179" s="201"/>
      <c r="VBA179" s="201"/>
      <c r="VBB179" s="201"/>
      <c r="VBC179" s="201"/>
      <c r="VBD179" s="201"/>
      <c r="VBE179" s="201"/>
      <c r="VBF179" s="201"/>
      <c r="VBG179" s="201"/>
      <c r="VBH179" s="201"/>
      <c r="VBI179" s="201"/>
      <c r="VBJ179" s="201"/>
      <c r="VBK179" s="201"/>
      <c r="VBL179" s="201"/>
      <c r="VBM179" s="201"/>
      <c r="VBN179" s="201"/>
      <c r="VBO179" s="201"/>
      <c r="VBP179" s="201"/>
      <c r="VBQ179" s="201"/>
      <c r="VBR179" s="201"/>
      <c r="VBS179" s="201"/>
      <c r="VBT179" s="201"/>
      <c r="VBU179" s="201"/>
      <c r="VBV179" s="201"/>
      <c r="VBW179" s="201"/>
      <c r="VBX179" s="201"/>
      <c r="VBY179" s="201"/>
      <c r="VBZ179" s="201"/>
      <c r="VCA179" s="201"/>
      <c r="VCB179" s="201"/>
      <c r="VCC179" s="201"/>
      <c r="VCD179" s="201"/>
      <c r="VCE179" s="201"/>
      <c r="VCF179" s="201"/>
      <c r="VCG179" s="201"/>
      <c r="VCH179" s="201"/>
      <c r="VCI179" s="201"/>
      <c r="VCJ179" s="201"/>
      <c r="VCK179" s="201"/>
      <c r="VCL179" s="201"/>
      <c r="VCM179" s="201"/>
      <c r="VCN179" s="201"/>
      <c r="VCO179" s="201"/>
      <c r="VCP179" s="201"/>
      <c r="VCQ179" s="201"/>
      <c r="VCR179" s="201"/>
      <c r="VCS179" s="201"/>
      <c r="VCT179" s="201"/>
      <c r="VCU179" s="201"/>
      <c r="VCV179" s="201"/>
      <c r="VCW179" s="201"/>
      <c r="VCX179" s="201"/>
      <c r="VCY179" s="201"/>
      <c r="VCZ179" s="201"/>
      <c r="VDA179" s="201"/>
      <c r="VDB179" s="201"/>
      <c r="VDC179" s="201"/>
      <c r="VDD179" s="201"/>
      <c r="VDE179" s="201"/>
      <c r="VDF179" s="201"/>
      <c r="VDG179" s="201"/>
      <c r="VDH179" s="201"/>
      <c r="VDI179" s="201"/>
      <c r="VDJ179" s="201"/>
      <c r="VDK179" s="201"/>
      <c r="VDL179" s="201"/>
      <c r="VDM179" s="201"/>
      <c r="VDN179" s="201"/>
      <c r="VDO179" s="201"/>
      <c r="VDP179" s="201"/>
      <c r="VDQ179" s="201"/>
      <c r="VDR179" s="201"/>
      <c r="VDS179" s="201"/>
      <c r="VDT179" s="201"/>
      <c r="VDU179" s="201"/>
      <c r="VDV179" s="201"/>
      <c r="VDW179" s="201"/>
      <c r="VDX179" s="201"/>
      <c r="VDY179" s="201"/>
      <c r="VDZ179" s="201"/>
      <c r="VEA179" s="201"/>
      <c r="VEB179" s="201"/>
      <c r="VEC179" s="201"/>
      <c r="VED179" s="201"/>
      <c r="VEE179" s="201"/>
      <c r="VEF179" s="201"/>
      <c r="VEG179" s="201"/>
      <c r="VEH179" s="201"/>
      <c r="VEI179" s="201"/>
      <c r="VEJ179" s="201"/>
      <c r="VEK179" s="201"/>
      <c r="VEL179" s="201"/>
      <c r="VEM179" s="201"/>
      <c r="VEN179" s="201"/>
      <c r="VEO179" s="201"/>
      <c r="VEP179" s="201"/>
      <c r="VEQ179" s="201"/>
      <c r="VER179" s="201"/>
      <c r="VES179" s="201"/>
      <c r="VET179" s="201"/>
      <c r="VEU179" s="201"/>
      <c r="VEV179" s="201"/>
      <c r="VEW179" s="201"/>
      <c r="VEX179" s="201"/>
      <c r="VEY179" s="201"/>
      <c r="VEZ179" s="201"/>
      <c r="VFA179" s="201"/>
      <c r="VFB179" s="201"/>
      <c r="VFC179" s="201"/>
      <c r="VFD179" s="201"/>
      <c r="VFE179" s="201"/>
      <c r="VFF179" s="201"/>
      <c r="VFG179" s="201"/>
      <c r="VFH179" s="201"/>
      <c r="VFI179" s="201"/>
      <c r="VFJ179" s="201"/>
      <c r="VFK179" s="201"/>
      <c r="VFL179" s="201"/>
      <c r="VFM179" s="201"/>
      <c r="VFN179" s="201"/>
      <c r="VFO179" s="201"/>
      <c r="VFP179" s="201"/>
      <c r="VFQ179" s="201"/>
      <c r="VFR179" s="201"/>
      <c r="VFS179" s="201"/>
      <c r="VFT179" s="201"/>
      <c r="VFU179" s="201"/>
      <c r="VFV179" s="201"/>
      <c r="VFW179" s="201"/>
      <c r="VFX179" s="201"/>
      <c r="VFY179" s="201"/>
      <c r="VFZ179" s="201"/>
      <c r="VGA179" s="201"/>
      <c r="VGB179" s="201"/>
      <c r="VGC179" s="201"/>
      <c r="VGD179" s="201"/>
      <c r="VGE179" s="201"/>
      <c r="VGF179" s="201"/>
      <c r="VGG179" s="201"/>
      <c r="VGH179" s="201"/>
      <c r="VGI179" s="201"/>
      <c r="VGJ179" s="201"/>
      <c r="VGK179" s="201"/>
      <c r="VGL179" s="201"/>
      <c r="VGM179" s="201"/>
      <c r="VGN179" s="201"/>
      <c r="VGO179" s="201"/>
      <c r="VGP179" s="201"/>
      <c r="VGQ179" s="201"/>
      <c r="VGR179" s="201"/>
      <c r="VGS179" s="201"/>
      <c r="VGT179" s="201"/>
      <c r="VGU179" s="201"/>
      <c r="VGV179" s="201"/>
      <c r="VGW179" s="201"/>
      <c r="VGX179" s="201"/>
      <c r="VGY179" s="201"/>
      <c r="VGZ179" s="201"/>
      <c r="VHA179" s="201"/>
      <c r="VHB179" s="201"/>
      <c r="VHC179" s="201"/>
      <c r="VHD179" s="201"/>
      <c r="VHE179" s="201"/>
      <c r="VHF179" s="201"/>
      <c r="VHG179" s="201"/>
      <c r="VHH179" s="201"/>
      <c r="VHI179" s="201"/>
      <c r="VHJ179" s="201"/>
      <c r="VHK179" s="201"/>
      <c r="VHL179" s="201"/>
      <c r="VHM179" s="201"/>
      <c r="VHN179" s="201"/>
      <c r="VHO179" s="201"/>
      <c r="VHP179" s="201"/>
      <c r="VHQ179" s="201"/>
      <c r="VHR179" s="201"/>
      <c r="VHS179" s="201"/>
      <c r="VHT179" s="201"/>
      <c r="VHU179" s="201"/>
      <c r="VHV179" s="201"/>
      <c r="VHW179" s="201"/>
      <c r="VHX179" s="201"/>
      <c r="VHY179" s="201"/>
      <c r="VHZ179" s="201"/>
      <c r="VIA179" s="201"/>
      <c r="VIB179" s="201"/>
      <c r="VIC179" s="201"/>
      <c r="VID179" s="201"/>
      <c r="VIE179" s="201"/>
      <c r="VIF179" s="201"/>
      <c r="VIG179" s="201"/>
      <c r="VIH179" s="201"/>
      <c r="VII179" s="201"/>
      <c r="VIJ179" s="201"/>
      <c r="VIK179" s="201"/>
      <c r="VIL179" s="201"/>
      <c r="VIM179" s="201"/>
      <c r="VIN179" s="201"/>
      <c r="VIO179" s="201"/>
      <c r="VIP179" s="201"/>
      <c r="VIQ179" s="201"/>
      <c r="VIR179" s="201"/>
      <c r="VIS179" s="201"/>
      <c r="VIT179" s="201"/>
      <c r="VIU179" s="201"/>
      <c r="VIV179" s="201"/>
      <c r="VIW179" s="201"/>
      <c r="VIX179" s="201"/>
      <c r="VIY179" s="201"/>
      <c r="VIZ179" s="201"/>
      <c r="VJA179" s="201"/>
      <c r="VJB179" s="201"/>
      <c r="VJC179" s="201"/>
      <c r="VJD179" s="201"/>
      <c r="VJE179" s="201"/>
      <c r="VJF179" s="201"/>
      <c r="VJG179" s="201"/>
      <c r="VJH179" s="201"/>
      <c r="VJI179" s="201"/>
      <c r="VJJ179" s="201"/>
      <c r="VJK179" s="201"/>
      <c r="VJL179" s="201"/>
      <c r="VJM179" s="201"/>
      <c r="VJN179" s="201"/>
      <c r="VJO179" s="201"/>
      <c r="VJP179" s="201"/>
      <c r="VJQ179" s="201"/>
      <c r="VJR179" s="201"/>
      <c r="VJS179" s="201"/>
      <c r="VJT179" s="201"/>
      <c r="VJU179" s="201"/>
      <c r="VJV179" s="201"/>
      <c r="VJW179" s="201"/>
      <c r="VJX179" s="201"/>
      <c r="VJY179" s="201"/>
      <c r="VJZ179" s="201"/>
      <c r="VKA179" s="201"/>
      <c r="VKB179" s="201"/>
      <c r="VKC179" s="201"/>
      <c r="VKD179" s="201"/>
      <c r="VKE179" s="201"/>
      <c r="VKF179" s="201"/>
      <c r="VKG179" s="201"/>
      <c r="VKH179" s="201"/>
      <c r="VKI179" s="201"/>
      <c r="VKJ179" s="201"/>
      <c r="VKK179" s="201"/>
      <c r="VKL179" s="201"/>
      <c r="VKM179" s="201"/>
      <c r="VKN179" s="201"/>
      <c r="VKO179" s="201"/>
      <c r="VKP179" s="201"/>
      <c r="VKQ179" s="201"/>
      <c r="VKR179" s="201"/>
      <c r="VKS179" s="201"/>
      <c r="VKT179" s="201"/>
      <c r="VKU179" s="201"/>
      <c r="VKV179" s="201"/>
      <c r="VKW179" s="201"/>
      <c r="VKX179" s="201"/>
      <c r="VKY179" s="201"/>
      <c r="VKZ179" s="201"/>
      <c r="VLA179" s="201"/>
      <c r="VLB179" s="201"/>
      <c r="VLC179" s="201"/>
      <c r="VLD179" s="201"/>
      <c r="VLE179" s="201"/>
      <c r="VLF179" s="201"/>
      <c r="VLG179" s="201"/>
      <c r="VLH179" s="201"/>
      <c r="VLI179" s="201"/>
      <c r="VLJ179" s="201"/>
      <c r="VLK179" s="201"/>
      <c r="VLL179" s="201"/>
      <c r="VLM179" s="201"/>
      <c r="VLN179" s="201"/>
      <c r="VLO179" s="201"/>
      <c r="VLP179" s="201"/>
      <c r="VLQ179" s="201"/>
      <c r="VLR179" s="201"/>
      <c r="VLS179" s="201"/>
      <c r="VLT179" s="201"/>
      <c r="VLU179" s="201"/>
      <c r="VLV179" s="201"/>
      <c r="VLW179" s="201"/>
      <c r="VLX179" s="201"/>
      <c r="VLY179" s="201"/>
      <c r="VLZ179" s="201"/>
      <c r="VMA179" s="201"/>
      <c r="VMB179" s="201"/>
      <c r="VMC179" s="201"/>
      <c r="VMD179" s="201"/>
      <c r="VME179" s="201"/>
      <c r="VMF179" s="201"/>
      <c r="VMG179" s="201"/>
      <c r="VMH179" s="201"/>
      <c r="VMI179" s="201"/>
      <c r="VMJ179" s="201"/>
      <c r="VMK179" s="201"/>
      <c r="VML179" s="201"/>
      <c r="VMM179" s="201"/>
      <c r="VMN179" s="201"/>
      <c r="VMO179" s="201"/>
      <c r="VMP179" s="201"/>
      <c r="VMQ179" s="201"/>
      <c r="VMR179" s="201"/>
      <c r="VMS179" s="201"/>
      <c r="VMT179" s="201"/>
      <c r="VMU179" s="201"/>
      <c r="VMV179" s="201"/>
      <c r="VMW179" s="201"/>
      <c r="VMX179" s="201"/>
      <c r="VMY179" s="201"/>
      <c r="VMZ179" s="201"/>
      <c r="VNA179" s="201"/>
      <c r="VNB179" s="201"/>
      <c r="VNC179" s="201"/>
      <c r="VND179" s="201"/>
      <c r="VNE179" s="201"/>
      <c r="VNF179" s="201"/>
      <c r="VNG179" s="201"/>
      <c r="VNH179" s="201"/>
      <c r="VNI179" s="201"/>
      <c r="VNJ179" s="201"/>
      <c r="VNK179" s="201"/>
      <c r="VNL179" s="201"/>
      <c r="VNM179" s="201"/>
      <c r="VNN179" s="201"/>
      <c r="VNO179" s="201"/>
      <c r="VNP179" s="201"/>
      <c r="VNQ179" s="201"/>
      <c r="VNR179" s="201"/>
      <c r="VNS179" s="201"/>
      <c r="VNT179" s="201"/>
      <c r="VNU179" s="201"/>
      <c r="VNV179" s="201"/>
      <c r="VNW179" s="201"/>
      <c r="VNX179" s="201"/>
      <c r="VNY179" s="201"/>
      <c r="VNZ179" s="201"/>
      <c r="VOA179" s="201"/>
      <c r="VOB179" s="201"/>
      <c r="VOC179" s="201"/>
      <c r="VOD179" s="201"/>
      <c r="VOE179" s="201"/>
      <c r="VOF179" s="201"/>
      <c r="VOG179" s="201"/>
      <c r="VOH179" s="201"/>
      <c r="VOI179" s="201"/>
      <c r="VOJ179" s="201"/>
      <c r="VOK179" s="201"/>
      <c r="VOL179" s="201"/>
      <c r="VOM179" s="201"/>
      <c r="VON179" s="201"/>
      <c r="VOO179" s="201"/>
      <c r="VOP179" s="201"/>
      <c r="VOQ179" s="201"/>
      <c r="VOR179" s="201"/>
      <c r="VOS179" s="201"/>
      <c r="VOT179" s="201"/>
      <c r="VOU179" s="201"/>
      <c r="VOV179" s="201"/>
      <c r="VOW179" s="201"/>
      <c r="VOX179" s="201"/>
      <c r="VOY179" s="201"/>
      <c r="VOZ179" s="201"/>
      <c r="VPA179" s="201"/>
      <c r="VPB179" s="201"/>
      <c r="VPC179" s="201"/>
      <c r="VPD179" s="201"/>
      <c r="VPE179" s="201"/>
      <c r="VPF179" s="201"/>
      <c r="VPG179" s="201"/>
      <c r="VPH179" s="201"/>
      <c r="VPI179" s="201"/>
      <c r="VPJ179" s="201"/>
      <c r="VPK179" s="201"/>
      <c r="VPL179" s="201"/>
      <c r="VPM179" s="201"/>
      <c r="VPN179" s="201"/>
      <c r="VPO179" s="201"/>
      <c r="VPP179" s="201"/>
      <c r="VPQ179" s="201"/>
      <c r="VPR179" s="201"/>
      <c r="VPS179" s="201"/>
      <c r="VPT179" s="201"/>
      <c r="VPU179" s="201"/>
      <c r="VPV179" s="201"/>
      <c r="VPW179" s="201"/>
      <c r="VPX179" s="201"/>
      <c r="VPY179" s="201"/>
      <c r="VPZ179" s="201"/>
      <c r="VQA179" s="201"/>
      <c r="VQB179" s="201"/>
      <c r="VQC179" s="201"/>
      <c r="VQD179" s="201"/>
      <c r="VQE179" s="201"/>
      <c r="VQF179" s="201"/>
      <c r="VQG179" s="201"/>
      <c r="VQH179" s="201"/>
      <c r="VQI179" s="201"/>
      <c r="VQJ179" s="201"/>
      <c r="VQK179" s="201"/>
      <c r="VQL179" s="201"/>
      <c r="VQM179" s="201"/>
      <c r="VQN179" s="201"/>
      <c r="VQO179" s="201"/>
      <c r="VQP179" s="201"/>
      <c r="VQQ179" s="201"/>
      <c r="VQR179" s="201"/>
      <c r="VQS179" s="201"/>
      <c r="VQT179" s="201"/>
      <c r="VQU179" s="201"/>
      <c r="VQV179" s="201"/>
      <c r="VQW179" s="201"/>
      <c r="VQX179" s="201"/>
      <c r="VQY179" s="201"/>
      <c r="VQZ179" s="201"/>
      <c r="VRA179" s="201"/>
      <c r="VRB179" s="201"/>
      <c r="VRC179" s="201"/>
      <c r="VRD179" s="201"/>
      <c r="VRE179" s="201"/>
      <c r="VRF179" s="201"/>
      <c r="VRG179" s="201"/>
      <c r="VRH179" s="201"/>
      <c r="VRI179" s="201"/>
      <c r="VRJ179" s="201"/>
      <c r="VRK179" s="201"/>
      <c r="VRL179" s="201"/>
      <c r="VRM179" s="201"/>
      <c r="VRN179" s="201"/>
      <c r="VRO179" s="201"/>
      <c r="VRP179" s="201"/>
      <c r="VRQ179" s="201"/>
      <c r="VRR179" s="201"/>
      <c r="VRS179" s="201"/>
      <c r="VRT179" s="201"/>
      <c r="VRU179" s="201"/>
      <c r="VRV179" s="201"/>
      <c r="VRW179" s="201"/>
      <c r="VRX179" s="201"/>
      <c r="VRY179" s="201"/>
      <c r="VRZ179" s="201"/>
      <c r="VSA179" s="201"/>
      <c r="VSB179" s="201"/>
      <c r="VSC179" s="201"/>
      <c r="VSD179" s="201"/>
      <c r="VSE179" s="201"/>
      <c r="VSF179" s="201"/>
      <c r="VSG179" s="201"/>
      <c r="VSH179" s="201"/>
      <c r="VSI179" s="201"/>
      <c r="VSJ179" s="201"/>
      <c r="VSK179" s="201"/>
      <c r="VSL179" s="201"/>
      <c r="VSM179" s="201"/>
      <c r="VSN179" s="201"/>
      <c r="VSO179" s="201"/>
      <c r="VSP179" s="201"/>
      <c r="VSQ179" s="201"/>
      <c r="VSR179" s="201"/>
      <c r="VSS179" s="201"/>
      <c r="VST179" s="201"/>
      <c r="VSU179" s="201"/>
      <c r="VSV179" s="201"/>
      <c r="VSW179" s="201"/>
      <c r="VSX179" s="201"/>
      <c r="VSY179" s="201"/>
      <c r="VSZ179" s="201"/>
      <c r="VTA179" s="201"/>
      <c r="VTB179" s="201"/>
      <c r="VTC179" s="201"/>
      <c r="VTD179" s="201"/>
      <c r="VTE179" s="201"/>
      <c r="VTF179" s="201"/>
      <c r="VTG179" s="201"/>
      <c r="VTH179" s="201"/>
      <c r="VTI179" s="201"/>
      <c r="VTJ179" s="201"/>
      <c r="VTK179" s="201"/>
      <c r="VTL179" s="201"/>
      <c r="VTM179" s="201"/>
      <c r="VTN179" s="201"/>
      <c r="VTO179" s="201"/>
      <c r="VTP179" s="201"/>
      <c r="VTQ179" s="201"/>
      <c r="VTR179" s="201"/>
      <c r="VTS179" s="201"/>
      <c r="VTT179" s="201"/>
      <c r="VTU179" s="201"/>
      <c r="VTV179" s="201"/>
      <c r="VTW179" s="201"/>
      <c r="VTX179" s="201"/>
      <c r="VTY179" s="201"/>
      <c r="VTZ179" s="201"/>
      <c r="VUA179" s="201"/>
      <c r="VUB179" s="201"/>
      <c r="VUC179" s="201"/>
      <c r="VUD179" s="201"/>
      <c r="VUE179" s="201"/>
      <c r="VUF179" s="201"/>
      <c r="VUG179" s="201"/>
      <c r="VUH179" s="201"/>
      <c r="VUI179" s="201"/>
      <c r="VUJ179" s="201"/>
      <c r="VUK179" s="201"/>
      <c r="VUL179" s="201"/>
      <c r="VUM179" s="201"/>
      <c r="VUN179" s="201"/>
      <c r="VUO179" s="201"/>
      <c r="VUP179" s="201"/>
      <c r="VUQ179" s="201"/>
      <c r="VUR179" s="201"/>
      <c r="VUS179" s="201"/>
      <c r="VUT179" s="201"/>
      <c r="VUU179" s="201"/>
      <c r="VUV179" s="201"/>
      <c r="VUW179" s="201"/>
      <c r="VUX179" s="201"/>
      <c r="VUY179" s="201"/>
      <c r="VUZ179" s="201"/>
      <c r="VVA179" s="201"/>
      <c r="VVB179" s="201"/>
      <c r="VVC179" s="201"/>
      <c r="VVD179" s="201"/>
      <c r="VVE179" s="201"/>
      <c r="VVF179" s="201"/>
      <c r="VVG179" s="201"/>
      <c r="VVH179" s="201"/>
      <c r="VVI179" s="201"/>
      <c r="VVJ179" s="201"/>
      <c r="VVK179" s="201"/>
      <c r="VVL179" s="201"/>
      <c r="VVM179" s="201"/>
      <c r="VVN179" s="201"/>
      <c r="VVO179" s="201"/>
      <c r="VVP179" s="201"/>
      <c r="VVQ179" s="201"/>
      <c r="VVR179" s="201"/>
      <c r="VVS179" s="201"/>
      <c r="VVT179" s="201"/>
      <c r="VVU179" s="201"/>
      <c r="VVV179" s="201"/>
      <c r="VVW179" s="201"/>
      <c r="VVX179" s="201"/>
      <c r="VVY179" s="201"/>
      <c r="VVZ179" s="201"/>
      <c r="VWA179" s="201"/>
      <c r="VWB179" s="201"/>
      <c r="VWC179" s="201"/>
      <c r="VWD179" s="201"/>
      <c r="VWE179" s="201"/>
      <c r="VWF179" s="201"/>
      <c r="VWG179" s="201"/>
      <c r="VWH179" s="201"/>
      <c r="VWI179" s="201"/>
      <c r="VWJ179" s="201"/>
      <c r="VWK179" s="201"/>
      <c r="VWL179" s="201"/>
      <c r="VWM179" s="201"/>
      <c r="VWN179" s="201"/>
      <c r="VWO179" s="201"/>
      <c r="VWP179" s="201"/>
      <c r="VWQ179" s="201"/>
      <c r="VWR179" s="201"/>
      <c r="VWS179" s="201"/>
      <c r="VWT179" s="201"/>
      <c r="VWU179" s="201"/>
      <c r="VWV179" s="201"/>
      <c r="VWW179" s="201"/>
      <c r="VWX179" s="201"/>
      <c r="VWY179" s="201"/>
      <c r="VWZ179" s="201"/>
      <c r="VXA179" s="201"/>
      <c r="VXB179" s="201"/>
      <c r="VXC179" s="201"/>
      <c r="VXD179" s="201"/>
      <c r="VXE179" s="201"/>
      <c r="VXF179" s="201"/>
      <c r="VXG179" s="201"/>
      <c r="VXH179" s="201"/>
      <c r="VXI179" s="201"/>
      <c r="VXJ179" s="201"/>
      <c r="VXK179" s="201"/>
      <c r="VXL179" s="201"/>
      <c r="VXM179" s="201"/>
      <c r="VXN179" s="201"/>
      <c r="VXO179" s="201"/>
      <c r="VXP179" s="201"/>
      <c r="VXQ179" s="201"/>
      <c r="VXR179" s="201"/>
      <c r="VXS179" s="201"/>
      <c r="VXT179" s="201"/>
      <c r="VXU179" s="201"/>
      <c r="VXV179" s="201"/>
      <c r="VXW179" s="201"/>
      <c r="VXX179" s="201"/>
      <c r="VXY179" s="201"/>
      <c r="VXZ179" s="201"/>
      <c r="VYA179" s="201"/>
      <c r="VYB179" s="201"/>
      <c r="VYC179" s="201"/>
      <c r="VYD179" s="201"/>
      <c r="VYE179" s="201"/>
      <c r="VYF179" s="201"/>
      <c r="VYG179" s="201"/>
      <c r="VYH179" s="201"/>
      <c r="VYI179" s="201"/>
      <c r="VYJ179" s="201"/>
      <c r="VYK179" s="201"/>
      <c r="VYL179" s="201"/>
      <c r="VYM179" s="201"/>
      <c r="VYN179" s="201"/>
      <c r="VYO179" s="201"/>
      <c r="VYP179" s="201"/>
      <c r="VYQ179" s="201"/>
      <c r="VYR179" s="201"/>
      <c r="VYS179" s="201"/>
      <c r="VYT179" s="201"/>
      <c r="VYU179" s="201"/>
      <c r="VYV179" s="201"/>
      <c r="VYW179" s="201"/>
      <c r="VYX179" s="201"/>
      <c r="VYY179" s="201"/>
      <c r="VYZ179" s="201"/>
      <c r="VZA179" s="201"/>
      <c r="VZB179" s="201"/>
      <c r="VZC179" s="201"/>
      <c r="VZD179" s="201"/>
      <c r="VZE179" s="201"/>
      <c r="VZF179" s="201"/>
      <c r="VZG179" s="201"/>
      <c r="VZH179" s="201"/>
      <c r="VZI179" s="201"/>
      <c r="VZJ179" s="201"/>
      <c r="VZK179" s="201"/>
      <c r="VZL179" s="201"/>
      <c r="VZM179" s="201"/>
      <c r="VZN179" s="201"/>
      <c r="VZO179" s="201"/>
      <c r="VZP179" s="201"/>
      <c r="VZQ179" s="201"/>
      <c r="VZR179" s="201"/>
      <c r="VZS179" s="201"/>
      <c r="VZT179" s="201"/>
      <c r="VZU179" s="201"/>
      <c r="VZV179" s="201"/>
      <c r="VZW179" s="201"/>
      <c r="VZX179" s="201"/>
      <c r="VZY179" s="201"/>
      <c r="VZZ179" s="201"/>
      <c r="WAA179" s="201"/>
      <c r="WAB179" s="201"/>
      <c r="WAC179" s="201"/>
      <c r="WAD179" s="201"/>
      <c r="WAE179" s="201"/>
      <c r="WAF179" s="201"/>
      <c r="WAG179" s="201"/>
      <c r="WAH179" s="201"/>
      <c r="WAI179" s="201"/>
      <c r="WAJ179" s="201"/>
      <c r="WAK179" s="201"/>
      <c r="WAL179" s="201"/>
      <c r="WAM179" s="201"/>
      <c r="WAN179" s="201"/>
      <c r="WAO179" s="201"/>
      <c r="WAP179" s="201"/>
      <c r="WAQ179" s="201"/>
      <c r="WAR179" s="201"/>
      <c r="WAS179" s="201"/>
      <c r="WAT179" s="201"/>
      <c r="WAU179" s="201"/>
      <c r="WAV179" s="201"/>
      <c r="WAW179" s="201"/>
      <c r="WAX179" s="201"/>
      <c r="WAY179" s="201"/>
      <c r="WAZ179" s="201"/>
      <c r="WBA179" s="201"/>
      <c r="WBB179" s="201"/>
      <c r="WBC179" s="201"/>
      <c r="WBD179" s="201"/>
      <c r="WBE179" s="201"/>
      <c r="WBF179" s="201"/>
      <c r="WBG179" s="201"/>
      <c r="WBH179" s="201"/>
      <c r="WBI179" s="201"/>
      <c r="WBJ179" s="201"/>
      <c r="WBK179" s="201"/>
      <c r="WBL179" s="201"/>
      <c r="WBM179" s="201"/>
      <c r="WBN179" s="201"/>
      <c r="WBO179" s="201"/>
      <c r="WBP179" s="201"/>
      <c r="WBQ179" s="201"/>
      <c r="WBR179" s="201"/>
      <c r="WBS179" s="201"/>
      <c r="WBT179" s="201"/>
      <c r="WBU179" s="201"/>
      <c r="WBV179" s="201"/>
      <c r="WBW179" s="201"/>
      <c r="WBX179" s="201"/>
      <c r="WBY179" s="201"/>
      <c r="WBZ179" s="201"/>
      <c r="WCA179" s="201"/>
      <c r="WCB179" s="201"/>
      <c r="WCC179" s="201"/>
      <c r="WCD179" s="201"/>
      <c r="WCE179" s="201"/>
      <c r="WCF179" s="201"/>
      <c r="WCG179" s="201"/>
      <c r="WCH179" s="201"/>
      <c r="WCI179" s="201"/>
      <c r="WCJ179" s="201"/>
      <c r="WCK179" s="201"/>
      <c r="WCL179" s="201"/>
      <c r="WCM179" s="201"/>
      <c r="WCN179" s="201"/>
      <c r="WCO179" s="201"/>
      <c r="WCP179" s="201"/>
      <c r="WCQ179" s="201"/>
      <c r="WCR179" s="201"/>
      <c r="WCS179" s="201"/>
      <c r="WCT179" s="201"/>
      <c r="WCU179" s="201"/>
      <c r="WCV179" s="201"/>
      <c r="WCW179" s="201"/>
      <c r="WCX179" s="201"/>
      <c r="WCY179" s="201"/>
      <c r="WCZ179" s="201"/>
      <c r="WDA179" s="201"/>
      <c r="WDB179" s="201"/>
      <c r="WDC179" s="201"/>
      <c r="WDD179" s="201"/>
      <c r="WDE179" s="201"/>
      <c r="WDF179" s="201"/>
      <c r="WDG179" s="201"/>
      <c r="WDH179" s="201"/>
      <c r="WDI179" s="201"/>
      <c r="WDJ179" s="201"/>
      <c r="WDK179" s="201"/>
      <c r="WDL179" s="201"/>
      <c r="WDM179" s="201"/>
      <c r="WDN179" s="201"/>
      <c r="WDO179" s="201"/>
      <c r="WDP179" s="201"/>
      <c r="WDQ179" s="201"/>
      <c r="WDR179" s="201"/>
      <c r="WDS179" s="201"/>
      <c r="WDT179" s="201"/>
      <c r="WDU179" s="201"/>
      <c r="WDV179" s="201"/>
      <c r="WDW179" s="201"/>
      <c r="WDX179" s="201"/>
      <c r="WDY179" s="201"/>
      <c r="WDZ179" s="201"/>
      <c r="WEA179" s="201"/>
      <c r="WEB179" s="201"/>
      <c r="WEC179" s="201"/>
      <c r="WED179" s="201"/>
      <c r="WEE179" s="201"/>
      <c r="WEF179" s="201"/>
      <c r="WEG179" s="201"/>
      <c r="WEH179" s="201"/>
      <c r="WEI179" s="201"/>
      <c r="WEJ179" s="201"/>
      <c r="WEK179" s="201"/>
      <c r="WEL179" s="201"/>
      <c r="WEM179" s="201"/>
      <c r="WEN179" s="201"/>
      <c r="WEO179" s="201"/>
      <c r="WEP179" s="201"/>
      <c r="WEQ179" s="201"/>
      <c r="WER179" s="201"/>
      <c r="WES179" s="201"/>
      <c r="WET179" s="201"/>
      <c r="WEU179" s="201"/>
      <c r="WEV179" s="201"/>
      <c r="WEW179" s="201"/>
      <c r="WEX179" s="201"/>
      <c r="WEY179" s="201"/>
      <c r="WEZ179" s="201"/>
      <c r="WFA179" s="201"/>
      <c r="WFB179" s="201"/>
      <c r="WFC179" s="201"/>
      <c r="WFD179" s="201"/>
      <c r="WFE179" s="201"/>
      <c r="WFF179" s="201"/>
      <c r="WFG179" s="201"/>
      <c r="WFH179" s="201"/>
      <c r="WFI179" s="201"/>
      <c r="WFJ179" s="201"/>
      <c r="WFK179" s="201"/>
      <c r="WFL179" s="201"/>
      <c r="WFM179" s="201"/>
      <c r="WFN179" s="201"/>
      <c r="WFO179" s="201"/>
      <c r="WFP179" s="201"/>
      <c r="WFQ179" s="201"/>
      <c r="WFR179" s="201"/>
      <c r="WFS179" s="201"/>
      <c r="WFT179" s="201"/>
      <c r="WFU179" s="201"/>
      <c r="WFV179" s="201"/>
      <c r="WFW179" s="201"/>
      <c r="WFX179" s="201"/>
      <c r="WFY179" s="201"/>
      <c r="WFZ179" s="201"/>
      <c r="WGA179" s="201"/>
      <c r="WGB179" s="201"/>
      <c r="WGC179" s="201"/>
      <c r="WGD179" s="201"/>
      <c r="WGE179" s="201"/>
      <c r="WGF179" s="201"/>
      <c r="WGG179" s="201"/>
      <c r="WGH179" s="201"/>
      <c r="WGI179" s="201"/>
      <c r="WGJ179" s="201"/>
      <c r="WGK179" s="201"/>
      <c r="WGL179" s="201"/>
      <c r="WGM179" s="201"/>
      <c r="WGN179" s="201"/>
      <c r="WGO179" s="201"/>
      <c r="WGP179" s="201"/>
      <c r="WGQ179" s="201"/>
      <c r="WGR179" s="201"/>
      <c r="WGS179" s="201"/>
      <c r="WGT179" s="201"/>
      <c r="WGU179" s="201"/>
      <c r="WGV179" s="201"/>
      <c r="WGW179" s="201"/>
      <c r="WGX179" s="201"/>
      <c r="WGY179" s="201"/>
      <c r="WGZ179" s="201"/>
      <c r="WHA179" s="201"/>
      <c r="WHB179" s="201"/>
      <c r="WHC179" s="201"/>
      <c r="WHD179" s="201"/>
      <c r="WHE179" s="201"/>
      <c r="WHF179" s="201"/>
      <c r="WHG179" s="201"/>
      <c r="WHH179" s="201"/>
      <c r="WHI179" s="201"/>
      <c r="WHJ179" s="201"/>
      <c r="WHK179" s="201"/>
      <c r="WHL179" s="201"/>
      <c r="WHM179" s="201"/>
      <c r="WHN179" s="201"/>
      <c r="WHO179" s="201"/>
      <c r="WHP179" s="201"/>
      <c r="WHQ179" s="201"/>
      <c r="WHR179" s="201"/>
      <c r="WHS179" s="201"/>
      <c r="WHT179" s="201"/>
      <c r="WHU179" s="201"/>
      <c r="WHV179" s="201"/>
      <c r="WHW179" s="201"/>
      <c r="WHX179" s="201"/>
      <c r="WHY179" s="201"/>
      <c r="WHZ179" s="201"/>
      <c r="WIA179" s="201"/>
      <c r="WIB179" s="201"/>
      <c r="WIC179" s="201"/>
      <c r="WID179" s="201"/>
      <c r="WIE179" s="201"/>
      <c r="WIF179" s="201"/>
      <c r="WIG179" s="201"/>
      <c r="WIH179" s="201"/>
      <c r="WII179" s="201"/>
      <c r="WIJ179" s="201"/>
      <c r="WIK179" s="201"/>
      <c r="WIL179" s="201"/>
      <c r="WIM179" s="201"/>
      <c r="WIN179" s="201"/>
      <c r="WIO179" s="201"/>
      <c r="WIP179" s="201"/>
      <c r="WIQ179" s="201"/>
      <c r="WIR179" s="201"/>
      <c r="WIS179" s="201"/>
      <c r="WIT179" s="201"/>
      <c r="WIU179" s="201"/>
      <c r="WIV179" s="201"/>
      <c r="WIW179" s="201"/>
      <c r="WIX179" s="201"/>
      <c r="WIY179" s="201"/>
      <c r="WIZ179" s="201"/>
      <c r="WJA179" s="201"/>
      <c r="WJB179" s="201"/>
      <c r="WJC179" s="201"/>
      <c r="WJD179" s="201"/>
      <c r="WJE179" s="201"/>
      <c r="WJF179" s="201"/>
      <c r="WJG179" s="201"/>
      <c r="WJH179" s="201"/>
      <c r="WJI179" s="201"/>
      <c r="WJJ179" s="201"/>
      <c r="WJK179" s="201"/>
      <c r="WJL179" s="201"/>
      <c r="WJM179" s="201"/>
      <c r="WJN179" s="201"/>
      <c r="WJO179" s="201"/>
      <c r="WJP179" s="201"/>
      <c r="WJQ179" s="201"/>
      <c r="WJR179" s="201"/>
      <c r="WJS179" s="201"/>
      <c r="WJT179" s="201"/>
      <c r="WJU179" s="201"/>
      <c r="WJV179" s="201"/>
      <c r="WJW179" s="201"/>
      <c r="WJX179" s="201"/>
      <c r="WJY179" s="201"/>
      <c r="WJZ179" s="201"/>
      <c r="WKA179" s="201"/>
      <c r="WKB179" s="201"/>
      <c r="WKC179" s="201"/>
      <c r="WKD179" s="201"/>
      <c r="WKE179" s="201"/>
      <c r="WKF179" s="201"/>
      <c r="WKG179" s="201"/>
      <c r="WKH179" s="201"/>
      <c r="WKI179" s="201"/>
      <c r="WKJ179" s="201"/>
      <c r="WKK179" s="201"/>
      <c r="WKL179" s="201"/>
      <c r="WKM179" s="201"/>
      <c r="WKN179" s="201"/>
      <c r="WKO179" s="201"/>
      <c r="WKP179" s="201"/>
      <c r="WKQ179" s="201"/>
      <c r="WKR179" s="201"/>
      <c r="WKS179" s="201"/>
      <c r="WKT179" s="201"/>
      <c r="WKU179" s="201"/>
      <c r="WKV179" s="201"/>
      <c r="WKW179" s="201"/>
      <c r="WKX179" s="201"/>
      <c r="WKY179" s="201"/>
      <c r="WKZ179" s="201"/>
      <c r="WLA179" s="201"/>
      <c r="WLB179" s="201"/>
      <c r="WLC179" s="201"/>
      <c r="WLD179" s="201"/>
      <c r="WLE179" s="201"/>
      <c r="WLF179" s="201"/>
      <c r="WLG179" s="201"/>
      <c r="WLH179" s="201"/>
      <c r="WLI179" s="201"/>
      <c r="WLJ179" s="201"/>
      <c r="WLK179" s="201"/>
      <c r="WLL179" s="201"/>
      <c r="WLM179" s="201"/>
      <c r="WLN179" s="201"/>
      <c r="WLO179" s="201"/>
      <c r="WLP179" s="201"/>
      <c r="WLQ179" s="201"/>
      <c r="WLR179" s="201"/>
      <c r="WLS179" s="201"/>
      <c r="WLT179" s="201"/>
      <c r="WLU179" s="201"/>
      <c r="WLV179" s="201"/>
      <c r="WLW179" s="201"/>
      <c r="WLX179" s="201"/>
      <c r="WLY179" s="201"/>
      <c r="WLZ179" s="201"/>
      <c r="WMA179" s="201"/>
      <c r="WMB179" s="201"/>
      <c r="WMC179" s="201"/>
      <c r="WMD179" s="201"/>
      <c r="WME179" s="201"/>
      <c r="WMF179" s="201"/>
      <c r="WMG179" s="201"/>
      <c r="WMH179" s="201"/>
      <c r="WMI179" s="201"/>
      <c r="WMJ179" s="201"/>
      <c r="WMK179" s="201"/>
      <c r="WML179" s="201"/>
      <c r="WMM179" s="201"/>
      <c r="WMN179" s="201"/>
      <c r="WMO179" s="201"/>
      <c r="WMP179" s="201"/>
      <c r="WMQ179" s="201"/>
      <c r="WMR179" s="201"/>
      <c r="WMS179" s="201"/>
      <c r="WMT179" s="201"/>
      <c r="WMU179" s="201"/>
      <c r="WMV179" s="201"/>
      <c r="WMW179" s="201"/>
      <c r="WMX179" s="201"/>
      <c r="WMY179" s="201"/>
      <c r="WMZ179" s="201"/>
      <c r="WNA179" s="201"/>
      <c r="WNB179" s="201"/>
      <c r="WNC179" s="201"/>
      <c r="WND179" s="201"/>
      <c r="WNE179" s="201"/>
      <c r="WNF179" s="201"/>
      <c r="WNG179" s="201"/>
      <c r="WNH179" s="201"/>
      <c r="WNI179" s="201"/>
      <c r="WNJ179" s="201"/>
      <c r="WNK179" s="201"/>
      <c r="WNL179" s="201"/>
      <c r="WNM179" s="201"/>
      <c r="WNN179" s="201"/>
      <c r="WNO179" s="201"/>
      <c r="WNP179" s="201"/>
      <c r="WNQ179" s="201"/>
      <c r="WNR179" s="201"/>
      <c r="WNS179" s="201"/>
      <c r="WNT179" s="201"/>
      <c r="WNU179" s="201"/>
      <c r="WNV179" s="201"/>
      <c r="WNW179" s="201"/>
      <c r="WNX179" s="201"/>
      <c r="WNY179" s="201"/>
      <c r="WNZ179" s="201"/>
      <c r="WOA179" s="201"/>
      <c r="WOB179" s="201"/>
      <c r="WOC179" s="201"/>
      <c r="WOD179" s="201"/>
      <c r="WOE179" s="201"/>
      <c r="WOF179" s="201"/>
      <c r="WOG179" s="201"/>
      <c r="WOH179" s="201"/>
      <c r="WOI179" s="201"/>
      <c r="WOJ179" s="201"/>
      <c r="WOK179" s="201"/>
      <c r="WOL179" s="201"/>
      <c r="WOM179" s="201"/>
      <c r="WON179" s="201"/>
      <c r="WOO179" s="201"/>
      <c r="WOP179" s="201"/>
      <c r="WOQ179" s="201"/>
      <c r="WOR179" s="201"/>
      <c r="WOS179" s="201"/>
      <c r="WOT179" s="201"/>
      <c r="WOU179" s="201"/>
      <c r="WOV179" s="201"/>
      <c r="WOW179" s="201"/>
      <c r="WOX179" s="201"/>
      <c r="WOY179" s="201"/>
      <c r="WOZ179" s="201"/>
      <c r="WPA179" s="201"/>
      <c r="WPB179" s="201"/>
      <c r="WPC179" s="201"/>
      <c r="WPD179" s="201"/>
      <c r="WPE179" s="201"/>
      <c r="WPF179" s="201"/>
      <c r="WPG179" s="201"/>
      <c r="WPH179" s="201"/>
      <c r="WPI179" s="201"/>
      <c r="WPJ179" s="201"/>
      <c r="WPK179" s="201"/>
      <c r="WPL179" s="201"/>
      <c r="WPM179" s="201"/>
      <c r="WPN179" s="201"/>
      <c r="WPO179" s="201"/>
      <c r="WPP179" s="201"/>
      <c r="WPQ179" s="201"/>
      <c r="WPR179" s="201"/>
      <c r="WPS179" s="201"/>
      <c r="WPT179" s="201"/>
      <c r="WPU179" s="201"/>
      <c r="WPV179" s="201"/>
      <c r="WPW179" s="201"/>
      <c r="WPX179" s="201"/>
      <c r="WPY179" s="201"/>
      <c r="WPZ179" s="201"/>
      <c r="WQA179" s="201"/>
      <c r="WQB179" s="201"/>
      <c r="WQC179" s="201"/>
      <c r="WQD179" s="201"/>
      <c r="WQE179" s="201"/>
      <c r="WQF179" s="201"/>
      <c r="WQG179" s="201"/>
      <c r="WQH179" s="201"/>
      <c r="WQI179" s="201"/>
      <c r="WQJ179" s="201"/>
      <c r="WQK179" s="201"/>
      <c r="WQL179" s="201"/>
      <c r="WQM179" s="201"/>
      <c r="WQN179" s="201"/>
      <c r="WQO179" s="201"/>
      <c r="WQP179" s="201"/>
      <c r="WQQ179" s="201"/>
      <c r="WQR179" s="201"/>
      <c r="WQS179" s="201"/>
      <c r="WQT179" s="201"/>
      <c r="WQU179" s="201"/>
      <c r="WQV179" s="201"/>
      <c r="WQW179" s="201"/>
      <c r="WQX179" s="201"/>
      <c r="WQY179" s="201"/>
      <c r="WQZ179" s="201"/>
      <c r="WRA179" s="201"/>
      <c r="WRB179" s="201"/>
      <c r="WRC179" s="201"/>
      <c r="WRD179" s="201"/>
      <c r="WRE179" s="201"/>
      <c r="WRF179" s="201"/>
      <c r="WRG179" s="201"/>
      <c r="WRH179" s="201"/>
      <c r="WRI179" s="201"/>
      <c r="WRJ179" s="201"/>
      <c r="WRK179" s="201"/>
      <c r="WRL179" s="201"/>
      <c r="WRM179" s="201"/>
      <c r="WRN179" s="201"/>
      <c r="WRO179" s="201"/>
      <c r="WRP179" s="201"/>
      <c r="WRQ179" s="201"/>
      <c r="WRR179" s="201"/>
      <c r="WRS179" s="201"/>
      <c r="WRT179" s="201"/>
      <c r="WRU179" s="201"/>
      <c r="WRV179" s="201"/>
      <c r="WRW179" s="201"/>
      <c r="WRX179" s="201"/>
      <c r="WRY179" s="201"/>
      <c r="WRZ179" s="201"/>
      <c r="WSA179" s="201"/>
      <c r="WSB179" s="201"/>
      <c r="WSC179" s="201"/>
      <c r="WSD179" s="201"/>
      <c r="WSE179" s="201"/>
      <c r="WSF179" s="201"/>
      <c r="WSG179" s="201"/>
      <c r="WSH179" s="201"/>
      <c r="WSI179" s="201"/>
      <c r="WSJ179" s="201"/>
      <c r="WSK179" s="201"/>
      <c r="WSL179" s="201"/>
      <c r="WSM179" s="201"/>
      <c r="WSN179" s="201"/>
      <c r="WSO179" s="201"/>
      <c r="WSP179" s="201"/>
      <c r="WSQ179" s="201"/>
      <c r="WSR179" s="201"/>
      <c r="WSS179" s="201"/>
      <c r="WST179" s="201"/>
      <c r="WSU179" s="201"/>
      <c r="WSV179" s="201"/>
      <c r="WSW179" s="201"/>
      <c r="WSX179" s="201"/>
      <c r="WSY179" s="201"/>
      <c r="WSZ179" s="201"/>
      <c r="WTA179" s="201"/>
      <c r="WTB179" s="201"/>
      <c r="WTC179" s="201"/>
      <c r="WTD179" s="201"/>
      <c r="WTE179" s="201"/>
      <c r="WTF179" s="201"/>
      <c r="WTG179" s="201"/>
      <c r="WTH179" s="201"/>
      <c r="WTI179" s="201"/>
      <c r="WTJ179" s="201"/>
      <c r="WTK179" s="201"/>
      <c r="WTL179" s="201"/>
      <c r="WTM179" s="201"/>
      <c r="WTN179" s="201"/>
      <c r="WTO179" s="201"/>
      <c r="WTP179" s="201"/>
      <c r="WTQ179" s="201"/>
      <c r="WTR179" s="201"/>
      <c r="WTS179" s="201"/>
      <c r="WTT179" s="201"/>
      <c r="WTU179" s="201"/>
      <c r="WTV179" s="201"/>
      <c r="WTW179" s="201"/>
      <c r="WTX179" s="201"/>
      <c r="WTY179" s="201"/>
      <c r="WTZ179" s="201"/>
      <c r="WUA179" s="201"/>
      <c r="WUB179" s="201"/>
      <c r="WUC179" s="201"/>
      <c r="WUD179" s="201"/>
      <c r="WUE179" s="201"/>
      <c r="WUF179" s="201"/>
      <c r="WUG179" s="201"/>
      <c r="WUH179" s="201"/>
      <c r="WUI179" s="201"/>
      <c r="WUJ179" s="201"/>
      <c r="WUK179" s="201"/>
      <c r="WUL179" s="201"/>
      <c r="WUM179" s="201"/>
      <c r="WUN179" s="201"/>
      <c r="WUO179" s="201"/>
      <c r="WUP179" s="201"/>
      <c r="WUQ179" s="201"/>
      <c r="WUR179" s="201"/>
      <c r="WUS179" s="201"/>
      <c r="WUT179" s="201"/>
      <c r="WUU179" s="201"/>
      <c r="WUV179" s="201"/>
      <c r="WUW179" s="201"/>
      <c r="WUX179" s="201"/>
      <c r="WUY179" s="201"/>
      <c r="WUZ179" s="201"/>
      <c r="WVA179" s="201"/>
      <c r="WVB179" s="201"/>
      <c r="WVC179" s="201"/>
      <c r="WVD179" s="201"/>
      <c r="WVE179" s="201"/>
      <c r="WVF179" s="201"/>
      <c r="WVG179" s="201"/>
      <c r="WVH179" s="201"/>
      <c r="WVI179" s="201"/>
      <c r="WVJ179" s="201"/>
      <c r="WVK179" s="201"/>
      <c r="WVL179" s="201"/>
      <c r="WVM179" s="201"/>
      <c r="WVN179" s="201"/>
      <c r="WVO179" s="201"/>
      <c r="WVP179" s="201"/>
      <c r="WVQ179" s="201"/>
      <c r="WVR179" s="201"/>
      <c r="WVS179" s="201"/>
      <c r="WVT179" s="201"/>
      <c r="WVU179" s="201"/>
      <c r="WVV179" s="201"/>
      <c r="WVW179" s="201"/>
      <c r="WVX179" s="201"/>
      <c r="WVY179" s="201"/>
      <c r="WVZ179" s="201"/>
      <c r="WWA179" s="201"/>
      <c r="WWB179" s="201"/>
      <c r="WWC179" s="201"/>
      <c r="WWD179" s="201"/>
      <c r="WWE179" s="201"/>
      <c r="WWF179" s="201"/>
      <c r="WWG179" s="201"/>
      <c r="WWH179" s="201"/>
      <c r="WWI179" s="201"/>
      <c r="WWJ179" s="201"/>
      <c r="WWK179" s="201"/>
      <c r="WWL179" s="201"/>
      <c r="WWM179" s="201"/>
      <c r="WWN179" s="201"/>
      <c r="WWO179" s="201"/>
      <c r="WWP179" s="201"/>
      <c r="WWQ179" s="201"/>
      <c r="WWR179" s="201"/>
      <c r="WWS179" s="201"/>
      <c r="WWT179" s="201"/>
      <c r="WWU179" s="201"/>
      <c r="WWV179" s="201"/>
      <c r="WWW179" s="201"/>
      <c r="WWX179" s="201"/>
      <c r="WWY179" s="201"/>
      <c r="WWZ179" s="201"/>
      <c r="WXA179" s="201"/>
      <c r="WXB179" s="201"/>
      <c r="WXC179" s="201"/>
      <c r="WXD179" s="201"/>
      <c r="WXE179" s="201"/>
      <c r="WXF179" s="201"/>
      <c r="WXG179" s="201"/>
      <c r="WXH179" s="201"/>
      <c r="WXI179" s="201"/>
      <c r="WXJ179" s="201"/>
      <c r="WXK179" s="201"/>
      <c r="WXL179" s="201"/>
      <c r="WXM179" s="201"/>
      <c r="WXN179" s="201"/>
      <c r="WXO179" s="201"/>
      <c r="WXP179" s="201"/>
      <c r="WXQ179" s="201"/>
      <c r="WXR179" s="201"/>
      <c r="WXS179" s="201"/>
      <c r="WXT179" s="201"/>
      <c r="WXU179" s="201"/>
      <c r="WXV179" s="201"/>
      <c r="WXW179" s="201"/>
      <c r="WXX179" s="201"/>
      <c r="WXY179" s="201"/>
      <c r="WXZ179" s="201"/>
      <c r="WYA179" s="201"/>
      <c r="WYB179" s="201"/>
      <c r="WYC179" s="201"/>
      <c r="WYD179" s="201"/>
      <c r="WYE179" s="201"/>
      <c r="WYF179" s="201"/>
      <c r="WYG179" s="201"/>
      <c r="WYH179" s="201"/>
      <c r="WYI179" s="201"/>
      <c r="WYJ179" s="201"/>
      <c r="WYK179" s="201"/>
      <c r="WYL179" s="201"/>
      <c r="WYM179" s="201"/>
      <c r="WYN179" s="201"/>
      <c r="WYO179" s="201"/>
      <c r="WYP179" s="201"/>
      <c r="WYQ179" s="201"/>
      <c r="WYR179" s="201"/>
      <c r="WYS179" s="201"/>
      <c r="WYT179" s="201"/>
      <c r="WYU179" s="201"/>
      <c r="WYV179" s="201"/>
      <c r="WYW179" s="201"/>
      <c r="WYX179" s="201"/>
      <c r="WYY179" s="201"/>
      <c r="WYZ179" s="201"/>
      <c r="WZA179" s="201"/>
      <c r="WZB179" s="201"/>
      <c r="WZC179" s="201"/>
      <c r="WZD179" s="201"/>
      <c r="WZE179" s="201"/>
      <c r="WZF179" s="201"/>
      <c r="WZG179" s="201"/>
      <c r="WZH179" s="201"/>
      <c r="WZI179" s="201"/>
      <c r="WZJ179" s="201"/>
      <c r="WZK179" s="201"/>
      <c r="WZL179" s="201"/>
      <c r="WZM179" s="201"/>
      <c r="WZN179" s="201"/>
      <c r="WZO179" s="201"/>
      <c r="WZP179" s="201"/>
      <c r="WZQ179" s="201"/>
      <c r="WZR179" s="201"/>
      <c r="WZS179" s="201"/>
      <c r="WZT179" s="201"/>
      <c r="WZU179" s="201"/>
      <c r="WZV179" s="201"/>
      <c r="WZW179" s="201"/>
      <c r="WZX179" s="201"/>
      <c r="WZY179" s="201"/>
      <c r="WZZ179" s="201"/>
      <c r="XAA179" s="201"/>
      <c r="XAB179" s="201"/>
      <c r="XAC179" s="201"/>
      <c r="XAD179" s="201"/>
      <c r="XAE179" s="201"/>
      <c r="XAF179" s="201"/>
      <c r="XAG179" s="201"/>
      <c r="XAH179" s="201"/>
      <c r="XAI179" s="201"/>
      <c r="XAJ179" s="201"/>
      <c r="XAK179" s="201"/>
      <c r="XAL179" s="201"/>
      <c r="XAM179" s="201"/>
      <c r="XAN179" s="201"/>
      <c r="XAO179" s="201"/>
      <c r="XAP179" s="201"/>
      <c r="XAQ179" s="201"/>
      <c r="XAR179" s="201"/>
      <c r="XAS179" s="201"/>
      <c r="XAT179" s="201"/>
      <c r="XAU179" s="201"/>
      <c r="XAV179" s="201"/>
      <c r="XAW179" s="201"/>
      <c r="XAX179" s="201"/>
      <c r="XAY179" s="201"/>
      <c r="XAZ179" s="201"/>
      <c r="XBA179" s="201"/>
      <c r="XBB179" s="201"/>
      <c r="XBC179" s="201"/>
      <c r="XBD179" s="201"/>
      <c r="XBE179" s="201"/>
      <c r="XBF179" s="201"/>
      <c r="XBG179" s="201"/>
      <c r="XBH179" s="201"/>
      <c r="XBI179" s="201"/>
      <c r="XBJ179" s="201"/>
      <c r="XBK179" s="201"/>
      <c r="XBL179" s="201"/>
      <c r="XBM179" s="201"/>
      <c r="XBN179" s="201"/>
      <c r="XBO179" s="201"/>
      <c r="XBP179" s="201"/>
      <c r="XBQ179" s="201"/>
      <c r="XBR179" s="201"/>
      <c r="XBS179" s="201"/>
      <c r="XBT179" s="201"/>
      <c r="XBU179" s="201"/>
      <c r="XBV179" s="201"/>
      <c r="XBW179" s="201"/>
      <c r="XBX179" s="201"/>
      <c r="XBY179" s="201"/>
      <c r="XBZ179" s="201"/>
      <c r="XCA179" s="201"/>
      <c r="XCB179" s="201"/>
      <c r="XCC179" s="201"/>
      <c r="XCD179" s="201"/>
      <c r="XCE179" s="201"/>
      <c r="XCF179" s="201"/>
      <c r="XCG179" s="201"/>
      <c r="XCH179" s="201"/>
      <c r="XCI179" s="201"/>
      <c r="XCJ179" s="201"/>
      <c r="XCK179" s="201"/>
      <c r="XCL179" s="201"/>
      <c r="XCM179" s="201"/>
      <c r="XCN179" s="201"/>
      <c r="XCO179" s="201"/>
      <c r="XCP179" s="201"/>
      <c r="XCQ179" s="201"/>
      <c r="XCR179" s="201"/>
      <c r="XCS179" s="201"/>
      <c r="XCT179" s="201"/>
      <c r="XCU179" s="201"/>
      <c r="XCV179" s="201"/>
      <c r="XCW179" s="201"/>
      <c r="XCX179" s="201"/>
      <c r="XCY179" s="201"/>
      <c r="XCZ179" s="201"/>
      <c r="XDA179" s="201"/>
      <c r="XDB179" s="201"/>
      <c r="XDC179" s="201"/>
      <c r="XDD179" s="201"/>
      <c r="XDE179" s="201"/>
      <c r="XDF179" s="201"/>
      <c r="XDG179" s="201"/>
      <c r="XDH179" s="201"/>
      <c r="XDI179" s="201"/>
      <c r="XDJ179" s="201"/>
      <c r="XDK179" s="201"/>
      <c r="XDL179" s="201"/>
      <c r="XDM179" s="201"/>
      <c r="XDN179" s="201"/>
      <c r="XDO179" s="201"/>
      <c r="XDP179" s="201"/>
      <c r="XDQ179" s="201"/>
      <c r="XDR179" s="201"/>
      <c r="XDS179" s="201"/>
      <c r="XDT179" s="201"/>
      <c r="XDU179" s="201"/>
      <c r="XDV179" s="201"/>
      <c r="XDW179" s="201"/>
      <c r="XDX179" s="201"/>
      <c r="XDY179" s="201"/>
      <c r="XDZ179" s="201"/>
      <c r="XEA179" s="201"/>
      <c r="XEB179" s="201"/>
      <c r="XEC179" s="201"/>
      <c r="XED179" s="201"/>
      <c r="XEE179" s="201"/>
      <c r="XEF179" s="201"/>
      <c r="XEG179" s="201"/>
      <c r="XEH179" s="201"/>
      <c r="XEI179" s="201"/>
      <c r="XEJ179" s="201"/>
      <c r="XEK179" s="201"/>
      <c r="XEL179" s="201"/>
      <c r="XEM179" s="201"/>
      <c r="XEN179" s="201"/>
      <c r="XEO179" s="201"/>
      <c r="XEP179" s="201"/>
      <c r="XEQ179" s="201"/>
      <c r="XER179" s="201"/>
      <c r="XES179" s="201"/>
      <c r="XET179" s="201"/>
      <c r="XEU179" s="201"/>
      <c r="XEV179" s="201"/>
      <c r="XEW179" s="201"/>
      <c r="XEX179" s="201"/>
      <c r="XEY179" s="201"/>
      <c r="XEZ179" s="201"/>
      <c r="XFA179" s="201"/>
      <c r="XFB179" s="201"/>
      <c r="XFC179" s="201"/>
    </row>
    <row r="180" spans="1:16383" ht="70.150000000000006" customHeight="1">
      <c r="A180" s="107">
        <v>181</v>
      </c>
      <c r="B180" s="124" t="s">
        <v>1184</v>
      </c>
      <c r="C180" s="90" t="s">
        <v>1185</v>
      </c>
      <c r="D180" s="95" t="s">
        <v>53</v>
      </c>
      <c r="E180" s="95" t="s">
        <v>54</v>
      </c>
      <c r="F180" s="95"/>
      <c r="G180" s="95"/>
      <c r="H180" s="95"/>
      <c r="I180" s="95"/>
      <c r="J180" s="115" t="s">
        <v>1186</v>
      </c>
      <c r="K180" s="193" t="s">
        <v>1187</v>
      </c>
      <c r="L180" s="121" t="s">
        <v>4209</v>
      </c>
      <c r="M180" s="172" t="s">
        <v>1188</v>
      </c>
      <c r="N180" s="93" t="s">
        <v>1189</v>
      </c>
      <c r="O180" s="92" t="s">
        <v>1190</v>
      </c>
      <c r="P180" s="88" t="s">
        <v>516</v>
      </c>
      <c r="Q180" s="88" t="s">
        <v>517</v>
      </c>
      <c r="R180" s="86">
        <v>9961159737</v>
      </c>
      <c r="S180" s="88" t="s">
        <v>1076</v>
      </c>
      <c r="T180" s="94"/>
      <c r="U180" s="125" t="s">
        <v>120</v>
      </c>
      <c r="V180" s="125" t="s">
        <v>98</v>
      </c>
      <c r="W180" s="125" t="s">
        <v>78</v>
      </c>
      <c r="X180" s="125" t="s">
        <v>79</v>
      </c>
      <c r="Y180" s="126" t="s">
        <v>99</v>
      </c>
      <c r="Z180" s="126" t="s">
        <v>99</v>
      </c>
      <c r="AA180" s="126" t="s">
        <v>99</v>
      </c>
      <c r="AB180" s="131"/>
      <c r="AC180" s="131"/>
      <c r="AD180" s="127"/>
      <c r="AF180" s="121"/>
      <c r="AG180" s="121"/>
      <c r="AH180" s="121"/>
      <c r="AI180" s="121">
        <f>COUNTA('All Details for ACID Pastor'!$U180:$AB180)</f>
        <v>7</v>
      </c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63"/>
      <c r="AX180" s="163"/>
      <c r="AZ180" s="121" t="s">
        <v>139</v>
      </c>
      <c r="BA180" s="163"/>
      <c r="BB180" s="163"/>
      <c r="BC180" s="163"/>
      <c r="BF180" s="163">
        <f>COUNTA('All Details for ACID Pastor'!$T180:$AB180)</f>
        <v>7</v>
      </c>
    </row>
    <row r="181" spans="1:16383" ht="70.150000000000006" customHeight="1">
      <c r="A181" s="107">
        <v>182</v>
      </c>
      <c r="B181" s="124" t="s">
        <v>1191</v>
      </c>
      <c r="C181" s="90" t="s">
        <v>1192</v>
      </c>
      <c r="D181" s="95" t="s">
        <v>53</v>
      </c>
      <c r="E181" s="95" t="s">
        <v>54</v>
      </c>
      <c r="F181" s="95"/>
      <c r="G181" s="95"/>
      <c r="H181" s="95"/>
      <c r="I181" s="95"/>
      <c r="J181" s="115" t="s">
        <v>1186</v>
      </c>
      <c r="K181" s="193" t="s">
        <v>1193</v>
      </c>
      <c r="L181" s="121" t="s">
        <v>4201</v>
      </c>
      <c r="M181" s="172"/>
      <c r="N181" s="93" t="s">
        <v>1194</v>
      </c>
      <c r="O181" s="92" t="s">
        <v>1195</v>
      </c>
      <c r="P181" s="88" t="s">
        <v>516</v>
      </c>
      <c r="Q181" s="88" t="s">
        <v>517</v>
      </c>
      <c r="R181" s="86">
        <v>9961066199</v>
      </c>
      <c r="S181" s="88" t="s">
        <v>1076</v>
      </c>
      <c r="T181" s="94"/>
      <c r="U181" s="125" t="s">
        <v>120</v>
      </c>
      <c r="V181" s="125" t="s">
        <v>98</v>
      </c>
      <c r="W181" s="125" t="s">
        <v>78</v>
      </c>
      <c r="X181" s="125" t="s">
        <v>79</v>
      </c>
      <c r="Y181" s="126" t="s">
        <v>682</v>
      </c>
      <c r="Z181" s="126" t="s">
        <v>682</v>
      </c>
      <c r="AA181" s="131"/>
      <c r="AB181" s="131"/>
      <c r="AC181" s="131" t="s">
        <v>4220</v>
      </c>
      <c r="AD181" s="127"/>
      <c r="AE181" s="244"/>
      <c r="AF181" s="121"/>
      <c r="AG181" s="121"/>
      <c r="AH181" s="121"/>
      <c r="AI181" s="121">
        <v>7</v>
      </c>
      <c r="AJ181" s="121"/>
      <c r="AK181" s="121"/>
      <c r="AL181" s="121"/>
      <c r="AM181" s="121"/>
      <c r="AN181" s="121"/>
      <c r="AO181" s="121"/>
      <c r="AP181" s="121"/>
      <c r="AQ181" s="121"/>
      <c r="AR181" s="121"/>
      <c r="AS181" s="121"/>
      <c r="AT181" s="121"/>
      <c r="AU181" s="121"/>
      <c r="AV181" s="121"/>
      <c r="AW181" s="163"/>
      <c r="AX181" s="163"/>
      <c r="AZ181" s="121" t="s">
        <v>49</v>
      </c>
      <c r="BA181" s="163"/>
      <c r="BB181" s="163"/>
      <c r="BC181" s="163"/>
      <c r="BF181" s="163">
        <f>COUNTA('All Details for ACID Pastor'!$T181:$AB181)</f>
        <v>6</v>
      </c>
    </row>
    <row r="182" spans="1:16383" s="174" customFormat="1" ht="70.150000000000006" customHeight="1">
      <c r="A182" s="103">
        <v>183</v>
      </c>
      <c r="B182" s="132" t="s">
        <v>1196</v>
      </c>
      <c r="C182" s="101" t="s">
        <v>1197</v>
      </c>
      <c r="D182" s="102" t="s">
        <v>53</v>
      </c>
      <c r="E182" s="102" t="s">
        <v>142</v>
      </c>
      <c r="F182" s="95"/>
      <c r="G182" s="95"/>
      <c r="H182" s="95"/>
      <c r="I182" s="95"/>
      <c r="J182" s="133" t="s">
        <v>1186</v>
      </c>
      <c r="K182" s="256" t="s">
        <v>1198</v>
      </c>
      <c r="L182" s="232" t="s">
        <v>4209</v>
      </c>
      <c r="M182" s="171"/>
      <c r="N182" s="104" t="s">
        <v>1199</v>
      </c>
      <c r="O182" s="105" t="s">
        <v>1200</v>
      </c>
      <c r="P182" s="106" t="s">
        <v>516</v>
      </c>
      <c r="Q182" s="106" t="s">
        <v>517</v>
      </c>
      <c r="R182" s="134">
        <v>9526836812</v>
      </c>
      <c r="S182" s="106" t="s">
        <v>1076</v>
      </c>
      <c r="T182" s="135"/>
      <c r="U182" s="144" t="s">
        <v>119</v>
      </c>
      <c r="V182" s="144" t="s">
        <v>98</v>
      </c>
      <c r="W182" s="176"/>
      <c r="X182" s="176"/>
      <c r="Y182" s="145"/>
      <c r="Z182" s="136"/>
      <c r="AA182" s="136"/>
      <c r="AB182" s="136"/>
      <c r="AC182" s="136"/>
      <c r="AD182" s="222"/>
      <c r="AE182" s="240"/>
      <c r="AF182" s="232"/>
      <c r="AG182" s="232"/>
      <c r="AH182" s="232"/>
      <c r="AI182" s="232">
        <f>COUNTA('All Details for ACID Pastor'!$U182:$AB182)</f>
        <v>2</v>
      </c>
      <c r="AJ182" s="232"/>
      <c r="AK182" s="232"/>
      <c r="AL182" s="232"/>
      <c r="AM182" s="232"/>
      <c r="AN182" s="232"/>
      <c r="AO182" s="232"/>
      <c r="AP182" s="232"/>
      <c r="AQ182" s="232"/>
      <c r="AR182" s="232"/>
      <c r="AS182" s="232"/>
      <c r="AT182" s="232"/>
      <c r="AU182" s="232"/>
      <c r="AV182" s="232"/>
      <c r="AW182" s="233"/>
      <c r="AX182" s="233"/>
      <c r="AY182" s="244"/>
      <c r="AZ182" s="232" t="s">
        <v>139</v>
      </c>
      <c r="BA182" s="233"/>
      <c r="BB182" s="233"/>
      <c r="BC182" s="233"/>
      <c r="BD182" s="244"/>
      <c r="BE182" s="277"/>
      <c r="BF182" s="233">
        <f>COUNTA('All Details for ACID Pastor'!$T182:$AB182)</f>
        <v>2</v>
      </c>
      <c r="BG182" s="249"/>
      <c r="BH182" s="249"/>
      <c r="BI182" s="249"/>
      <c r="BJ182" s="249"/>
      <c r="BK182" s="249"/>
      <c r="BL182" s="249"/>
      <c r="BM182" s="249"/>
      <c r="BN182" s="249"/>
      <c r="BO182" s="249"/>
      <c r="BP182" s="249"/>
      <c r="BQ182" s="249"/>
      <c r="BR182" s="249"/>
      <c r="BS182" s="249"/>
      <c r="BT182" s="249"/>
      <c r="BU182" s="249"/>
      <c r="BV182" s="249"/>
    </row>
    <row r="183" spans="1:16383" ht="70.150000000000006" customHeight="1">
      <c r="A183" s="107">
        <v>184</v>
      </c>
      <c r="B183" s="124" t="s">
        <v>1201</v>
      </c>
      <c r="C183" s="90" t="s">
        <v>1202</v>
      </c>
      <c r="D183" s="95" t="s">
        <v>53</v>
      </c>
      <c r="E183" s="95" t="s">
        <v>54</v>
      </c>
      <c r="F183" s="95"/>
      <c r="G183" s="95"/>
      <c r="H183" s="95"/>
      <c r="I183" s="95"/>
      <c r="J183" s="115" t="s">
        <v>1186</v>
      </c>
      <c r="K183" s="193" t="s">
        <v>1203</v>
      </c>
      <c r="L183" s="121"/>
      <c r="M183" s="172"/>
      <c r="N183" s="93" t="s">
        <v>1204</v>
      </c>
      <c r="O183" s="92" t="s">
        <v>1205</v>
      </c>
      <c r="P183" s="88" t="s">
        <v>1206</v>
      </c>
      <c r="Q183" s="88" t="s">
        <v>517</v>
      </c>
      <c r="R183" s="86">
        <v>9605364146</v>
      </c>
      <c r="S183" s="88" t="s">
        <v>1076</v>
      </c>
      <c r="T183" s="94"/>
      <c r="U183" s="140"/>
      <c r="V183" s="140"/>
      <c r="W183" s="140"/>
      <c r="X183" s="140"/>
      <c r="Y183" s="141"/>
      <c r="Z183" s="131"/>
      <c r="AA183" s="131"/>
      <c r="AB183" s="131"/>
      <c r="AC183" s="131"/>
      <c r="AD183" s="127"/>
      <c r="AE183" s="244"/>
      <c r="AF183" s="121"/>
      <c r="AG183" s="121"/>
      <c r="AH183" s="121"/>
      <c r="AI183" s="121">
        <f>COUNTA('All Details for ACID Pastor'!$U183:$AB183)</f>
        <v>0</v>
      </c>
      <c r="AJ183" s="121"/>
      <c r="AK183" s="121"/>
      <c r="AL183" s="121"/>
      <c r="AM183" s="121"/>
      <c r="AN183" s="121"/>
      <c r="AO183" s="121"/>
      <c r="AP183" s="121"/>
      <c r="AQ183" s="121"/>
      <c r="AR183" s="121"/>
      <c r="AS183" s="121"/>
      <c r="AT183" s="121"/>
      <c r="AU183" s="121"/>
      <c r="AV183" s="121"/>
      <c r="AW183" s="163"/>
      <c r="AX183" s="163"/>
      <c r="AZ183" s="121" t="s">
        <v>139</v>
      </c>
      <c r="BA183" s="163"/>
      <c r="BB183" s="163"/>
      <c r="BC183" s="163"/>
      <c r="BF183" s="163">
        <f>COUNTA('All Details for ACID Pastor'!$T183:$AB183)</f>
        <v>0</v>
      </c>
    </row>
    <row r="184" spans="1:16383" s="174" customFormat="1" ht="70.150000000000006" customHeight="1">
      <c r="A184" s="103">
        <v>185</v>
      </c>
      <c r="B184" s="132" t="s">
        <v>1207</v>
      </c>
      <c r="C184" s="101" t="s">
        <v>1208</v>
      </c>
      <c r="D184" s="102" t="s">
        <v>53</v>
      </c>
      <c r="E184" s="102" t="s">
        <v>54</v>
      </c>
      <c r="F184" s="95"/>
      <c r="G184" s="95"/>
      <c r="H184" s="95"/>
      <c r="I184" s="95"/>
      <c r="J184" s="133" t="s">
        <v>1140</v>
      </c>
      <c r="K184" s="256" t="s">
        <v>114</v>
      </c>
      <c r="L184" s="232" t="s">
        <v>4209</v>
      </c>
      <c r="M184" s="171" t="s">
        <v>1209</v>
      </c>
      <c r="N184" s="104" t="s">
        <v>1210</v>
      </c>
      <c r="O184" s="105" t="s">
        <v>1211</v>
      </c>
      <c r="P184" s="106" t="s">
        <v>1102</v>
      </c>
      <c r="Q184" s="106" t="s">
        <v>48</v>
      </c>
      <c r="R184" s="134">
        <v>9952879500</v>
      </c>
      <c r="S184" s="106" t="s">
        <v>1076</v>
      </c>
      <c r="T184" s="135"/>
      <c r="U184" s="176"/>
      <c r="V184" s="176"/>
      <c r="W184" s="176"/>
      <c r="X184" s="176"/>
      <c r="Y184" s="145"/>
      <c r="Z184" s="136"/>
      <c r="AA184" s="136"/>
      <c r="AB184" s="136"/>
      <c r="AC184" s="136"/>
      <c r="AD184" s="222"/>
      <c r="AE184" s="240"/>
      <c r="AF184" s="232"/>
      <c r="AG184" s="232"/>
      <c r="AH184" s="232"/>
      <c r="AI184" s="232">
        <f>COUNTA('All Details for ACID Pastor'!$U184:$AB184)</f>
        <v>0</v>
      </c>
      <c r="AJ184" s="232"/>
      <c r="AK184" s="232"/>
      <c r="AL184" s="232"/>
      <c r="AM184" s="232"/>
      <c r="AN184" s="232"/>
      <c r="AO184" s="232"/>
      <c r="AP184" s="232"/>
      <c r="AQ184" s="232"/>
      <c r="AR184" s="232"/>
      <c r="AS184" s="232"/>
      <c r="AT184" s="232"/>
      <c r="AU184" s="232"/>
      <c r="AV184" s="232"/>
      <c r="AW184" s="233"/>
      <c r="AX184" s="233"/>
      <c r="AY184" s="244"/>
      <c r="AZ184" s="232" t="s">
        <v>139</v>
      </c>
      <c r="BA184" s="233"/>
      <c r="BB184" s="233"/>
      <c r="BC184" s="233"/>
      <c r="BD184" s="244"/>
      <c r="BE184" s="277"/>
      <c r="BF184" s="233">
        <f>COUNTA('All Details for ACID Pastor'!$T184:$AB184)</f>
        <v>0</v>
      </c>
      <c r="BG184" s="249"/>
      <c r="BH184" s="249"/>
      <c r="BI184" s="249"/>
      <c r="BJ184" s="249"/>
      <c r="BK184" s="249"/>
      <c r="BL184" s="249"/>
      <c r="BM184" s="249"/>
      <c r="BN184" s="249"/>
      <c r="BO184" s="249"/>
      <c r="BP184" s="249"/>
      <c r="BQ184" s="249"/>
      <c r="BR184" s="249"/>
      <c r="BS184" s="249"/>
      <c r="BT184" s="249"/>
      <c r="BU184" s="249"/>
      <c r="BV184" s="249"/>
    </row>
    <row r="185" spans="1:16383" ht="70.150000000000006" customHeight="1">
      <c r="A185" s="107">
        <v>186</v>
      </c>
      <c r="B185" s="124" t="s">
        <v>1212</v>
      </c>
      <c r="C185" s="90" t="s">
        <v>1213</v>
      </c>
      <c r="D185" s="95" t="s">
        <v>53</v>
      </c>
      <c r="E185" s="95" t="s">
        <v>54</v>
      </c>
      <c r="F185" s="95"/>
      <c r="G185" s="95"/>
      <c r="H185" s="95"/>
      <c r="I185" s="95"/>
      <c r="J185" s="115" t="s">
        <v>1140</v>
      </c>
      <c r="K185" s="193" t="s">
        <v>1214</v>
      </c>
      <c r="L185" s="121"/>
      <c r="M185" s="172"/>
      <c r="N185" s="93" t="s">
        <v>1215</v>
      </c>
      <c r="O185" s="92" t="s">
        <v>1216</v>
      </c>
      <c r="P185" s="88" t="s">
        <v>1217</v>
      </c>
      <c r="Q185" s="88" t="s">
        <v>48</v>
      </c>
      <c r="R185" s="86">
        <v>9843789865</v>
      </c>
      <c r="S185" s="88" t="s">
        <v>1076</v>
      </c>
      <c r="T185" s="94"/>
      <c r="U185" s="125" t="s">
        <v>119</v>
      </c>
      <c r="V185" s="125" t="s">
        <v>1218</v>
      </c>
      <c r="W185" s="125" t="s">
        <v>215</v>
      </c>
      <c r="X185" s="140"/>
      <c r="Y185" s="141"/>
      <c r="Z185" s="131"/>
      <c r="AA185" s="131"/>
      <c r="AB185" s="131"/>
      <c r="AC185" s="131"/>
      <c r="AD185" s="127"/>
      <c r="AE185" s="244"/>
      <c r="AF185" s="121"/>
      <c r="AG185" s="121"/>
      <c r="AH185" s="121"/>
      <c r="AI185" s="121">
        <f>COUNTA('All Details for ACID Pastor'!$U185:$AB185)</f>
        <v>3</v>
      </c>
      <c r="AJ185" s="121"/>
      <c r="AK185" s="121"/>
      <c r="AL185" s="121"/>
      <c r="AM185" s="121"/>
      <c r="AN185" s="121"/>
      <c r="AO185" s="121"/>
      <c r="AP185" s="121"/>
      <c r="AQ185" s="121"/>
      <c r="AR185" s="121"/>
      <c r="AS185" s="121"/>
      <c r="AT185" s="121"/>
      <c r="AU185" s="121"/>
      <c r="AV185" s="121"/>
      <c r="AW185" s="163"/>
      <c r="AX185" s="163"/>
      <c r="AZ185" s="121" t="s">
        <v>139</v>
      </c>
      <c r="BA185" s="163"/>
      <c r="BB185" s="163"/>
      <c r="BC185" s="163"/>
      <c r="BF185" s="163">
        <f>COUNTA('All Details for ACID Pastor'!$T185:$AB185)</f>
        <v>3</v>
      </c>
    </row>
    <row r="186" spans="1:16383" s="174" customFormat="1" ht="70.150000000000006" customHeight="1">
      <c r="A186" s="103">
        <v>187</v>
      </c>
      <c r="B186" s="132" t="s">
        <v>1219</v>
      </c>
      <c r="C186" s="101" t="s">
        <v>1220</v>
      </c>
      <c r="D186" s="102" t="s">
        <v>53</v>
      </c>
      <c r="E186" s="102" t="s">
        <v>54</v>
      </c>
      <c r="F186" s="95"/>
      <c r="G186" s="95"/>
      <c r="H186" s="95"/>
      <c r="I186" s="95"/>
      <c r="J186" s="133" t="s">
        <v>1140</v>
      </c>
      <c r="K186" s="256" t="s">
        <v>1221</v>
      </c>
      <c r="L186" s="232" t="s">
        <v>4209</v>
      </c>
      <c r="M186" s="171" t="s">
        <v>1222</v>
      </c>
      <c r="N186" s="104" t="s">
        <v>1223</v>
      </c>
      <c r="O186" s="105" t="s">
        <v>1224</v>
      </c>
      <c r="P186" s="106" t="s">
        <v>1102</v>
      </c>
      <c r="Q186" s="106" t="s">
        <v>48</v>
      </c>
      <c r="R186" s="134">
        <v>9629887703</v>
      </c>
      <c r="S186" s="106" t="s">
        <v>1076</v>
      </c>
      <c r="T186" s="135"/>
      <c r="U186" s="144" t="s">
        <v>119</v>
      </c>
      <c r="V186" s="176"/>
      <c r="W186" s="176"/>
      <c r="X186" s="176"/>
      <c r="Y186" s="145"/>
      <c r="Z186" s="136"/>
      <c r="AA186" s="136"/>
      <c r="AB186" s="136"/>
      <c r="AC186" s="136"/>
      <c r="AD186" s="222"/>
      <c r="AE186" s="244"/>
      <c r="AF186" s="232"/>
      <c r="AG186" s="232"/>
      <c r="AH186" s="232"/>
      <c r="AI186" s="232">
        <f>COUNTA('All Details for ACID Pastor'!$U186:$AB186)</f>
        <v>1</v>
      </c>
      <c r="AJ186" s="232"/>
      <c r="AK186" s="232"/>
      <c r="AL186" s="232"/>
      <c r="AM186" s="232"/>
      <c r="AN186" s="232"/>
      <c r="AO186" s="232"/>
      <c r="AP186" s="232"/>
      <c r="AQ186" s="232"/>
      <c r="AR186" s="232"/>
      <c r="AS186" s="232"/>
      <c r="AT186" s="232"/>
      <c r="AU186" s="232"/>
      <c r="AV186" s="232"/>
      <c r="AW186" s="233"/>
      <c r="AX186" s="233"/>
      <c r="AY186" s="244"/>
      <c r="AZ186" s="232" t="s">
        <v>139</v>
      </c>
      <c r="BA186" s="233"/>
      <c r="BB186" s="233"/>
      <c r="BC186" s="233"/>
      <c r="BD186" s="244"/>
      <c r="BE186" s="277"/>
      <c r="BF186" s="233">
        <f>COUNTA('All Details for ACID Pastor'!$T186:$AB186)</f>
        <v>1</v>
      </c>
      <c r="BG186" s="249"/>
      <c r="BH186" s="249"/>
      <c r="BI186" s="249"/>
      <c r="BJ186" s="249"/>
      <c r="BK186" s="249"/>
      <c r="BL186" s="249"/>
      <c r="BM186" s="249"/>
      <c r="BN186" s="249"/>
      <c r="BO186" s="249"/>
      <c r="BP186" s="249"/>
      <c r="BQ186" s="249"/>
      <c r="BR186" s="249"/>
      <c r="BS186" s="249"/>
      <c r="BT186" s="249"/>
      <c r="BU186" s="249"/>
      <c r="BV186" s="249"/>
    </row>
    <row r="187" spans="1:16383" s="174" customFormat="1" ht="70.150000000000006" customHeight="1">
      <c r="A187" s="103">
        <v>188</v>
      </c>
      <c r="B187" s="132" t="s">
        <v>1225</v>
      </c>
      <c r="C187" s="101" t="s">
        <v>1226</v>
      </c>
      <c r="D187" s="102" t="s">
        <v>53</v>
      </c>
      <c r="E187" s="102" t="s">
        <v>54</v>
      </c>
      <c r="F187" s="95"/>
      <c r="G187" s="95"/>
      <c r="H187" s="95"/>
      <c r="I187" s="95"/>
      <c r="J187" s="133" t="s">
        <v>1140</v>
      </c>
      <c r="K187" s="256" t="s">
        <v>1227</v>
      </c>
      <c r="L187" s="232" t="s">
        <v>4209</v>
      </c>
      <c r="M187" s="171" t="s">
        <v>1228</v>
      </c>
      <c r="N187" s="104" t="s">
        <v>1229</v>
      </c>
      <c r="O187" s="105" t="s">
        <v>1230</v>
      </c>
      <c r="P187" s="106" t="s">
        <v>1102</v>
      </c>
      <c r="Q187" s="106" t="s">
        <v>48</v>
      </c>
      <c r="R187" s="134">
        <v>9791647266</v>
      </c>
      <c r="S187" s="106" t="s">
        <v>1076</v>
      </c>
      <c r="T187" s="135"/>
      <c r="U187" s="144" t="s">
        <v>1231</v>
      </c>
      <c r="V187" s="176"/>
      <c r="W187" s="176"/>
      <c r="X187" s="176"/>
      <c r="Y187" s="145"/>
      <c r="Z187" s="136"/>
      <c r="AA187" s="136"/>
      <c r="AB187" s="136"/>
      <c r="AC187" s="136"/>
      <c r="AD187" s="222"/>
      <c r="AE187" s="240"/>
      <c r="AF187" s="232"/>
      <c r="AG187" s="232"/>
      <c r="AH187" s="232"/>
      <c r="AI187" s="232">
        <f>COUNTA('All Details for ACID Pastor'!$U187:$AB187)</f>
        <v>1</v>
      </c>
      <c r="AJ187" s="232"/>
      <c r="AK187" s="232"/>
      <c r="AL187" s="232"/>
      <c r="AM187" s="232"/>
      <c r="AN187" s="232"/>
      <c r="AO187" s="232"/>
      <c r="AP187" s="232"/>
      <c r="AQ187" s="232"/>
      <c r="AR187" s="232"/>
      <c r="AS187" s="232"/>
      <c r="AT187" s="232"/>
      <c r="AU187" s="232"/>
      <c r="AV187" s="232"/>
      <c r="AW187" s="233"/>
      <c r="AX187" s="233"/>
      <c r="AY187" s="244"/>
      <c r="AZ187" s="232" t="s">
        <v>139</v>
      </c>
      <c r="BA187" s="233"/>
      <c r="BB187" s="233"/>
      <c r="BC187" s="233"/>
      <c r="BD187" s="244"/>
      <c r="BE187" s="277"/>
      <c r="BF187" s="233">
        <f>COUNTA('All Details for ACID Pastor'!$T187:$AB187)</f>
        <v>1</v>
      </c>
      <c r="BG187" s="249"/>
      <c r="BH187" s="249"/>
      <c r="BI187" s="249"/>
      <c r="BJ187" s="249"/>
      <c r="BK187" s="249"/>
      <c r="BL187" s="249"/>
      <c r="BM187" s="249"/>
      <c r="BN187" s="249"/>
      <c r="BO187" s="249"/>
      <c r="BP187" s="249"/>
      <c r="BQ187" s="249"/>
      <c r="BR187" s="249"/>
      <c r="BS187" s="249"/>
      <c r="BT187" s="249"/>
      <c r="BU187" s="249"/>
      <c r="BV187" s="249"/>
    </row>
    <row r="188" spans="1:16383" ht="70.150000000000006" customHeight="1">
      <c r="A188" s="107">
        <v>189</v>
      </c>
      <c r="B188" s="124" t="s">
        <v>1232</v>
      </c>
      <c r="C188" s="90" t="s">
        <v>1233</v>
      </c>
      <c r="D188" s="95" t="s">
        <v>53</v>
      </c>
      <c r="E188" s="95" t="s">
        <v>54</v>
      </c>
      <c r="F188" s="95"/>
      <c r="G188" s="95"/>
      <c r="H188" s="95"/>
      <c r="I188" s="95"/>
      <c r="J188" s="115" t="s">
        <v>1140</v>
      </c>
      <c r="K188" s="193" t="s">
        <v>1234</v>
      </c>
      <c r="L188" s="121" t="s">
        <v>4209</v>
      </c>
      <c r="M188" s="172"/>
      <c r="N188" s="93" t="s">
        <v>1235</v>
      </c>
      <c r="O188" s="92" t="s">
        <v>484</v>
      </c>
      <c r="P188" s="88" t="s">
        <v>1102</v>
      </c>
      <c r="Q188" s="88" t="s">
        <v>48</v>
      </c>
      <c r="R188" s="86">
        <v>9786830708</v>
      </c>
      <c r="S188" s="88" t="s">
        <v>1076</v>
      </c>
      <c r="T188" s="94"/>
      <c r="U188" s="125" t="s">
        <v>119</v>
      </c>
      <c r="V188" s="125" t="s">
        <v>78</v>
      </c>
      <c r="W188" s="125" t="s">
        <v>78</v>
      </c>
      <c r="X188" s="125" t="s">
        <v>78</v>
      </c>
      <c r="Y188" s="126" t="s">
        <v>110</v>
      </c>
      <c r="Z188" s="131"/>
      <c r="AA188" s="127" t="s">
        <v>1236</v>
      </c>
      <c r="AB188" s="127" t="s">
        <v>1236</v>
      </c>
      <c r="AC188" s="127" t="s">
        <v>1236</v>
      </c>
      <c r="AD188" s="127"/>
      <c r="AF188" s="121"/>
      <c r="AG188" s="121"/>
      <c r="AH188" s="121"/>
      <c r="AI188" s="121">
        <f>COUNTA('All Details for ACID Pastor'!$U188:$AB188)</f>
        <v>7</v>
      </c>
      <c r="AJ188" s="121"/>
      <c r="AK188" s="121"/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63"/>
      <c r="AX188" s="163"/>
      <c r="AZ188" s="121" t="s">
        <v>49</v>
      </c>
      <c r="BA188" s="163"/>
      <c r="BB188" s="163"/>
      <c r="BC188" s="163"/>
      <c r="BF188" s="163">
        <v>10</v>
      </c>
    </row>
    <row r="189" spans="1:16383" ht="70.150000000000006" customHeight="1">
      <c r="A189" s="107">
        <v>190</v>
      </c>
      <c r="B189" s="124" t="s">
        <v>1237</v>
      </c>
      <c r="C189" s="90" t="s">
        <v>1238</v>
      </c>
      <c r="D189" s="95" t="s">
        <v>53</v>
      </c>
      <c r="E189" s="95" t="s">
        <v>68</v>
      </c>
      <c r="F189" s="95"/>
      <c r="G189" s="95"/>
      <c r="H189" s="95"/>
      <c r="I189" s="95"/>
      <c r="J189" s="115" t="s">
        <v>1140</v>
      </c>
      <c r="K189" s="193" t="s">
        <v>1239</v>
      </c>
      <c r="L189" s="121" t="s">
        <v>4209</v>
      </c>
      <c r="M189" s="172"/>
      <c r="N189" s="93" t="s">
        <v>1240</v>
      </c>
      <c r="O189" s="92" t="s">
        <v>1241</v>
      </c>
      <c r="P189" s="88" t="s">
        <v>1102</v>
      </c>
      <c r="Q189" s="88" t="s">
        <v>48</v>
      </c>
      <c r="R189" s="86">
        <v>9543282265</v>
      </c>
      <c r="S189" s="88" t="s">
        <v>1076</v>
      </c>
      <c r="T189" s="94"/>
      <c r="U189" s="125" t="s">
        <v>119</v>
      </c>
      <c r="V189" s="125" t="s">
        <v>1218</v>
      </c>
      <c r="W189" s="125" t="s">
        <v>98</v>
      </c>
      <c r="X189" s="125" t="s">
        <v>78</v>
      </c>
      <c r="Y189" s="126" t="s">
        <v>79</v>
      </c>
      <c r="Z189" s="131"/>
      <c r="AA189" s="127" t="s">
        <v>165</v>
      </c>
      <c r="AB189" s="127" t="s">
        <v>165</v>
      </c>
      <c r="AC189" s="127" t="s">
        <v>1236</v>
      </c>
      <c r="AD189" s="127"/>
      <c r="AF189" s="121"/>
      <c r="AG189" s="121"/>
      <c r="AH189" s="121"/>
      <c r="AI189" s="121">
        <f>COUNTA('All Details for ACID Pastor'!$U189:$AB189)</f>
        <v>7</v>
      </c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  <c r="AT189" s="121"/>
      <c r="AU189" s="121"/>
      <c r="AV189" s="121"/>
      <c r="AW189" s="163"/>
      <c r="AX189" s="163"/>
      <c r="AZ189" s="121" t="s">
        <v>49</v>
      </c>
      <c r="BA189" s="163"/>
      <c r="BB189" s="163"/>
      <c r="BC189" s="163"/>
      <c r="BF189" s="163">
        <v>8</v>
      </c>
    </row>
    <row r="190" spans="1:16383" ht="70.150000000000006" customHeight="1">
      <c r="A190" s="107">
        <v>191</v>
      </c>
      <c r="B190" s="124" t="s">
        <v>1242</v>
      </c>
      <c r="C190" s="90" t="s">
        <v>1243</v>
      </c>
      <c r="D190" s="95" t="s">
        <v>53</v>
      </c>
      <c r="E190" s="95" t="s">
        <v>54</v>
      </c>
      <c r="F190" s="95"/>
      <c r="G190" s="95"/>
      <c r="H190" s="95"/>
      <c r="I190" s="95"/>
      <c r="J190" s="115" t="s">
        <v>1140</v>
      </c>
      <c r="K190" s="193" t="s">
        <v>1244</v>
      </c>
      <c r="L190" s="121"/>
      <c r="M190" s="172"/>
      <c r="N190" s="93" t="s">
        <v>1245</v>
      </c>
      <c r="O190" s="92" t="s">
        <v>1246</v>
      </c>
      <c r="P190" s="88" t="s">
        <v>190</v>
      </c>
      <c r="Q190" s="88" t="s">
        <v>48</v>
      </c>
      <c r="R190" s="86">
        <v>9655154922</v>
      </c>
      <c r="S190" s="88" t="s">
        <v>1076</v>
      </c>
      <c r="T190" s="94"/>
      <c r="U190" s="125" t="s">
        <v>119</v>
      </c>
      <c r="V190" s="125" t="s">
        <v>79</v>
      </c>
      <c r="W190" s="125" t="s">
        <v>79</v>
      </c>
      <c r="X190" s="125" t="s">
        <v>79</v>
      </c>
      <c r="Y190" s="126" t="s">
        <v>79</v>
      </c>
      <c r="Z190" s="127" t="s">
        <v>99</v>
      </c>
      <c r="AA190" s="127" t="s">
        <v>99</v>
      </c>
      <c r="AB190" s="131"/>
      <c r="AC190" s="131"/>
      <c r="AD190" s="127"/>
      <c r="AF190" s="121"/>
      <c r="AG190" s="121"/>
      <c r="AH190" s="121"/>
      <c r="AI190" s="121">
        <f>COUNTA('All Details for ACID Pastor'!$U190:$AB190)</f>
        <v>7</v>
      </c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63"/>
      <c r="AX190" s="163"/>
      <c r="AZ190" s="121" t="s">
        <v>49</v>
      </c>
      <c r="BA190" s="163"/>
      <c r="BB190" s="163"/>
      <c r="BC190" s="163"/>
      <c r="BF190" s="163">
        <f>COUNTA('All Details for ACID Pastor'!$T190:$AB190)</f>
        <v>7</v>
      </c>
    </row>
    <row r="191" spans="1:16383" ht="70.150000000000006" customHeight="1">
      <c r="A191" s="107">
        <v>192</v>
      </c>
      <c r="B191" s="124" t="s">
        <v>1247</v>
      </c>
      <c r="C191" s="90" t="s">
        <v>1248</v>
      </c>
      <c r="D191" s="95" t="s">
        <v>4212</v>
      </c>
      <c r="E191" s="95" t="s">
        <v>54</v>
      </c>
      <c r="F191" s="95"/>
      <c r="G191" s="95"/>
      <c r="H191" s="95"/>
      <c r="I191" s="95"/>
      <c r="J191" s="115" t="s">
        <v>1140</v>
      </c>
      <c r="K191" s="193" t="s">
        <v>1249</v>
      </c>
      <c r="L191" s="121" t="s">
        <v>4209</v>
      </c>
      <c r="M191" s="172" t="s">
        <v>1250</v>
      </c>
      <c r="N191" s="93" t="s">
        <v>1251</v>
      </c>
      <c r="O191" s="92" t="s">
        <v>1252</v>
      </c>
      <c r="P191" s="88" t="s">
        <v>1102</v>
      </c>
      <c r="Q191" s="88" t="s">
        <v>48</v>
      </c>
      <c r="R191" s="86">
        <v>9842863701</v>
      </c>
      <c r="S191" s="88" t="s">
        <v>1076</v>
      </c>
      <c r="T191" s="94"/>
      <c r="U191" s="125" t="s">
        <v>119</v>
      </c>
      <c r="V191" s="125" t="s">
        <v>77</v>
      </c>
      <c r="W191" s="125" t="s">
        <v>98</v>
      </c>
      <c r="X191" s="125" t="s">
        <v>79</v>
      </c>
      <c r="Y191" s="126" t="s">
        <v>99</v>
      </c>
      <c r="Z191" s="126" t="s">
        <v>99</v>
      </c>
      <c r="AA191" s="126" t="s">
        <v>99</v>
      </c>
      <c r="AB191" s="131"/>
      <c r="AC191" s="131"/>
      <c r="AD191" s="127"/>
      <c r="AE191" s="244"/>
      <c r="AF191" s="121"/>
      <c r="AG191" s="121"/>
      <c r="AH191" s="121"/>
      <c r="AI191" s="121">
        <f>COUNTA('All Details for ACID Pastor'!$U191:$AB191)</f>
        <v>7</v>
      </c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  <c r="AT191" s="121"/>
      <c r="AU191" s="121"/>
      <c r="AV191" s="121"/>
      <c r="AW191" s="163"/>
      <c r="AX191" s="163"/>
      <c r="AZ191" s="121" t="s">
        <v>49</v>
      </c>
      <c r="BA191" s="163"/>
      <c r="BB191" s="163"/>
      <c r="BC191" s="163"/>
      <c r="BF191" s="163">
        <f>COUNTA('All Details for ACID Pastor'!$T191:$AB191)</f>
        <v>7</v>
      </c>
    </row>
    <row r="192" spans="1:16383" s="174" customFormat="1" ht="70.150000000000006" customHeight="1">
      <c r="A192" s="103">
        <v>193</v>
      </c>
      <c r="B192" s="132" t="s">
        <v>1253</v>
      </c>
      <c r="C192" s="101" t="s">
        <v>1254</v>
      </c>
      <c r="D192" s="102" t="s">
        <v>53</v>
      </c>
      <c r="E192" s="102" t="s">
        <v>160</v>
      </c>
      <c r="F192" s="95"/>
      <c r="G192" s="95"/>
      <c r="H192" s="95"/>
      <c r="I192" s="95"/>
      <c r="J192" s="133" t="s">
        <v>1140</v>
      </c>
      <c r="K192" s="256" t="s">
        <v>1255</v>
      </c>
      <c r="L192" s="232" t="s">
        <v>4201</v>
      </c>
      <c r="M192" s="171"/>
      <c r="N192" s="104" t="s">
        <v>1256</v>
      </c>
      <c r="O192" s="105" t="s">
        <v>1111</v>
      </c>
      <c r="P192" s="106" t="s">
        <v>1102</v>
      </c>
      <c r="Q192" s="106" t="s">
        <v>48</v>
      </c>
      <c r="R192" s="134">
        <v>8608230475</v>
      </c>
      <c r="S192" s="106" t="s">
        <v>1076</v>
      </c>
      <c r="T192" s="135"/>
      <c r="U192" s="144" t="s">
        <v>119</v>
      </c>
      <c r="V192" s="176"/>
      <c r="W192" s="176"/>
      <c r="X192" s="176"/>
      <c r="Y192" s="145"/>
      <c r="Z192" s="136"/>
      <c r="AA192" s="136"/>
      <c r="AB192" s="136"/>
      <c r="AC192" s="136"/>
      <c r="AD192" s="222"/>
      <c r="AE192" s="240"/>
      <c r="AF192" s="232"/>
      <c r="AG192" s="232"/>
      <c r="AH192" s="232"/>
      <c r="AI192" s="232">
        <f>COUNTA('All Details for ACID Pastor'!$U192:$AB192)</f>
        <v>1</v>
      </c>
      <c r="AJ192" s="232"/>
      <c r="AK192" s="232"/>
      <c r="AL192" s="232"/>
      <c r="AM192" s="232"/>
      <c r="AN192" s="232"/>
      <c r="AO192" s="232"/>
      <c r="AP192" s="232"/>
      <c r="AQ192" s="232"/>
      <c r="AR192" s="232"/>
      <c r="AS192" s="232"/>
      <c r="AT192" s="232"/>
      <c r="AU192" s="232"/>
      <c r="AV192" s="232"/>
      <c r="AW192" s="233"/>
      <c r="AX192" s="233"/>
      <c r="AY192" s="244"/>
      <c r="AZ192" s="232" t="s">
        <v>139</v>
      </c>
      <c r="BA192" s="233"/>
      <c r="BB192" s="233"/>
      <c r="BC192" s="233"/>
      <c r="BD192" s="244"/>
      <c r="BE192" s="277"/>
      <c r="BF192" s="233">
        <f>COUNTA('All Details for ACID Pastor'!$T192:$AB192)</f>
        <v>1</v>
      </c>
      <c r="BG192" s="249"/>
      <c r="BH192" s="249"/>
      <c r="BI192" s="249"/>
      <c r="BJ192" s="249"/>
      <c r="BK192" s="249"/>
      <c r="BL192" s="249"/>
      <c r="BM192" s="249"/>
      <c r="BN192" s="249"/>
      <c r="BO192" s="249"/>
      <c r="BP192" s="249"/>
      <c r="BQ192" s="249"/>
      <c r="BR192" s="249"/>
      <c r="BS192" s="249"/>
      <c r="BT192" s="249"/>
      <c r="BU192" s="249"/>
      <c r="BV192" s="249"/>
    </row>
    <row r="193" spans="1:58" ht="70.150000000000006" customHeight="1">
      <c r="A193" s="107">
        <v>194</v>
      </c>
      <c r="B193" s="124" t="s">
        <v>1257</v>
      </c>
      <c r="C193" s="90" t="s">
        <v>1258</v>
      </c>
      <c r="D193" s="95" t="s">
        <v>53</v>
      </c>
      <c r="E193" s="95" t="s">
        <v>54</v>
      </c>
      <c r="F193" s="95"/>
      <c r="G193" s="95"/>
      <c r="H193" s="95"/>
      <c r="I193" s="95"/>
      <c r="J193" s="115" t="s">
        <v>922</v>
      </c>
      <c r="K193" s="193" t="s">
        <v>1259</v>
      </c>
      <c r="L193" s="121"/>
      <c r="M193" s="172"/>
      <c r="N193" s="93" t="s">
        <v>1260</v>
      </c>
      <c r="O193" s="92" t="s">
        <v>1261</v>
      </c>
      <c r="P193" s="88" t="s">
        <v>86</v>
      </c>
      <c r="Q193" s="88" t="s">
        <v>48</v>
      </c>
      <c r="R193" s="86">
        <v>9789648121</v>
      </c>
      <c r="S193" s="88" t="s">
        <v>1076</v>
      </c>
      <c r="T193" s="94"/>
      <c r="U193" s="125" t="s">
        <v>726</v>
      </c>
      <c r="V193" s="140"/>
      <c r="W193" s="140"/>
      <c r="X193" s="140"/>
      <c r="Y193" s="141"/>
      <c r="Z193" s="131"/>
      <c r="AA193" s="131"/>
      <c r="AB193" s="131"/>
      <c r="AC193" s="131"/>
      <c r="AD193" s="127"/>
      <c r="AF193" s="121"/>
      <c r="AG193" s="121"/>
      <c r="AH193" s="121"/>
      <c r="AI193" s="121">
        <f>COUNTA('All Details for ACID Pastor'!$U193:$AB193)</f>
        <v>1</v>
      </c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  <c r="AT193" s="121"/>
      <c r="AU193" s="121"/>
      <c r="AV193" s="121"/>
      <c r="AW193" s="163"/>
      <c r="AX193" s="163"/>
      <c r="AZ193" s="121" t="s">
        <v>139</v>
      </c>
      <c r="BA193" s="163"/>
      <c r="BB193" s="163"/>
      <c r="BC193" s="163"/>
      <c r="BF193" s="163">
        <f>COUNTA('All Details for ACID Pastor'!$T193:$AB193)</f>
        <v>1</v>
      </c>
    </row>
    <row r="194" spans="1:58" ht="70.150000000000006" customHeight="1">
      <c r="A194" s="107">
        <v>195</v>
      </c>
      <c r="B194" s="124" t="s">
        <v>1262</v>
      </c>
      <c r="C194" s="90" t="s">
        <v>1263</v>
      </c>
      <c r="D194" s="95" t="s">
        <v>53</v>
      </c>
      <c r="E194" s="95" t="s">
        <v>54</v>
      </c>
      <c r="F194" s="95"/>
      <c r="G194" s="95"/>
      <c r="H194" s="95"/>
      <c r="I194" s="95"/>
      <c r="J194" s="115" t="s">
        <v>1264</v>
      </c>
      <c r="K194" s="193" t="s">
        <v>1265</v>
      </c>
      <c r="L194" s="121"/>
      <c r="M194" s="172"/>
      <c r="N194" s="93" t="s">
        <v>1266</v>
      </c>
      <c r="O194" s="92" t="s">
        <v>1267</v>
      </c>
      <c r="P194" s="88" t="s">
        <v>166</v>
      </c>
      <c r="Q194" s="88" t="s">
        <v>48</v>
      </c>
      <c r="R194" s="86">
        <v>8870083746</v>
      </c>
      <c r="S194" s="88" t="s">
        <v>1076</v>
      </c>
      <c r="T194" s="94"/>
      <c r="U194" s="140"/>
      <c r="V194" s="140"/>
      <c r="W194" s="140"/>
      <c r="X194" s="140"/>
      <c r="Y194" s="141"/>
      <c r="Z194" s="131"/>
      <c r="AA194" s="131"/>
      <c r="AB194" s="131"/>
      <c r="AC194" s="131"/>
      <c r="AD194" s="127"/>
      <c r="AF194" s="121"/>
      <c r="AG194" s="121"/>
      <c r="AH194" s="121"/>
      <c r="AI194" s="121">
        <f>COUNTA('All Details for ACID Pastor'!$U194:$AB194)</f>
        <v>0</v>
      </c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63"/>
      <c r="AX194" s="163"/>
      <c r="AZ194" s="121" t="s">
        <v>139</v>
      </c>
      <c r="BA194" s="163"/>
      <c r="BB194" s="163"/>
      <c r="BC194" s="163"/>
      <c r="BF194" s="163">
        <f>COUNTA('All Details for ACID Pastor'!$T194:$AB194)</f>
        <v>0</v>
      </c>
    </row>
    <row r="195" spans="1:58" ht="70.150000000000006" customHeight="1">
      <c r="A195" s="107">
        <v>196</v>
      </c>
      <c r="B195" s="124" t="s">
        <v>1268</v>
      </c>
      <c r="C195" s="90" t="s">
        <v>1269</v>
      </c>
      <c r="D195" s="95" t="s">
        <v>53</v>
      </c>
      <c r="E195" s="95" t="s">
        <v>54</v>
      </c>
      <c r="F195" s="95"/>
      <c r="G195" s="95"/>
      <c r="H195" s="95"/>
      <c r="I195" s="95"/>
      <c r="J195" s="115" t="s">
        <v>1270</v>
      </c>
      <c r="K195" s="193" t="s">
        <v>1271</v>
      </c>
      <c r="L195" s="121"/>
      <c r="M195" s="172"/>
      <c r="N195" s="93" t="s">
        <v>1272</v>
      </c>
      <c r="O195" s="92" t="s">
        <v>1273</v>
      </c>
      <c r="P195" s="88" t="s">
        <v>166</v>
      </c>
      <c r="Q195" s="88" t="s">
        <v>48</v>
      </c>
      <c r="R195" s="86">
        <v>9488271149</v>
      </c>
      <c r="S195" s="88" t="s">
        <v>1076</v>
      </c>
      <c r="T195" s="94"/>
      <c r="U195" s="125" t="s">
        <v>119</v>
      </c>
      <c r="V195" s="140"/>
      <c r="W195" s="140"/>
      <c r="X195" s="140"/>
      <c r="Y195" s="141"/>
      <c r="Z195" s="131"/>
      <c r="AA195" s="131"/>
      <c r="AB195" s="131"/>
      <c r="AC195" s="131"/>
      <c r="AD195" s="127"/>
      <c r="AF195" s="121"/>
      <c r="AG195" s="121"/>
      <c r="AH195" s="121"/>
      <c r="AI195" s="121">
        <f>COUNTA('All Details for ACID Pastor'!$U195:$AB195)</f>
        <v>1</v>
      </c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63"/>
      <c r="AX195" s="163"/>
      <c r="AZ195" s="121" t="s">
        <v>139</v>
      </c>
      <c r="BA195" s="163"/>
      <c r="BB195" s="163"/>
      <c r="BC195" s="163"/>
      <c r="BF195" s="163">
        <f>COUNTA('All Details for ACID Pastor'!$T195:$AB195)</f>
        <v>1</v>
      </c>
    </row>
    <row r="196" spans="1:58" ht="70.150000000000006" customHeight="1">
      <c r="A196" s="107">
        <v>197</v>
      </c>
      <c r="B196" s="124" t="s">
        <v>1274</v>
      </c>
      <c r="C196" s="90" t="s">
        <v>1275</v>
      </c>
      <c r="D196" s="95" t="s">
        <v>53</v>
      </c>
      <c r="E196" s="95" t="s">
        <v>54</v>
      </c>
      <c r="F196" s="95"/>
      <c r="G196" s="95"/>
      <c r="H196" s="95"/>
      <c r="I196" s="95"/>
      <c r="J196" s="115" t="s">
        <v>1270</v>
      </c>
      <c r="K196" s="193" t="s">
        <v>1276</v>
      </c>
      <c r="L196" s="121"/>
      <c r="M196" s="172"/>
      <c r="N196" s="93" t="s">
        <v>1277</v>
      </c>
      <c r="O196" s="92" t="s">
        <v>1278</v>
      </c>
      <c r="P196" s="88" t="s">
        <v>166</v>
      </c>
      <c r="Q196" s="88" t="s">
        <v>48</v>
      </c>
      <c r="R196" s="86">
        <v>9443759314</v>
      </c>
      <c r="S196" s="88" t="s">
        <v>1076</v>
      </c>
      <c r="T196" s="94"/>
      <c r="U196" s="125" t="s">
        <v>1279</v>
      </c>
      <c r="V196" s="140"/>
      <c r="W196" s="140"/>
      <c r="X196" s="140"/>
      <c r="Y196" s="141"/>
      <c r="Z196" s="131"/>
      <c r="AA196" s="131"/>
      <c r="AB196" s="131"/>
      <c r="AC196" s="131"/>
      <c r="AD196" s="127"/>
      <c r="AF196" s="121"/>
      <c r="AG196" s="121"/>
      <c r="AH196" s="121"/>
      <c r="AI196" s="121">
        <f>COUNTA('All Details for ACID Pastor'!$U196:$AB196)</f>
        <v>1</v>
      </c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63"/>
      <c r="AX196" s="163"/>
      <c r="AZ196" s="121" t="s">
        <v>139</v>
      </c>
      <c r="BA196" s="163"/>
      <c r="BB196" s="163"/>
      <c r="BC196" s="163"/>
      <c r="BF196" s="163">
        <f>COUNTA('All Details for ACID Pastor'!$T196:$AB196)</f>
        <v>1</v>
      </c>
    </row>
    <row r="197" spans="1:58" ht="70.150000000000006" customHeight="1">
      <c r="A197" s="107">
        <v>198</v>
      </c>
      <c r="B197" s="124" t="s">
        <v>1280</v>
      </c>
      <c r="C197" s="90" t="s">
        <v>1281</v>
      </c>
      <c r="D197" s="95" t="s">
        <v>53</v>
      </c>
      <c r="E197" s="95" t="s">
        <v>54</v>
      </c>
      <c r="F197" s="95"/>
      <c r="G197" s="95"/>
      <c r="H197" s="95"/>
      <c r="I197" s="95"/>
      <c r="J197" s="115" t="s">
        <v>1270</v>
      </c>
      <c r="K197" s="193" t="s">
        <v>1282</v>
      </c>
      <c r="L197" s="121"/>
      <c r="M197" s="172"/>
      <c r="N197" s="93" t="s">
        <v>1283</v>
      </c>
      <c r="O197" s="92" t="s">
        <v>1267</v>
      </c>
      <c r="P197" s="88" t="s">
        <v>166</v>
      </c>
      <c r="Q197" s="88" t="s">
        <v>48</v>
      </c>
      <c r="R197" s="86">
        <v>9360515473</v>
      </c>
      <c r="S197" s="88" t="s">
        <v>1076</v>
      </c>
      <c r="T197" s="94"/>
      <c r="U197" s="140"/>
      <c r="V197" s="140"/>
      <c r="W197" s="140"/>
      <c r="X197" s="140"/>
      <c r="Y197" s="141"/>
      <c r="Z197" s="131"/>
      <c r="AA197" s="131"/>
      <c r="AB197" s="131"/>
      <c r="AC197" s="131"/>
      <c r="AD197" s="127"/>
      <c r="AF197" s="121"/>
      <c r="AG197" s="121"/>
      <c r="AH197" s="121"/>
      <c r="AI197" s="121">
        <f>COUNTA('All Details for ACID Pastor'!$U197:$AB197)</f>
        <v>0</v>
      </c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63"/>
      <c r="AX197" s="163"/>
      <c r="AZ197" s="121" t="s">
        <v>139</v>
      </c>
      <c r="BA197" s="163"/>
      <c r="BB197" s="163"/>
      <c r="BC197" s="163"/>
      <c r="BF197" s="163">
        <f>COUNTA('All Details for ACID Pastor'!$T197:$AB197)</f>
        <v>0</v>
      </c>
    </row>
    <row r="198" spans="1:58" ht="70.150000000000006" customHeight="1">
      <c r="A198" s="107">
        <v>199</v>
      </c>
      <c r="B198" s="124" t="s">
        <v>1284</v>
      </c>
      <c r="C198" s="90" t="s">
        <v>1285</v>
      </c>
      <c r="D198" s="95" t="s">
        <v>53</v>
      </c>
      <c r="E198" s="95" t="s">
        <v>54</v>
      </c>
      <c r="F198" s="95"/>
      <c r="G198" s="95"/>
      <c r="H198" s="95"/>
      <c r="I198" s="95"/>
      <c r="J198" s="115" t="s">
        <v>1270</v>
      </c>
      <c r="K198" s="193" t="s">
        <v>1286</v>
      </c>
      <c r="L198" s="121"/>
      <c r="M198" s="172"/>
      <c r="N198" s="93" t="s">
        <v>1287</v>
      </c>
      <c r="O198" s="92" t="s">
        <v>1288</v>
      </c>
      <c r="P198" s="88" t="s">
        <v>166</v>
      </c>
      <c r="Q198" s="88" t="s">
        <v>48</v>
      </c>
      <c r="R198" s="86">
        <v>9443748574</v>
      </c>
      <c r="S198" s="88" t="s">
        <v>1076</v>
      </c>
      <c r="T198" s="94"/>
      <c r="U198" s="140"/>
      <c r="V198" s="140"/>
      <c r="W198" s="140"/>
      <c r="X198" s="140"/>
      <c r="Y198" s="141"/>
      <c r="Z198" s="131"/>
      <c r="AA198" s="131"/>
      <c r="AB198" s="131"/>
      <c r="AC198" s="131"/>
      <c r="AD198" s="127"/>
      <c r="AF198" s="121"/>
      <c r="AG198" s="121"/>
      <c r="AH198" s="121"/>
      <c r="AI198" s="121">
        <f>COUNTA('All Details for ACID Pastor'!$U198:$AB198)</f>
        <v>0</v>
      </c>
      <c r="AJ198" s="121"/>
      <c r="AK198" s="121"/>
      <c r="AL198" s="121"/>
      <c r="AM198" s="121"/>
      <c r="AN198" s="121"/>
      <c r="AO198" s="121"/>
      <c r="AP198" s="121"/>
      <c r="AQ198" s="121"/>
      <c r="AR198" s="121"/>
      <c r="AS198" s="121"/>
      <c r="AT198" s="121"/>
      <c r="AU198" s="121"/>
      <c r="AV198" s="121"/>
      <c r="AW198" s="163"/>
      <c r="AX198" s="163"/>
      <c r="AZ198" s="121" t="s">
        <v>139</v>
      </c>
      <c r="BA198" s="163"/>
      <c r="BB198" s="163"/>
      <c r="BC198" s="163"/>
      <c r="BF198" s="163">
        <f>COUNTA('All Details for ACID Pastor'!$T198:$AB198)</f>
        <v>0</v>
      </c>
    </row>
    <row r="199" spans="1:58" ht="70.150000000000006" customHeight="1">
      <c r="A199" s="107">
        <v>200</v>
      </c>
      <c r="B199" s="124" t="s">
        <v>1289</v>
      </c>
      <c r="C199" s="90" t="s">
        <v>1290</v>
      </c>
      <c r="D199" s="95" t="s">
        <v>53</v>
      </c>
      <c r="E199" s="95" t="s">
        <v>54</v>
      </c>
      <c r="F199" s="95"/>
      <c r="G199" s="95"/>
      <c r="H199" s="95"/>
      <c r="I199" s="95"/>
      <c r="J199" s="115" t="s">
        <v>1270</v>
      </c>
      <c r="K199" s="193" t="s">
        <v>1291</v>
      </c>
      <c r="L199" s="121"/>
      <c r="M199" s="172"/>
      <c r="N199" s="93" t="s">
        <v>1292</v>
      </c>
      <c r="O199" s="92" t="s">
        <v>1293</v>
      </c>
      <c r="P199" s="88" t="s">
        <v>166</v>
      </c>
      <c r="Q199" s="88" t="s">
        <v>48</v>
      </c>
      <c r="R199" s="86">
        <v>9994434138</v>
      </c>
      <c r="S199" s="88" t="s">
        <v>1076</v>
      </c>
      <c r="T199" s="94"/>
      <c r="U199" s="125" t="s">
        <v>818</v>
      </c>
      <c r="V199" s="125" t="s">
        <v>818</v>
      </c>
      <c r="W199" s="140"/>
      <c r="X199" s="140"/>
      <c r="Y199" s="141"/>
      <c r="Z199" s="131"/>
      <c r="AA199" s="131"/>
      <c r="AB199" s="131"/>
      <c r="AC199" s="131"/>
      <c r="AD199" s="127"/>
      <c r="AF199" s="121"/>
      <c r="AG199" s="121"/>
      <c r="AH199" s="121"/>
      <c r="AI199" s="121">
        <f>COUNTA('All Details for ACID Pastor'!$U199:$AB199)</f>
        <v>2</v>
      </c>
      <c r="AJ199" s="121"/>
      <c r="AK199" s="121"/>
      <c r="AL199" s="121"/>
      <c r="AM199" s="121"/>
      <c r="AN199" s="121"/>
      <c r="AO199" s="121"/>
      <c r="AP199" s="121"/>
      <c r="AQ199" s="121"/>
      <c r="AR199" s="121"/>
      <c r="AS199" s="121"/>
      <c r="AT199" s="121"/>
      <c r="AU199" s="121"/>
      <c r="AV199" s="121"/>
      <c r="AW199" s="163"/>
      <c r="AX199" s="163"/>
      <c r="AZ199" s="121" t="s">
        <v>139</v>
      </c>
      <c r="BA199" s="163"/>
      <c r="BB199" s="163"/>
      <c r="BC199" s="163"/>
      <c r="BF199" s="163">
        <f>COUNTA('All Details for ACID Pastor'!$T199:$AB199)</f>
        <v>2</v>
      </c>
    </row>
    <row r="200" spans="1:58" ht="70.150000000000006" customHeight="1">
      <c r="A200" s="107">
        <v>201</v>
      </c>
      <c r="B200" s="124" t="s">
        <v>1294</v>
      </c>
      <c r="C200" s="90" t="s">
        <v>1295</v>
      </c>
      <c r="D200" s="95" t="s">
        <v>53</v>
      </c>
      <c r="E200" s="95" t="s">
        <v>54</v>
      </c>
      <c r="F200" s="95"/>
      <c r="G200" s="95"/>
      <c r="H200" s="95"/>
      <c r="I200" s="95"/>
      <c r="J200" s="115" t="s">
        <v>1270</v>
      </c>
      <c r="K200" s="193" t="s">
        <v>1296</v>
      </c>
      <c r="L200" s="121"/>
      <c r="M200" s="172"/>
      <c r="N200" s="93" t="s">
        <v>1297</v>
      </c>
      <c r="O200" s="92" t="s">
        <v>1298</v>
      </c>
      <c r="P200" s="88" t="s">
        <v>166</v>
      </c>
      <c r="Q200" s="88" t="s">
        <v>48</v>
      </c>
      <c r="R200" s="86">
        <v>8300127162</v>
      </c>
      <c r="S200" s="88" t="s">
        <v>1076</v>
      </c>
      <c r="T200" s="94"/>
      <c r="U200" s="140"/>
      <c r="V200" s="140"/>
      <c r="W200" s="140"/>
      <c r="X200" s="140"/>
      <c r="Y200" s="141"/>
      <c r="Z200" s="131"/>
      <c r="AA200" s="131"/>
      <c r="AB200" s="131"/>
      <c r="AC200" s="131"/>
      <c r="AD200" s="127"/>
      <c r="AF200" s="121"/>
      <c r="AG200" s="121"/>
      <c r="AH200" s="121"/>
      <c r="AI200" s="121">
        <f>COUNTA('All Details for ACID Pastor'!$U200:$AB200)</f>
        <v>0</v>
      </c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63"/>
      <c r="AX200" s="163"/>
      <c r="AZ200" s="121" t="s">
        <v>139</v>
      </c>
      <c r="BA200" s="163"/>
      <c r="BB200" s="163"/>
      <c r="BC200" s="163"/>
      <c r="BF200" s="163">
        <f>COUNTA('All Details for ACID Pastor'!$T200:$AB200)</f>
        <v>0</v>
      </c>
    </row>
    <row r="201" spans="1:58" ht="70.150000000000006" customHeight="1">
      <c r="A201" s="107">
        <v>202</v>
      </c>
      <c r="B201" s="124" t="s">
        <v>1299</v>
      </c>
      <c r="C201" s="90" t="s">
        <v>1300</v>
      </c>
      <c r="D201" s="95" t="s">
        <v>53</v>
      </c>
      <c r="E201" s="95" t="s">
        <v>54</v>
      </c>
      <c r="F201" s="95"/>
      <c r="G201" s="95"/>
      <c r="H201" s="95"/>
      <c r="I201" s="95"/>
      <c r="J201" s="115" t="s">
        <v>1270</v>
      </c>
      <c r="K201" s="193" t="s">
        <v>1301</v>
      </c>
      <c r="L201" s="121"/>
      <c r="M201" s="172"/>
      <c r="N201" s="93" t="s">
        <v>1302</v>
      </c>
      <c r="O201" s="92" t="s">
        <v>1303</v>
      </c>
      <c r="P201" s="88" t="s">
        <v>166</v>
      </c>
      <c r="Q201" s="88" t="s">
        <v>48</v>
      </c>
      <c r="R201" s="86">
        <v>9487279407</v>
      </c>
      <c r="S201" s="88" t="s">
        <v>1076</v>
      </c>
      <c r="T201" s="94"/>
      <c r="U201" s="125" t="s">
        <v>1279</v>
      </c>
      <c r="V201" s="140"/>
      <c r="W201" s="140"/>
      <c r="X201" s="140"/>
      <c r="Y201" s="141"/>
      <c r="Z201" s="131"/>
      <c r="AA201" s="131"/>
      <c r="AB201" s="131"/>
      <c r="AC201" s="131"/>
      <c r="AD201" s="127"/>
      <c r="AF201" s="121"/>
      <c r="AG201" s="121"/>
      <c r="AH201" s="121"/>
      <c r="AI201" s="121">
        <f>COUNTA('All Details for ACID Pastor'!$U201:$AB201)</f>
        <v>1</v>
      </c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63"/>
      <c r="AX201" s="163"/>
      <c r="AZ201" s="121" t="s">
        <v>139</v>
      </c>
      <c r="BA201" s="163"/>
      <c r="BB201" s="163"/>
      <c r="BC201" s="163"/>
      <c r="BF201" s="163">
        <f>COUNTA('All Details for ACID Pastor'!$T201:$AB201)</f>
        <v>1</v>
      </c>
    </row>
    <row r="202" spans="1:58" ht="70.150000000000006" customHeight="1">
      <c r="A202" s="107">
        <v>203</v>
      </c>
      <c r="B202" s="124" t="s">
        <v>1304</v>
      </c>
      <c r="C202" s="90" t="s">
        <v>1305</v>
      </c>
      <c r="D202" s="95" t="s">
        <v>53</v>
      </c>
      <c r="E202" s="95" t="s">
        <v>54</v>
      </c>
      <c r="F202" s="95"/>
      <c r="G202" s="95"/>
      <c r="H202" s="95"/>
      <c r="I202" s="95"/>
      <c r="J202" s="115" t="s">
        <v>1270</v>
      </c>
      <c r="K202" s="193" t="s">
        <v>1306</v>
      </c>
      <c r="L202" s="121"/>
      <c r="M202" s="172" t="s">
        <v>1307</v>
      </c>
      <c r="N202" s="93" t="s">
        <v>1308</v>
      </c>
      <c r="O202" s="92" t="s">
        <v>1309</v>
      </c>
      <c r="P202" s="88" t="s">
        <v>166</v>
      </c>
      <c r="Q202" s="88" t="s">
        <v>48</v>
      </c>
      <c r="R202" s="86">
        <v>9894969610</v>
      </c>
      <c r="S202" s="88" t="s">
        <v>1076</v>
      </c>
      <c r="T202" s="94"/>
      <c r="U202" s="125" t="s">
        <v>1279</v>
      </c>
      <c r="V202" s="140"/>
      <c r="W202" s="140"/>
      <c r="X202" s="140"/>
      <c r="Y202" s="141"/>
      <c r="Z202" s="131"/>
      <c r="AA202" s="131"/>
      <c r="AB202" s="131"/>
      <c r="AC202" s="131"/>
      <c r="AD202" s="127"/>
      <c r="AF202" s="121"/>
      <c r="AG202" s="121"/>
      <c r="AH202" s="121"/>
      <c r="AI202" s="121">
        <f>COUNTA('All Details for ACID Pastor'!$U202:$AB202)</f>
        <v>1</v>
      </c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63"/>
      <c r="AX202" s="163"/>
      <c r="AZ202" s="121" t="s">
        <v>139</v>
      </c>
      <c r="BA202" s="163"/>
      <c r="BB202" s="163"/>
      <c r="BC202" s="163"/>
      <c r="BF202" s="163">
        <f>COUNTA('All Details for ACID Pastor'!$T202:$AB202)</f>
        <v>1</v>
      </c>
    </row>
    <row r="203" spans="1:58" ht="70.150000000000006" customHeight="1">
      <c r="A203" s="107">
        <v>204</v>
      </c>
      <c r="B203" s="124" t="s">
        <v>1310</v>
      </c>
      <c r="C203" s="90" t="s">
        <v>1311</v>
      </c>
      <c r="D203" s="95" t="s">
        <v>53</v>
      </c>
      <c r="E203" s="95" t="s">
        <v>54</v>
      </c>
      <c r="F203" s="95"/>
      <c r="G203" s="95"/>
      <c r="H203" s="95"/>
      <c r="I203" s="95"/>
      <c r="J203" s="115" t="s">
        <v>1270</v>
      </c>
      <c r="K203" s="193" t="s">
        <v>1312</v>
      </c>
      <c r="L203" s="121"/>
      <c r="M203" s="172"/>
      <c r="N203" s="93" t="s">
        <v>1313</v>
      </c>
      <c r="O203" s="92" t="s">
        <v>1314</v>
      </c>
      <c r="P203" s="88" t="s">
        <v>166</v>
      </c>
      <c r="Q203" s="88" t="s">
        <v>48</v>
      </c>
      <c r="R203" s="86">
        <v>9443586410</v>
      </c>
      <c r="S203" s="88" t="s">
        <v>1076</v>
      </c>
      <c r="T203" s="94"/>
      <c r="U203" s="125" t="s">
        <v>1279</v>
      </c>
      <c r="V203" s="125" t="s">
        <v>818</v>
      </c>
      <c r="W203" s="140"/>
      <c r="X203" s="140"/>
      <c r="Y203" s="141"/>
      <c r="Z203" s="131"/>
      <c r="AA203" s="131"/>
      <c r="AB203" s="131"/>
      <c r="AC203" s="131"/>
      <c r="AD203" s="127"/>
      <c r="AF203" s="121"/>
      <c r="AG203" s="121"/>
      <c r="AH203" s="121"/>
      <c r="AI203" s="121">
        <f>COUNTA('All Details for ACID Pastor'!$U203:$AB203)</f>
        <v>2</v>
      </c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63"/>
      <c r="AX203" s="163"/>
      <c r="AZ203" s="121" t="s">
        <v>139</v>
      </c>
      <c r="BA203" s="163"/>
      <c r="BB203" s="163"/>
      <c r="BC203" s="163"/>
      <c r="BF203" s="163">
        <f>COUNTA('All Details for ACID Pastor'!$T203:$AB203)</f>
        <v>2</v>
      </c>
    </row>
    <row r="204" spans="1:58" ht="70.150000000000006" customHeight="1">
      <c r="A204" s="107">
        <v>205</v>
      </c>
      <c r="B204" s="124" t="s">
        <v>1315</v>
      </c>
      <c r="C204" s="90" t="s">
        <v>1316</v>
      </c>
      <c r="D204" s="95" t="s">
        <v>53</v>
      </c>
      <c r="E204" s="95" t="s">
        <v>54</v>
      </c>
      <c r="F204" s="95"/>
      <c r="G204" s="95"/>
      <c r="H204" s="95"/>
      <c r="I204" s="95"/>
      <c r="J204" s="115" t="s">
        <v>1270</v>
      </c>
      <c r="K204" s="193" t="s">
        <v>1317</v>
      </c>
      <c r="L204" s="121"/>
      <c r="M204" s="172" t="s">
        <v>1318</v>
      </c>
      <c r="N204" s="93" t="s">
        <v>1319</v>
      </c>
      <c r="O204" s="92" t="s">
        <v>1320</v>
      </c>
      <c r="P204" s="88" t="s">
        <v>166</v>
      </c>
      <c r="Q204" s="88" t="s">
        <v>48</v>
      </c>
      <c r="R204" s="86">
        <v>9442340823</v>
      </c>
      <c r="S204" s="88" t="s">
        <v>1076</v>
      </c>
      <c r="T204" s="94"/>
      <c r="U204" s="140"/>
      <c r="V204" s="140"/>
      <c r="W204" s="140"/>
      <c r="X204" s="140"/>
      <c r="Y204" s="141"/>
      <c r="Z204" s="131"/>
      <c r="AA204" s="131"/>
      <c r="AB204" s="131"/>
      <c r="AC204" s="131"/>
      <c r="AD204" s="127"/>
      <c r="AF204" s="121"/>
      <c r="AG204" s="121"/>
      <c r="AH204" s="121"/>
      <c r="AI204" s="121">
        <f>COUNTA('All Details for ACID Pastor'!$U204:$AB204)</f>
        <v>0</v>
      </c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63"/>
      <c r="AX204" s="163"/>
      <c r="AZ204" s="121" t="s">
        <v>139</v>
      </c>
      <c r="BA204" s="163"/>
      <c r="BB204" s="163"/>
      <c r="BC204" s="163"/>
      <c r="BF204" s="163">
        <f>COUNTA('All Details for ACID Pastor'!$T204:$AB204)</f>
        <v>0</v>
      </c>
    </row>
    <row r="205" spans="1:58" ht="70.150000000000006" customHeight="1">
      <c r="A205" s="107">
        <v>206</v>
      </c>
      <c r="B205" s="124" t="s">
        <v>1321</v>
      </c>
      <c r="C205" s="90" t="s">
        <v>1322</v>
      </c>
      <c r="D205" s="95" t="s">
        <v>53</v>
      </c>
      <c r="E205" s="95" t="s">
        <v>54</v>
      </c>
      <c r="F205" s="95"/>
      <c r="G205" s="95"/>
      <c r="H205" s="95"/>
      <c r="I205" s="95"/>
      <c r="J205" s="115" t="s">
        <v>1270</v>
      </c>
      <c r="K205" s="193" t="s">
        <v>1323</v>
      </c>
      <c r="L205" s="121"/>
      <c r="M205" s="172" t="s">
        <v>1324</v>
      </c>
      <c r="N205" s="93" t="s">
        <v>1325</v>
      </c>
      <c r="O205" s="92" t="s">
        <v>1326</v>
      </c>
      <c r="P205" s="88" t="s">
        <v>166</v>
      </c>
      <c r="Q205" s="88" t="s">
        <v>48</v>
      </c>
      <c r="R205" s="86">
        <v>9486413519</v>
      </c>
      <c r="S205" s="88" t="s">
        <v>1076</v>
      </c>
      <c r="T205" s="94"/>
      <c r="U205" s="125" t="s">
        <v>825</v>
      </c>
      <c r="V205" s="140"/>
      <c r="W205" s="140"/>
      <c r="X205" s="140"/>
      <c r="Y205" s="141"/>
      <c r="Z205" s="131"/>
      <c r="AA205" s="131"/>
      <c r="AB205" s="131"/>
      <c r="AC205" s="131"/>
      <c r="AD205" s="127"/>
      <c r="AF205" s="121"/>
      <c r="AG205" s="121"/>
      <c r="AH205" s="121"/>
      <c r="AI205" s="121">
        <f>COUNTA('All Details for ACID Pastor'!$U205:$AB205)</f>
        <v>1</v>
      </c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63"/>
      <c r="AX205" s="163"/>
      <c r="AZ205" s="121" t="s">
        <v>139</v>
      </c>
      <c r="BA205" s="163"/>
      <c r="BB205" s="163"/>
      <c r="BC205" s="163"/>
      <c r="BF205" s="163">
        <f>COUNTA('All Details for ACID Pastor'!$T205:$AB205)</f>
        <v>1</v>
      </c>
    </row>
    <row r="206" spans="1:58" ht="70.150000000000006" customHeight="1">
      <c r="A206" s="107">
        <v>207</v>
      </c>
      <c r="B206" s="124" t="s">
        <v>1327</v>
      </c>
      <c r="C206" s="90" t="s">
        <v>1328</v>
      </c>
      <c r="D206" s="95" t="s">
        <v>53</v>
      </c>
      <c r="E206" s="95" t="s">
        <v>54</v>
      </c>
      <c r="F206" s="95"/>
      <c r="G206" s="95"/>
      <c r="H206" s="95"/>
      <c r="I206" s="95"/>
      <c r="J206" s="115" t="s">
        <v>1329</v>
      </c>
      <c r="K206" s="193" t="s">
        <v>1330</v>
      </c>
      <c r="L206" s="121"/>
      <c r="M206" s="172"/>
      <c r="N206" s="93" t="s">
        <v>1331</v>
      </c>
      <c r="O206" s="92" t="s">
        <v>1332</v>
      </c>
      <c r="P206" s="88" t="s">
        <v>233</v>
      </c>
      <c r="Q206" s="88" t="s">
        <v>48</v>
      </c>
      <c r="R206" s="86">
        <v>9943672925</v>
      </c>
      <c r="S206" s="88" t="s">
        <v>1076</v>
      </c>
      <c r="T206" s="94"/>
      <c r="U206" s="140"/>
      <c r="V206" s="140"/>
      <c r="W206" s="140"/>
      <c r="X206" s="140"/>
      <c r="Y206" s="141"/>
      <c r="Z206" s="131"/>
      <c r="AA206" s="131"/>
      <c r="AB206" s="131"/>
      <c r="AC206" s="131"/>
      <c r="AD206" s="127"/>
      <c r="AF206" s="121"/>
      <c r="AG206" s="121"/>
      <c r="AH206" s="121"/>
      <c r="AI206" s="121">
        <f>COUNTA('All Details for ACID Pastor'!$U206:$AB206)</f>
        <v>0</v>
      </c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63"/>
      <c r="AX206" s="163"/>
      <c r="AZ206" s="121" t="s">
        <v>139</v>
      </c>
      <c r="BA206" s="163"/>
      <c r="BB206" s="163"/>
      <c r="BC206" s="163"/>
      <c r="BF206" s="163">
        <f>COUNTA('All Details for ACID Pastor'!$T206:$AB206)</f>
        <v>0</v>
      </c>
    </row>
    <row r="207" spans="1:58" ht="70.150000000000006" customHeight="1">
      <c r="A207" s="107">
        <v>208</v>
      </c>
      <c r="B207" s="124" t="s">
        <v>1333</v>
      </c>
      <c r="C207" s="90" t="s">
        <v>1334</v>
      </c>
      <c r="D207" s="95" t="s">
        <v>53</v>
      </c>
      <c r="E207" s="95" t="s">
        <v>54</v>
      </c>
      <c r="F207" s="95"/>
      <c r="G207" s="95"/>
      <c r="H207" s="95"/>
      <c r="I207" s="95"/>
      <c r="J207" s="115" t="s">
        <v>1329</v>
      </c>
      <c r="K207" s="193" t="s">
        <v>1335</v>
      </c>
      <c r="L207" s="121"/>
      <c r="M207" s="172" t="s">
        <v>1336</v>
      </c>
      <c r="N207" s="93" t="s">
        <v>1337</v>
      </c>
      <c r="O207" s="92" t="s">
        <v>1338</v>
      </c>
      <c r="P207" s="88" t="s">
        <v>233</v>
      </c>
      <c r="Q207" s="88" t="s">
        <v>48</v>
      </c>
      <c r="R207" s="86">
        <v>8870631541</v>
      </c>
      <c r="S207" s="88" t="s">
        <v>1076</v>
      </c>
      <c r="T207" s="94"/>
      <c r="U207" s="125" t="s">
        <v>726</v>
      </c>
      <c r="V207" s="125" t="s">
        <v>726</v>
      </c>
      <c r="W207" s="125" t="s">
        <v>727</v>
      </c>
      <c r="X207" s="125" t="s">
        <v>727</v>
      </c>
      <c r="Y207" s="126" t="s">
        <v>149</v>
      </c>
      <c r="Z207" s="131"/>
      <c r="AA207" s="131"/>
      <c r="AB207" s="127" t="s">
        <v>1236</v>
      </c>
      <c r="AC207" s="127" t="s">
        <v>1236</v>
      </c>
      <c r="AD207" s="127"/>
      <c r="AF207" s="121"/>
      <c r="AG207" s="121"/>
      <c r="AH207" s="121"/>
      <c r="AI207" s="121">
        <f>COUNTA('All Details for ACID Pastor'!$U207:$AB207)</f>
        <v>6</v>
      </c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63"/>
      <c r="AX207" s="163"/>
      <c r="AZ207" s="121" t="s">
        <v>49</v>
      </c>
      <c r="BA207" s="163"/>
      <c r="BB207" s="163"/>
      <c r="BC207" s="163"/>
      <c r="BF207" s="163">
        <v>8</v>
      </c>
    </row>
    <row r="208" spans="1:58" ht="70.150000000000006" customHeight="1">
      <c r="A208" s="107">
        <v>209</v>
      </c>
      <c r="B208" s="124" t="s">
        <v>1339</v>
      </c>
      <c r="C208" s="90" t="s">
        <v>1340</v>
      </c>
      <c r="D208" s="95" t="s">
        <v>53</v>
      </c>
      <c r="E208" s="95" t="s">
        <v>54</v>
      </c>
      <c r="F208" s="95"/>
      <c r="G208" s="95"/>
      <c r="H208" s="95"/>
      <c r="I208" s="95"/>
      <c r="J208" s="115" t="s">
        <v>1341</v>
      </c>
      <c r="K208" s="193" t="s">
        <v>1342</v>
      </c>
      <c r="L208" s="121"/>
      <c r="M208" s="172"/>
      <c r="N208" s="93" t="s">
        <v>1343</v>
      </c>
      <c r="O208" s="92" t="s">
        <v>1344</v>
      </c>
      <c r="P208" s="88" t="s">
        <v>233</v>
      </c>
      <c r="Q208" s="88" t="s">
        <v>48</v>
      </c>
      <c r="R208" s="86">
        <v>9865170260</v>
      </c>
      <c r="S208" s="88" t="s">
        <v>1076</v>
      </c>
      <c r="T208" s="94"/>
      <c r="U208" s="125" t="s">
        <v>726</v>
      </c>
      <c r="V208" s="140"/>
      <c r="W208" s="140"/>
      <c r="X208" s="140"/>
      <c r="Y208" s="141"/>
      <c r="Z208" s="131"/>
      <c r="AA208" s="131"/>
      <c r="AB208" s="131"/>
      <c r="AC208" s="131"/>
      <c r="AD208" s="127"/>
      <c r="AF208" s="121"/>
      <c r="AG208" s="121"/>
      <c r="AH208" s="121"/>
      <c r="AI208" s="121">
        <f>COUNTA('All Details for ACID Pastor'!$U208:$AB208)</f>
        <v>1</v>
      </c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63"/>
      <c r="AX208" s="163"/>
      <c r="AZ208" s="121" t="s">
        <v>139</v>
      </c>
      <c r="BA208" s="163"/>
      <c r="BB208" s="163"/>
      <c r="BC208" s="163"/>
      <c r="BF208" s="163">
        <f>COUNTA('All Details for ACID Pastor'!$T208:$AB208)</f>
        <v>1</v>
      </c>
    </row>
    <row r="209" spans="1:58" ht="70.150000000000006" customHeight="1">
      <c r="A209" s="107">
        <v>210</v>
      </c>
      <c r="B209" s="124" t="s">
        <v>1345</v>
      </c>
      <c r="C209" s="90" t="s">
        <v>1346</v>
      </c>
      <c r="D209" s="95" t="s">
        <v>53</v>
      </c>
      <c r="E209" s="95" t="s">
        <v>54</v>
      </c>
      <c r="F209" s="95"/>
      <c r="G209" s="95"/>
      <c r="H209" s="95"/>
      <c r="I209" s="95"/>
      <c r="J209" s="115" t="s">
        <v>1347</v>
      </c>
      <c r="K209" s="193" t="s">
        <v>1348</v>
      </c>
      <c r="L209" s="121"/>
      <c r="M209" s="172" t="s">
        <v>1349</v>
      </c>
      <c r="N209" s="93" t="s">
        <v>1350</v>
      </c>
      <c r="O209" s="92" t="s">
        <v>1351</v>
      </c>
      <c r="P209" s="88" t="s">
        <v>233</v>
      </c>
      <c r="Q209" s="88" t="s">
        <v>48</v>
      </c>
      <c r="R209" s="86">
        <v>9788020362</v>
      </c>
      <c r="S209" s="88" t="s">
        <v>1076</v>
      </c>
      <c r="T209" s="94"/>
      <c r="U209" s="140"/>
      <c r="V209" s="140"/>
      <c r="W209" s="140"/>
      <c r="X209" s="140"/>
      <c r="Y209" s="141"/>
      <c r="Z209" s="131"/>
      <c r="AA209" s="131"/>
      <c r="AB209" s="131"/>
      <c r="AC209" s="131"/>
      <c r="AD209" s="127"/>
      <c r="AF209" s="121"/>
      <c r="AG209" s="121"/>
      <c r="AH209" s="121"/>
      <c r="AI209" s="121">
        <f>COUNTA('All Details for ACID Pastor'!$U209:$AB209)</f>
        <v>0</v>
      </c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63"/>
      <c r="AX209" s="163"/>
      <c r="AZ209" s="121" t="s">
        <v>139</v>
      </c>
      <c r="BA209" s="163"/>
      <c r="BB209" s="163"/>
      <c r="BC209" s="163"/>
      <c r="BF209" s="163">
        <f>COUNTA('All Details for ACID Pastor'!$T209:$AB209)</f>
        <v>0</v>
      </c>
    </row>
    <row r="210" spans="1:58" ht="70.150000000000006" customHeight="1">
      <c r="A210" s="107">
        <v>211</v>
      </c>
      <c r="B210" s="124" t="s">
        <v>1352</v>
      </c>
      <c r="C210" s="90" t="s">
        <v>1353</v>
      </c>
      <c r="D210" s="95" t="s">
        <v>53</v>
      </c>
      <c r="E210" s="95" t="s">
        <v>54</v>
      </c>
      <c r="F210" s="95"/>
      <c r="G210" s="95"/>
      <c r="H210" s="95"/>
      <c r="I210" s="95"/>
      <c r="J210" s="115" t="s">
        <v>1347</v>
      </c>
      <c r="K210" s="193" t="s">
        <v>1354</v>
      </c>
      <c r="L210" s="121"/>
      <c r="M210" s="172" t="s">
        <v>1355</v>
      </c>
      <c r="N210" s="93" t="s">
        <v>1356</v>
      </c>
      <c r="O210" s="92" t="s">
        <v>1357</v>
      </c>
      <c r="P210" s="88" t="s">
        <v>233</v>
      </c>
      <c r="Q210" s="88" t="s">
        <v>48</v>
      </c>
      <c r="R210" s="86">
        <v>9787942118</v>
      </c>
      <c r="S210" s="88" t="s">
        <v>1076</v>
      </c>
      <c r="T210" s="94"/>
      <c r="U210" s="140"/>
      <c r="V210" s="140"/>
      <c r="W210" s="140"/>
      <c r="X210" s="140"/>
      <c r="Y210" s="141"/>
      <c r="Z210" s="131"/>
      <c r="AA210" s="131"/>
      <c r="AB210" s="131"/>
      <c r="AC210" s="131"/>
      <c r="AD210" s="127"/>
      <c r="AF210" s="121"/>
      <c r="AG210" s="121"/>
      <c r="AH210" s="121"/>
      <c r="AI210" s="121">
        <f>COUNTA('All Details for ACID Pastor'!$U210:$AB210)</f>
        <v>0</v>
      </c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63"/>
      <c r="AX210" s="163"/>
      <c r="AZ210" s="121" t="s">
        <v>139</v>
      </c>
      <c r="BA210" s="163"/>
      <c r="BB210" s="163"/>
      <c r="BC210" s="163"/>
      <c r="BF210" s="163">
        <f>COUNTA('All Details for ACID Pastor'!$T210:$AB210)</f>
        <v>0</v>
      </c>
    </row>
    <row r="211" spans="1:58" ht="70.150000000000006" customHeight="1">
      <c r="A211" s="107">
        <v>212</v>
      </c>
      <c r="B211" s="124" t="s">
        <v>1358</v>
      </c>
      <c r="C211" s="90" t="s">
        <v>1359</v>
      </c>
      <c r="D211" s="95" t="s">
        <v>53</v>
      </c>
      <c r="E211" s="95" t="s">
        <v>160</v>
      </c>
      <c r="F211" s="95"/>
      <c r="G211" s="95"/>
      <c r="H211" s="95"/>
      <c r="I211" s="95"/>
      <c r="J211" s="115" t="s">
        <v>1347</v>
      </c>
      <c r="K211" s="193" t="s">
        <v>1360</v>
      </c>
      <c r="L211" s="121"/>
      <c r="M211" s="172" t="s">
        <v>1361</v>
      </c>
      <c r="N211" s="93" t="s">
        <v>1362</v>
      </c>
      <c r="O211" s="92" t="s">
        <v>1351</v>
      </c>
      <c r="P211" s="88" t="s">
        <v>233</v>
      </c>
      <c r="Q211" s="88" t="s">
        <v>48</v>
      </c>
      <c r="R211" s="86">
        <v>9629016763</v>
      </c>
      <c r="S211" s="88" t="s">
        <v>1076</v>
      </c>
      <c r="T211" s="94"/>
      <c r="U211" s="140"/>
      <c r="V211" s="140"/>
      <c r="W211" s="140"/>
      <c r="X211" s="140"/>
      <c r="Y211" s="141"/>
      <c r="Z211" s="131"/>
      <c r="AA211" s="131"/>
      <c r="AB211" s="131"/>
      <c r="AC211" s="131"/>
      <c r="AD211" s="127"/>
      <c r="AF211" s="121"/>
      <c r="AG211" s="121"/>
      <c r="AH211" s="121"/>
      <c r="AI211" s="121">
        <f>COUNTA('All Details for ACID Pastor'!$U211:$AB211)</f>
        <v>0</v>
      </c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63"/>
      <c r="AX211" s="163"/>
      <c r="AZ211" s="121" t="s">
        <v>139</v>
      </c>
      <c r="BA211" s="163"/>
      <c r="BB211" s="163"/>
      <c r="BC211" s="163"/>
      <c r="BF211" s="163">
        <f>COUNTA('All Details for ACID Pastor'!$T211:$AB211)</f>
        <v>0</v>
      </c>
    </row>
    <row r="212" spans="1:58" ht="70.150000000000006" customHeight="1">
      <c r="A212" s="107">
        <v>213</v>
      </c>
      <c r="B212" s="124" t="s">
        <v>1363</v>
      </c>
      <c r="C212" s="90" t="s">
        <v>1364</v>
      </c>
      <c r="D212" s="95" t="s">
        <v>53</v>
      </c>
      <c r="E212" s="95" t="s">
        <v>54</v>
      </c>
      <c r="F212" s="95"/>
      <c r="G212" s="95"/>
      <c r="H212" s="95"/>
      <c r="I212" s="95"/>
      <c r="J212" s="115" t="s">
        <v>721</v>
      </c>
      <c r="K212" s="193" t="s">
        <v>1365</v>
      </c>
      <c r="L212" s="121"/>
      <c r="M212" s="172"/>
      <c r="N212" s="93" t="s">
        <v>1366</v>
      </c>
      <c r="O212" s="92" t="s">
        <v>1351</v>
      </c>
      <c r="P212" s="88" t="s">
        <v>233</v>
      </c>
      <c r="Q212" s="88" t="s">
        <v>48</v>
      </c>
      <c r="R212" s="86">
        <v>9952857950</v>
      </c>
      <c r="S212" s="88" t="s">
        <v>1076</v>
      </c>
      <c r="T212" s="94"/>
      <c r="U212" s="140"/>
      <c r="V212" s="140"/>
      <c r="W212" s="140"/>
      <c r="X212" s="140"/>
      <c r="Y212" s="141"/>
      <c r="Z212" s="131"/>
      <c r="AA212" s="131"/>
      <c r="AB212" s="131"/>
      <c r="AC212" s="131"/>
      <c r="AD212" s="127"/>
      <c r="AF212" s="121"/>
      <c r="AG212" s="121"/>
      <c r="AH212" s="121"/>
      <c r="AI212" s="121">
        <f>COUNTA('All Details for ACID Pastor'!$U212:$AB212)</f>
        <v>0</v>
      </c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63"/>
      <c r="AX212" s="163"/>
      <c r="AZ212" s="121" t="s">
        <v>139</v>
      </c>
      <c r="BA212" s="163"/>
      <c r="BB212" s="163"/>
      <c r="BC212" s="163"/>
      <c r="BF212" s="163">
        <f>COUNTA('All Details for ACID Pastor'!$T212:$AB212)</f>
        <v>0</v>
      </c>
    </row>
    <row r="213" spans="1:58" ht="70.150000000000006" customHeight="1">
      <c r="A213" s="107">
        <v>214</v>
      </c>
      <c r="B213" s="124" t="s">
        <v>1367</v>
      </c>
      <c r="C213" s="90" t="s">
        <v>1368</v>
      </c>
      <c r="D213" s="95" t="s">
        <v>53</v>
      </c>
      <c r="E213" s="95" t="s">
        <v>54</v>
      </c>
      <c r="F213" s="95"/>
      <c r="G213" s="95"/>
      <c r="H213" s="95"/>
      <c r="I213" s="95"/>
      <c r="J213" s="115" t="s">
        <v>1347</v>
      </c>
      <c r="K213" s="193" t="s">
        <v>1369</v>
      </c>
      <c r="L213" s="121"/>
      <c r="M213" s="172"/>
      <c r="N213" s="93" t="s">
        <v>1370</v>
      </c>
      <c r="O213" s="92" t="s">
        <v>1371</v>
      </c>
      <c r="P213" s="88" t="s">
        <v>233</v>
      </c>
      <c r="Q213" s="88" t="s">
        <v>48</v>
      </c>
      <c r="R213" s="86">
        <v>9095521416</v>
      </c>
      <c r="S213" s="88" t="s">
        <v>1076</v>
      </c>
      <c r="T213" s="94"/>
      <c r="U213" s="125" t="s">
        <v>184</v>
      </c>
      <c r="V213" s="125" t="s">
        <v>184</v>
      </c>
      <c r="W213" s="125" t="s">
        <v>184</v>
      </c>
      <c r="X213" s="140"/>
      <c r="Y213" s="141"/>
      <c r="Z213" s="131"/>
      <c r="AA213" s="131"/>
      <c r="AB213" s="131"/>
      <c r="AC213" s="131"/>
      <c r="AD213" s="127"/>
      <c r="AF213" s="121"/>
      <c r="AG213" s="121"/>
      <c r="AH213" s="121"/>
      <c r="AI213" s="121">
        <f>COUNTA('All Details for ACID Pastor'!$U213:$AB213)</f>
        <v>3</v>
      </c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63"/>
      <c r="AX213" s="163"/>
      <c r="AZ213" s="121" t="s">
        <v>139</v>
      </c>
      <c r="BA213" s="163"/>
      <c r="BB213" s="163"/>
      <c r="BC213" s="163"/>
      <c r="BF213" s="163">
        <f>COUNTA('All Details for ACID Pastor'!$T213:$AB213)</f>
        <v>3</v>
      </c>
    </row>
    <row r="214" spans="1:58" ht="70.150000000000006" customHeight="1">
      <c r="A214" s="107">
        <v>215</v>
      </c>
      <c r="B214" s="124" t="s">
        <v>1372</v>
      </c>
      <c r="C214" s="90" t="s">
        <v>1373</v>
      </c>
      <c r="D214" s="95" t="s">
        <v>53</v>
      </c>
      <c r="E214" s="95" t="s">
        <v>54</v>
      </c>
      <c r="F214" s="95"/>
      <c r="G214" s="95"/>
      <c r="H214" s="95"/>
      <c r="I214" s="95"/>
      <c r="J214" s="115" t="s">
        <v>1140</v>
      </c>
      <c r="K214" s="193" t="s">
        <v>1374</v>
      </c>
      <c r="L214" s="121"/>
      <c r="M214" s="172" t="s">
        <v>1375</v>
      </c>
      <c r="N214" s="93" t="s">
        <v>1376</v>
      </c>
      <c r="O214" s="92" t="s">
        <v>1246</v>
      </c>
      <c r="P214" s="88" t="s">
        <v>190</v>
      </c>
      <c r="Q214" s="88" t="s">
        <v>48</v>
      </c>
      <c r="R214" s="86">
        <v>9952798336</v>
      </c>
      <c r="S214" s="88" t="s">
        <v>1076</v>
      </c>
      <c r="T214" s="94"/>
      <c r="U214" s="125" t="s">
        <v>119</v>
      </c>
      <c r="V214" s="125" t="s">
        <v>77</v>
      </c>
      <c r="W214" s="125" t="s">
        <v>79</v>
      </c>
      <c r="X214" s="125" t="s">
        <v>79</v>
      </c>
      <c r="Y214" s="126" t="s">
        <v>79</v>
      </c>
      <c r="Z214" s="131"/>
      <c r="AA214" s="131"/>
      <c r="AB214" s="131"/>
      <c r="AC214" s="131"/>
      <c r="AD214" s="127"/>
      <c r="AF214" s="121"/>
      <c r="AG214" s="121"/>
      <c r="AH214" s="121"/>
      <c r="AI214" s="121">
        <f>COUNTA('All Details for ACID Pastor'!$U214:$AB214)</f>
        <v>5</v>
      </c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63"/>
      <c r="AX214" s="163"/>
      <c r="AZ214" s="121" t="s">
        <v>49</v>
      </c>
      <c r="BA214" s="163"/>
      <c r="BB214" s="163"/>
      <c r="BC214" s="163"/>
      <c r="BF214" s="163">
        <f>COUNTA('All Details for ACID Pastor'!$T214:$AB214)</f>
        <v>5</v>
      </c>
    </row>
    <row r="215" spans="1:58" ht="70.150000000000006" customHeight="1">
      <c r="A215" s="107">
        <v>216</v>
      </c>
      <c r="B215" s="124" t="s">
        <v>1377</v>
      </c>
      <c r="C215" s="90" t="s">
        <v>1378</v>
      </c>
      <c r="D215" s="95" t="s">
        <v>53</v>
      </c>
      <c r="E215" s="95" t="s">
        <v>54</v>
      </c>
      <c r="F215" s="95"/>
      <c r="G215" s="95"/>
      <c r="H215" s="95"/>
      <c r="I215" s="95"/>
      <c r="J215" s="115" t="s">
        <v>1270</v>
      </c>
      <c r="K215" s="193" t="s">
        <v>1379</v>
      </c>
      <c r="L215" s="121"/>
      <c r="M215" s="172"/>
      <c r="N215" s="93" t="s">
        <v>1380</v>
      </c>
      <c r="O215" s="92" t="s">
        <v>1381</v>
      </c>
      <c r="P215" s="88" t="s">
        <v>60</v>
      </c>
      <c r="Q215" s="88" t="s">
        <v>48</v>
      </c>
      <c r="R215" s="86">
        <v>9600331530</v>
      </c>
      <c r="S215" s="88" t="s">
        <v>1076</v>
      </c>
      <c r="T215" s="94"/>
      <c r="U215" s="140"/>
      <c r="V215" s="140"/>
      <c r="W215" s="140"/>
      <c r="X215" s="140"/>
      <c r="Y215" s="141"/>
      <c r="Z215" s="131"/>
      <c r="AA215" s="131"/>
      <c r="AB215" s="131"/>
      <c r="AC215" s="131"/>
      <c r="AD215" s="127"/>
      <c r="AF215" s="121"/>
      <c r="AG215" s="121"/>
      <c r="AH215" s="121"/>
      <c r="AI215" s="121">
        <f>COUNTA('All Details for ACID Pastor'!$U215:$AB215)</f>
        <v>0</v>
      </c>
      <c r="AJ215" s="121"/>
      <c r="AK215" s="121"/>
      <c r="AL215" s="121"/>
      <c r="AM215" s="121"/>
      <c r="AN215" s="121"/>
      <c r="AO215" s="121"/>
      <c r="AP215" s="121"/>
      <c r="AQ215" s="121"/>
      <c r="AR215" s="121"/>
      <c r="AS215" s="121"/>
      <c r="AT215" s="121"/>
      <c r="AU215" s="121"/>
      <c r="AV215" s="121"/>
      <c r="AW215" s="163"/>
      <c r="AX215" s="163"/>
      <c r="AZ215" s="121" t="s">
        <v>139</v>
      </c>
      <c r="BA215" s="163"/>
      <c r="BB215" s="163"/>
      <c r="BC215" s="163"/>
      <c r="BF215" s="163">
        <f>COUNTA('All Details for ACID Pastor'!$T215:$AB215)</f>
        <v>0</v>
      </c>
    </row>
    <row r="216" spans="1:58" ht="70.150000000000006" customHeight="1">
      <c r="A216" s="107">
        <v>217</v>
      </c>
      <c r="B216" s="124" t="s">
        <v>1382</v>
      </c>
      <c r="C216" s="90" t="s">
        <v>1383</v>
      </c>
      <c r="D216" s="95" t="s">
        <v>53</v>
      </c>
      <c r="E216" s="95" t="s">
        <v>54</v>
      </c>
      <c r="F216" s="95"/>
      <c r="G216" s="95"/>
      <c r="H216" s="95"/>
      <c r="I216" s="95"/>
      <c r="J216" s="115" t="s">
        <v>1270</v>
      </c>
      <c r="K216" s="193" t="s">
        <v>1384</v>
      </c>
      <c r="L216" s="121"/>
      <c r="M216" s="172"/>
      <c r="N216" s="93" t="s">
        <v>1385</v>
      </c>
      <c r="O216" s="92" t="s">
        <v>1386</v>
      </c>
      <c r="P216" s="88" t="s">
        <v>166</v>
      </c>
      <c r="Q216" s="88" t="s">
        <v>48</v>
      </c>
      <c r="R216" s="86">
        <v>9842197821</v>
      </c>
      <c r="S216" s="88" t="s">
        <v>1076</v>
      </c>
      <c r="T216" s="94"/>
      <c r="U216" s="140"/>
      <c r="V216" s="140"/>
      <c r="W216" s="140"/>
      <c r="X216" s="140"/>
      <c r="Y216" s="141"/>
      <c r="Z216" s="131"/>
      <c r="AA216" s="131"/>
      <c r="AB216" s="131"/>
      <c r="AC216" s="131"/>
      <c r="AD216" s="127"/>
      <c r="AF216" s="121"/>
      <c r="AG216" s="121"/>
      <c r="AH216" s="121"/>
      <c r="AI216" s="121">
        <f>COUNTA('All Details for ACID Pastor'!$U216:$AB216)</f>
        <v>0</v>
      </c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63"/>
      <c r="AX216" s="163"/>
      <c r="AZ216" s="121" t="s">
        <v>139</v>
      </c>
      <c r="BA216" s="163"/>
      <c r="BB216" s="163"/>
      <c r="BC216" s="163"/>
      <c r="BF216" s="163">
        <f>COUNTA('All Details for ACID Pastor'!$T216:$AB216)</f>
        <v>0</v>
      </c>
    </row>
    <row r="217" spans="1:58" ht="70.150000000000006" customHeight="1">
      <c r="A217" s="107">
        <v>218</v>
      </c>
      <c r="B217" s="124" t="s">
        <v>1387</v>
      </c>
      <c r="C217" s="90" t="s">
        <v>1388</v>
      </c>
      <c r="D217" s="95" t="s">
        <v>53</v>
      </c>
      <c r="E217" s="95" t="s">
        <v>54</v>
      </c>
      <c r="F217" s="95"/>
      <c r="G217" s="95"/>
      <c r="H217" s="95"/>
      <c r="I217" s="95"/>
      <c r="J217" s="115" t="s">
        <v>1270</v>
      </c>
      <c r="K217" s="193" t="s">
        <v>1389</v>
      </c>
      <c r="L217" s="121"/>
      <c r="M217" s="172"/>
      <c r="N217" s="93" t="s">
        <v>1390</v>
      </c>
      <c r="O217" s="92" t="s">
        <v>1391</v>
      </c>
      <c r="P217" s="88" t="s">
        <v>166</v>
      </c>
      <c r="Q217" s="88" t="s">
        <v>48</v>
      </c>
      <c r="R217" s="86">
        <v>9486177645</v>
      </c>
      <c r="S217" s="88" t="s">
        <v>1076</v>
      </c>
      <c r="T217" s="94"/>
      <c r="U217" s="140"/>
      <c r="V217" s="140"/>
      <c r="W217" s="140"/>
      <c r="X217" s="140"/>
      <c r="Y217" s="141"/>
      <c r="Z217" s="131"/>
      <c r="AA217" s="131"/>
      <c r="AB217" s="131"/>
      <c r="AC217" s="131"/>
      <c r="AD217" s="127"/>
      <c r="AF217" s="121"/>
      <c r="AG217" s="121"/>
      <c r="AH217" s="121"/>
      <c r="AI217" s="121">
        <f>COUNTA('All Details for ACID Pastor'!$U217:$AB217)</f>
        <v>0</v>
      </c>
      <c r="AJ217" s="121"/>
      <c r="AK217" s="121"/>
      <c r="AL217" s="121"/>
      <c r="AM217" s="121"/>
      <c r="AN217" s="121"/>
      <c r="AO217" s="121"/>
      <c r="AP217" s="121"/>
      <c r="AQ217" s="121"/>
      <c r="AR217" s="121"/>
      <c r="AS217" s="121"/>
      <c r="AT217" s="121"/>
      <c r="AU217" s="121"/>
      <c r="AV217" s="121"/>
      <c r="AW217" s="163"/>
      <c r="AX217" s="163"/>
      <c r="AZ217" s="121" t="s">
        <v>139</v>
      </c>
      <c r="BA217" s="163"/>
      <c r="BB217" s="163"/>
      <c r="BC217" s="163"/>
      <c r="BF217" s="163">
        <f>COUNTA('All Details for ACID Pastor'!$T217:$AB217)</f>
        <v>0</v>
      </c>
    </row>
    <row r="218" spans="1:58" ht="70.150000000000006" customHeight="1">
      <c r="A218" s="107">
        <v>219</v>
      </c>
      <c r="B218" s="124" t="s">
        <v>1392</v>
      </c>
      <c r="C218" s="90" t="s">
        <v>1393</v>
      </c>
      <c r="D218" s="95" t="s">
        <v>53</v>
      </c>
      <c r="E218" s="95" t="s">
        <v>54</v>
      </c>
      <c r="F218" s="95"/>
      <c r="G218" s="95"/>
      <c r="H218" s="95"/>
      <c r="I218" s="95"/>
      <c r="J218" s="115" t="s">
        <v>1270</v>
      </c>
      <c r="K218" s="193" t="s">
        <v>1394</v>
      </c>
      <c r="L218" s="121"/>
      <c r="M218" s="172" t="s">
        <v>1395</v>
      </c>
      <c r="N218" s="93" t="s">
        <v>1396</v>
      </c>
      <c r="O218" s="92" t="s">
        <v>1397</v>
      </c>
      <c r="P218" s="88" t="s">
        <v>503</v>
      </c>
      <c r="Q218" s="88" t="s">
        <v>48</v>
      </c>
      <c r="R218" s="86">
        <v>8903925564</v>
      </c>
      <c r="S218" s="88" t="s">
        <v>1076</v>
      </c>
      <c r="T218" s="94"/>
      <c r="U218" s="140"/>
      <c r="V218" s="140"/>
      <c r="W218" s="140"/>
      <c r="X218" s="140"/>
      <c r="Y218" s="141"/>
      <c r="Z218" s="131"/>
      <c r="AA218" s="131"/>
      <c r="AB218" s="131"/>
      <c r="AC218" s="131"/>
      <c r="AD218" s="127"/>
      <c r="AF218" s="121"/>
      <c r="AG218" s="121"/>
      <c r="AH218" s="121"/>
      <c r="AI218" s="121">
        <f>COUNTA('All Details for ACID Pastor'!$U218:$AB218)</f>
        <v>0</v>
      </c>
      <c r="AJ218" s="121"/>
      <c r="AK218" s="121"/>
      <c r="AL218" s="121"/>
      <c r="AM218" s="121"/>
      <c r="AN218" s="121"/>
      <c r="AO218" s="121"/>
      <c r="AP218" s="121"/>
      <c r="AQ218" s="121"/>
      <c r="AR218" s="121"/>
      <c r="AS218" s="121"/>
      <c r="AT218" s="121"/>
      <c r="AU218" s="121"/>
      <c r="AV218" s="121"/>
      <c r="AW218" s="163"/>
      <c r="AX218" s="163"/>
      <c r="AZ218" s="121" t="s">
        <v>139</v>
      </c>
      <c r="BA218" s="163"/>
      <c r="BB218" s="163"/>
      <c r="BC218" s="163"/>
      <c r="BF218" s="163">
        <f>COUNTA('All Details for ACID Pastor'!$T218:$AB218)</f>
        <v>0</v>
      </c>
    </row>
    <row r="219" spans="1:58" ht="70.150000000000006" customHeight="1">
      <c r="A219" s="107">
        <v>220</v>
      </c>
      <c r="B219" s="124" t="s">
        <v>1398</v>
      </c>
      <c r="C219" s="90" t="s">
        <v>1399</v>
      </c>
      <c r="D219" s="95" t="s">
        <v>53</v>
      </c>
      <c r="E219" s="95" t="s">
        <v>142</v>
      </c>
      <c r="F219" s="95"/>
      <c r="G219" s="95"/>
      <c r="H219" s="95"/>
      <c r="I219" s="95"/>
      <c r="J219" s="115" t="s">
        <v>1270</v>
      </c>
      <c r="K219" s="193" t="s">
        <v>1400</v>
      </c>
      <c r="L219" s="121"/>
      <c r="M219" s="172"/>
      <c r="N219" s="93" t="s">
        <v>1401</v>
      </c>
      <c r="O219" s="114" t="s">
        <v>1402</v>
      </c>
      <c r="P219" s="88" t="s">
        <v>166</v>
      </c>
      <c r="Q219" s="88" t="s">
        <v>48</v>
      </c>
      <c r="R219" s="86">
        <v>9442935688</v>
      </c>
      <c r="S219" s="88" t="s">
        <v>1076</v>
      </c>
      <c r="T219" s="94"/>
      <c r="U219" s="140"/>
      <c r="V219" s="140"/>
      <c r="W219" s="140"/>
      <c r="X219" s="140"/>
      <c r="Y219" s="141"/>
      <c r="Z219" s="131"/>
      <c r="AA219" s="131"/>
      <c r="AB219" s="131"/>
      <c r="AC219" s="131"/>
      <c r="AD219" s="127"/>
      <c r="AF219" s="121"/>
      <c r="AG219" s="121"/>
      <c r="AH219" s="121"/>
      <c r="AI219" s="121">
        <f>COUNTA('All Details for ACID Pastor'!$U219:$AB219)</f>
        <v>0</v>
      </c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63"/>
      <c r="AX219" s="163"/>
      <c r="AZ219" s="121" t="s">
        <v>139</v>
      </c>
      <c r="BA219" s="163"/>
      <c r="BB219" s="163"/>
      <c r="BC219" s="163"/>
      <c r="BF219" s="163">
        <f>COUNTA('All Details for ACID Pastor'!$T219:$AB219)</f>
        <v>0</v>
      </c>
    </row>
    <row r="220" spans="1:58" ht="70.150000000000006" customHeight="1">
      <c r="A220" s="107">
        <v>221</v>
      </c>
      <c r="B220" s="124" t="s">
        <v>1403</v>
      </c>
      <c r="C220" s="90" t="s">
        <v>1404</v>
      </c>
      <c r="D220" s="95" t="s">
        <v>53</v>
      </c>
      <c r="E220" s="95" t="s">
        <v>54</v>
      </c>
      <c r="F220" s="95"/>
      <c r="G220" s="95"/>
      <c r="H220" s="95"/>
      <c r="I220" s="95"/>
      <c r="J220" s="115" t="s">
        <v>1270</v>
      </c>
      <c r="K220" s="193" t="s">
        <v>1405</v>
      </c>
      <c r="L220" s="121"/>
      <c r="M220" s="172" t="s">
        <v>1406</v>
      </c>
      <c r="N220" s="93" t="s">
        <v>1407</v>
      </c>
      <c r="O220" s="92" t="s">
        <v>1408</v>
      </c>
      <c r="P220" s="88" t="s">
        <v>166</v>
      </c>
      <c r="Q220" s="88" t="s">
        <v>48</v>
      </c>
      <c r="R220" s="86">
        <v>9442254358</v>
      </c>
      <c r="S220" s="88" t="s">
        <v>1076</v>
      </c>
      <c r="T220" s="94"/>
      <c r="U220" s="140"/>
      <c r="V220" s="140"/>
      <c r="W220" s="140"/>
      <c r="X220" s="140"/>
      <c r="Y220" s="141"/>
      <c r="Z220" s="131"/>
      <c r="AA220" s="131"/>
      <c r="AB220" s="131"/>
      <c r="AC220" s="131"/>
      <c r="AD220" s="127"/>
      <c r="AF220" s="121"/>
      <c r="AG220" s="121"/>
      <c r="AH220" s="121"/>
      <c r="AI220" s="121">
        <f>COUNTA('All Details for ACID Pastor'!$U220:$AB220)</f>
        <v>0</v>
      </c>
      <c r="AJ220" s="121"/>
      <c r="AK220" s="121"/>
      <c r="AL220" s="121"/>
      <c r="AM220" s="121"/>
      <c r="AN220" s="121"/>
      <c r="AO220" s="121"/>
      <c r="AP220" s="121"/>
      <c r="AQ220" s="121"/>
      <c r="AR220" s="121"/>
      <c r="AS220" s="121"/>
      <c r="AT220" s="121"/>
      <c r="AU220" s="121"/>
      <c r="AV220" s="121"/>
      <c r="AW220" s="163"/>
      <c r="AX220" s="163"/>
      <c r="AZ220" s="121" t="s">
        <v>139</v>
      </c>
      <c r="BA220" s="163"/>
      <c r="BB220" s="163"/>
      <c r="BC220" s="163"/>
      <c r="BF220" s="163">
        <f>COUNTA('All Details for ACID Pastor'!$T220:$AB220)</f>
        <v>0</v>
      </c>
    </row>
    <row r="221" spans="1:58" ht="70.150000000000006" customHeight="1">
      <c r="A221" s="107">
        <v>222</v>
      </c>
      <c r="B221" s="124" t="s">
        <v>1409</v>
      </c>
      <c r="C221" s="90" t="s">
        <v>1410</v>
      </c>
      <c r="D221" s="95" t="s">
        <v>53</v>
      </c>
      <c r="E221" s="95" t="s">
        <v>54</v>
      </c>
      <c r="F221" s="95"/>
      <c r="G221" s="95"/>
      <c r="H221" s="95"/>
      <c r="I221" s="95"/>
      <c r="J221" s="115" t="s">
        <v>1270</v>
      </c>
      <c r="K221" s="193" t="s">
        <v>1411</v>
      </c>
      <c r="L221" s="121"/>
      <c r="M221" s="172"/>
      <c r="N221" s="93" t="s">
        <v>1412</v>
      </c>
      <c r="O221" s="92" t="s">
        <v>1413</v>
      </c>
      <c r="P221" s="88" t="s">
        <v>166</v>
      </c>
      <c r="Q221" s="88" t="s">
        <v>48</v>
      </c>
      <c r="R221" s="86">
        <v>8056833353</v>
      </c>
      <c r="S221" s="88" t="s">
        <v>1076</v>
      </c>
      <c r="T221" s="94"/>
      <c r="U221" s="140"/>
      <c r="V221" s="140"/>
      <c r="W221" s="140"/>
      <c r="X221" s="140"/>
      <c r="Y221" s="141"/>
      <c r="Z221" s="131"/>
      <c r="AA221" s="131"/>
      <c r="AB221" s="131"/>
      <c r="AC221" s="131"/>
      <c r="AD221" s="127"/>
      <c r="AF221" s="121"/>
      <c r="AG221" s="121"/>
      <c r="AH221" s="121"/>
      <c r="AI221" s="121">
        <f>COUNTA('All Details for ACID Pastor'!$U221:$AB221)</f>
        <v>0</v>
      </c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63"/>
      <c r="AX221" s="163"/>
      <c r="AZ221" s="121" t="s">
        <v>139</v>
      </c>
      <c r="BA221" s="163"/>
      <c r="BB221" s="163"/>
      <c r="BC221" s="163"/>
      <c r="BF221" s="163">
        <f>COUNTA('All Details for ACID Pastor'!$T221:$AB221)</f>
        <v>0</v>
      </c>
    </row>
    <row r="222" spans="1:58" ht="70.150000000000006" customHeight="1">
      <c r="A222" s="107">
        <v>223</v>
      </c>
      <c r="B222" s="124" t="s">
        <v>1414</v>
      </c>
      <c r="C222" s="90" t="s">
        <v>1415</v>
      </c>
      <c r="D222" s="95" t="s">
        <v>53</v>
      </c>
      <c r="E222" s="95" t="s">
        <v>54</v>
      </c>
      <c r="F222" s="95"/>
      <c r="G222" s="95"/>
      <c r="H222" s="95"/>
      <c r="I222" s="95"/>
      <c r="J222" s="115" t="s">
        <v>1270</v>
      </c>
      <c r="K222" s="193" t="s">
        <v>1416</v>
      </c>
      <c r="L222" s="121"/>
      <c r="M222" s="172"/>
      <c r="N222" s="93" t="s">
        <v>1417</v>
      </c>
      <c r="O222" s="92" t="s">
        <v>1418</v>
      </c>
      <c r="P222" s="88" t="s">
        <v>166</v>
      </c>
      <c r="Q222" s="88" t="s">
        <v>48</v>
      </c>
      <c r="R222" s="86">
        <v>9789718245</v>
      </c>
      <c r="S222" s="88" t="s">
        <v>1076</v>
      </c>
      <c r="T222" s="94"/>
      <c r="U222" s="125" t="s">
        <v>119</v>
      </c>
      <c r="V222" s="140"/>
      <c r="W222" s="140"/>
      <c r="X222" s="140"/>
      <c r="Y222" s="141"/>
      <c r="Z222" s="131"/>
      <c r="AA222" s="131"/>
      <c r="AB222" s="131"/>
      <c r="AC222" s="131"/>
      <c r="AD222" s="127"/>
      <c r="AF222" s="121"/>
      <c r="AG222" s="121"/>
      <c r="AH222" s="121"/>
      <c r="AI222" s="121">
        <f>COUNTA('All Details for ACID Pastor'!$U222:$AB222)</f>
        <v>1</v>
      </c>
      <c r="AJ222" s="121"/>
      <c r="AK222" s="121"/>
      <c r="AL222" s="121"/>
      <c r="AM222" s="121"/>
      <c r="AN222" s="121"/>
      <c r="AO222" s="121"/>
      <c r="AP222" s="121"/>
      <c r="AQ222" s="121"/>
      <c r="AR222" s="121"/>
      <c r="AS222" s="121"/>
      <c r="AT222" s="121"/>
      <c r="AU222" s="121"/>
      <c r="AV222" s="121"/>
      <c r="AW222" s="163"/>
      <c r="AX222" s="163"/>
      <c r="AZ222" s="121" t="s">
        <v>139</v>
      </c>
      <c r="BA222" s="163"/>
      <c r="BB222" s="163"/>
      <c r="BC222" s="163"/>
      <c r="BF222" s="163">
        <f>COUNTA('All Details for ACID Pastor'!$T222:$AB222)</f>
        <v>1</v>
      </c>
    </row>
    <row r="223" spans="1:58" ht="70.150000000000006" customHeight="1">
      <c r="A223" s="107">
        <v>224</v>
      </c>
      <c r="B223" s="124" t="s">
        <v>1419</v>
      </c>
      <c r="C223" s="90" t="s">
        <v>1420</v>
      </c>
      <c r="D223" s="95" t="s">
        <v>53</v>
      </c>
      <c r="E223" s="95" t="s">
        <v>68</v>
      </c>
      <c r="F223" s="95"/>
      <c r="G223" s="95"/>
      <c r="H223" s="95"/>
      <c r="I223" s="95"/>
      <c r="J223" s="115" t="s">
        <v>1270</v>
      </c>
      <c r="K223" s="193" t="s">
        <v>1421</v>
      </c>
      <c r="L223" s="121"/>
      <c r="M223" s="172" t="s">
        <v>1422</v>
      </c>
      <c r="N223" s="93" t="s">
        <v>1423</v>
      </c>
      <c r="O223" s="92" t="s">
        <v>1267</v>
      </c>
      <c r="P223" s="88" t="s">
        <v>166</v>
      </c>
      <c r="Q223" s="88" t="s">
        <v>48</v>
      </c>
      <c r="R223" s="86">
        <v>9894987366</v>
      </c>
      <c r="S223" s="88" t="s">
        <v>1076</v>
      </c>
      <c r="T223" s="94"/>
      <c r="U223" s="140"/>
      <c r="V223" s="140"/>
      <c r="W223" s="140"/>
      <c r="X223" s="140"/>
      <c r="Y223" s="141"/>
      <c r="Z223" s="131"/>
      <c r="AA223" s="131"/>
      <c r="AB223" s="131"/>
      <c r="AC223" s="131"/>
      <c r="AD223" s="127"/>
      <c r="AF223" s="121"/>
      <c r="AG223" s="121"/>
      <c r="AH223" s="121"/>
      <c r="AI223" s="121">
        <f>COUNTA('All Details for ACID Pastor'!$U223:$AB223)</f>
        <v>0</v>
      </c>
      <c r="AJ223" s="121"/>
      <c r="AK223" s="121"/>
      <c r="AL223" s="121"/>
      <c r="AM223" s="121"/>
      <c r="AN223" s="121"/>
      <c r="AO223" s="121"/>
      <c r="AP223" s="121"/>
      <c r="AQ223" s="121"/>
      <c r="AR223" s="121"/>
      <c r="AS223" s="121"/>
      <c r="AT223" s="121"/>
      <c r="AU223" s="121"/>
      <c r="AV223" s="121"/>
      <c r="AW223" s="163"/>
      <c r="AX223" s="163"/>
      <c r="AZ223" s="121" t="s">
        <v>139</v>
      </c>
      <c r="BA223" s="163"/>
      <c r="BB223" s="163"/>
      <c r="BC223" s="163"/>
      <c r="BF223" s="163">
        <f>COUNTA('All Details for ACID Pastor'!$T223:$AB223)</f>
        <v>0</v>
      </c>
    </row>
    <row r="224" spans="1:58" ht="78.75" customHeight="1">
      <c r="A224" s="107">
        <v>225</v>
      </c>
      <c r="B224" s="124" t="s">
        <v>1424</v>
      </c>
      <c r="C224" s="90" t="s">
        <v>1425</v>
      </c>
      <c r="D224" s="95" t="s">
        <v>53</v>
      </c>
      <c r="E224" s="95" t="s">
        <v>54</v>
      </c>
      <c r="F224" s="95"/>
      <c r="G224" s="95"/>
      <c r="H224" s="95"/>
      <c r="I224" s="95"/>
      <c r="J224" s="115" t="s">
        <v>1426</v>
      </c>
      <c r="K224" s="193" t="s">
        <v>1427</v>
      </c>
      <c r="L224" s="121"/>
      <c r="M224" s="172"/>
      <c r="N224" s="93" t="s">
        <v>1428</v>
      </c>
      <c r="O224" s="92" t="s">
        <v>1429</v>
      </c>
      <c r="P224" s="88" t="s">
        <v>769</v>
      </c>
      <c r="Q224" s="88" t="s">
        <v>48</v>
      </c>
      <c r="R224" s="86">
        <v>9843532942</v>
      </c>
      <c r="S224" s="88" t="s">
        <v>1076</v>
      </c>
      <c r="T224" s="94"/>
      <c r="U224" s="125" t="s">
        <v>119</v>
      </c>
      <c r="V224" s="140"/>
      <c r="W224" s="140"/>
      <c r="X224" s="140"/>
      <c r="Y224" s="141"/>
      <c r="Z224" s="131"/>
      <c r="AA224" s="131"/>
      <c r="AB224" s="131"/>
      <c r="AC224" s="131"/>
      <c r="AD224" s="127"/>
      <c r="AF224" s="121"/>
      <c r="AG224" s="121"/>
      <c r="AH224" s="121"/>
      <c r="AI224" s="121">
        <f>COUNTA('All Details for ACID Pastor'!$U224:$AB224)</f>
        <v>1</v>
      </c>
      <c r="AJ224" s="121"/>
      <c r="AK224" s="121"/>
      <c r="AL224" s="121"/>
      <c r="AM224" s="121"/>
      <c r="AN224" s="121"/>
      <c r="AO224" s="121"/>
      <c r="AP224" s="121"/>
      <c r="AQ224" s="121"/>
      <c r="AR224" s="121"/>
      <c r="AS224" s="121"/>
      <c r="AT224" s="121"/>
      <c r="AU224" s="121"/>
      <c r="AV224" s="121"/>
      <c r="AW224" s="163"/>
      <c r="AX224" s="163"/>
      <c r="AZ224" s="121" t="s">
        <v>139</v>
      </c>
      <c r="BA224" s="163"/>
      <c r="BB224" s="163"/>
      <c r="BC224" s="163"/>
      <c r="BF224" s="163">
        <f>COUNTA('All Details for ACID Pastor'!$T224:$AB224)</f>
        <v>1</v>
      </c>
    </row>
    <row r="225" spans="1:74" ht="78.75" customHeight="1">
      <c r="A225" s="107">
        <v>226</v>
      </c>
      <c r="B225" s="124" t="s">
        <v>1430</v>
      </c>
      <c r="C225" s="90" t="s">
        <v>1431</v>
      </c>
      <c r="D225" s="95" t="s">
        <v>53</v>
      </c>
      <c r="E225" s="88" t="s">
        <v>54</v>
      </c>
      <c r="F225" s="88"/>
      <c r="G225" s="88"/>
      <c r="H225" s="88"/>
      <c r="I225" s="88"/>
      <c r="J225" s="86" t="s">
        <v>1432</v>
      </c>
      <c r="K225" s="259" t="s">
        <v>1433</v>
      </c>
      <c r="L225" s="121"/>
      <c r="M225" s="172"/>
      <c r="N225" s="93" t="s">
        <v>1434</v>
      </c>
      <c r="O225" s="92" t="s">
        <v>1435</v>
      </c>
      <c r="P225" s="88" t="s">
        <v>769</v>
      </c>
      <c r="Q225" s="88" t="s">
        <v>48</v>
      </c>
      <c r="R225" s="86">
        <v>9789253631</v>
      </c>
      <c r="S225" s="88" t="s">
        <v>1076</v>
      </c>
      <c r="T225" s="94"/>
      <c r="U225" s="125" t="s">
        <v>119</v>
      </c>
      <c r="V225" s="125" t="s">
        <v>215</v>
      </c>
      <c r="W225" s="125" t="s">
        <v>215</v>
      </c>
      <c r="X225" s="125" t="s">
        <v>1436</v>
      </c>
      <c r="Y225" s="126" t="s">
        <v>1436</v>
      </c>
      <c r="Z225" s="126" t="s">
        <v>149</v>
      </c>
      <c r="AA225" s="126" t="s">
        <v>1437</v>
      </c>
      <c r="AB225" s="126" t="s">
        <v>1005</v>
      </c>
      <c r="AC225" s="126" t="s">
        <v>1005</v>
      </c>
      <c r="AD225" s="141" t="s">
        <v>1005</v>
      </c>
      <c r="AF225" s="121"/>
      <c r="AG225" s="121"/>
      <c r="AH225" s="121"/>
      <c r="AI225" s="121">
        <f>COUNTA('All Details for ACID Pastor'!$U225:$AB225)</f>
        <v>8</v>
      </c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63"/>
      <c r="AX225" s="163"/>
      <c r="AZ225" s="121" t="s">
        <v>49</v>
      </c>
      <c r="BA225" s="163"/>
      <c r="BB225" s="163"/>
      <c r="BC225" s="163"/>
      <c r="BF225" s="163">
        <v>11</v>
      </c>
    </row>
    <row r="226" spans="1:74" ht="78.75" customHeight="1">
      <c r="A226" s="107">
        <v>227</v>
      </c>
      <c r="B226" s="124" t="s">
        <v>1438</v>
      </c>
      <c r="C226" s="90" t="s">
        <v>1439</v>
      </c>
      <c r="D226" s="95" t="s">
        <v>53</v>
      </c>
      <c r="E226" s="95" t="s">
        <v>54</v>
      </c>
      <c r="F226" s="95"/>
      <c r="G226" s="95"/>
      <c r="H226" s="95"/>
      <c r="I226" s="95"/>
      <c r="J226" s="115" t="s">
        <v>1440</v>
      </c>
      <c r="K226" s="193" t="s">
        <v>1441</v>
      </c>
      <c r="L226" s="121"/>
      <c r="M226" s="172"/>
      <c r="N226" s="93" t="s">
        <v>1442</v>
      </c>
      <c r="O226" s="92" t="s">
        <v>1443</v>
      </c>
      <c r="P226" s="88" t="s">
        <v>769</v>
      </c>
      <c r="Q226" s="88" t="s">
        <v>48</v>
      </c>
      <c r="R226" s="86">
        <v>9751107256</v>
      </c>
      <c r="S226" s="88" t="s">
        <v>1076</v>
      </c>
      <c r="T226" s="94"/>
      <c r="U226" s="125" t="s">
        <v>119</v>
      </c>
      <c r="V226" s="125" t="s">
        <v>727</v>
      </c>
      <c r="W226" s="125" t="s">
        <v>727</v>
      </c>
      <c r="X226" s="125" t="s">
        <v>727</v>
      </c>
      <c r="Y226" s="125" t="s">
        <v>149</v>
      </c>
      <c r="Z226" s="125" t="s">
        <v>149</v>
      </c>
      <c r="AA226" s="125" t="s">
        <v>1437</v>
      </c>
      <c r="AB226" s="125"/>
      <c r="AC226" s="140"/>
      <c r="AD226" s="141"/>
      <c r="AE226" s="244"/>
      <c r="AF226" s="121"/>
      <c r="AG226" s="121"/>
      <c r="AH226" s="121"/>
      <c r="AI226" s="121">
        <f>COUNTA('All Details for ACID Pastor'!$U226:$AB226)</f>
        <v>7</v>
      </c>
      <c r="AJ226" s="121"/>
      <c r="AK226" s="121"/>
      <c r="AL226" s="121"/>
      <c r="AM226" s="121"/>
      <c r="AN226" s="121"/>
      <c r="AO226" s="121"/>
      <c r="AP226" s="121"/>
      <c r="AQ226" s="121"/>
      <c r="AR226" s="121"/>
      <c r="AS226" s="121"/>
      <c r="AT226" s="121"/>
      <c r="AU226" s="121"/>
      <c r="AV226" s="121"/>
      <c r="AW226" s="163"/>
      <c r="AX226" s="163"/>
      <c r="AZ226" s="121" t="s">
        <v>49</v>
      </c>
      <c r="BA226" s="163"/>
      <c r="BB226" s="163"/>
      <c r="BC226" s="163"/>
      <c r="BF226" s="163">
        <f>COUNTA('All Details for ACID Pastor'!$T226:$AB226)</f>
        <v>7</v>
      </c>
    </row>
    <row r="227" spans="1:74" s="174" customFormat="1" ht="70.150000000000006" customHeight="1">
      <c r="A227" s="103">
        <v>228</v>
      </c>
      <c r="B227" s="132" t="s">
        <v>1444</v>
      </c>
      <c r="C227" s="101" t="s">
        <v>1445</v>
      </c>
      <c r="D227" s="102" t="s">
        <v>53</v>
      </c>
      <c r="E227" s="102" t="s">
        <v>54</v>
      </c>
      <c r="F227" s="95"/>
      <c r="G227" s="95"/>
      <c r="H227" s="95"/>
      <c r="I227" s="95"/>
      <c r="J227" s="133" t="s">
        <v>1446</v>
      </c>
      <c r="K227" s="256" t="s">
        <v>1447</v>
      </c>
      <c r="L227" s="232" t="s">
        <v>4209</v>
      </c>
      <c r="M227" s="171"/>
      <c r="N227" s="104" t="s">
        <v>1448</v>
      </c>
      <c r="O227" s="105" t="s">
        <v>1449</v>
      </c>
      <c r="P227" s="106" t="s">
        <v>516</v>
      </c>
      <c r="Q227" s="106" t="s">
        <v>517</v>
      </c>
      <c r="R227" s="134">
        <v>9745951574</v>
      </c>
      <c r="S227" s="106" t="s">
        <v>1076</v>
      </c>
      <c r="T227" s="135"/>
      <c r="U227" s="176"/>
      <c r="V227" s="176"/>
      <c r="W227" s="176"/>
      <c r="X227" s="176"/>
      <c r="Y227" s="145"/>
      <c r="Z227" s="136"/>
      <c r="AA227" s="136"/>
      <c r="AB227" s="136"/>
      <c r="AC227" s="136"/>
      <c r="AD227" s="222"/>
      <c r="AE227" s="240"/>
      <c r="AF227" s="232"/>
      <c r="AG227" s="232"/>
      <c r="AH227" s="232"/>
      <c r="AI227" s="232">
        <f>COUNTA('All Details for ACID Pastor'!$U227:$AB227)</f>
        <v>0</v>
      </c>
      <c r="AJ227" s="232"/>
      <c r="AK227" s="232"/>
      <c r="AL227" s="232"/>
      <c r="AM227" s="232"/>
      <c r="AN227" s="232"/>
      <c r="AO227" s="232"/>
      <c r="AP227" s="232"/>
      <c r="AQ227" s="232"/>
      <c r="AR227" s="232"/>
      <c r="AS227" s="232"/>
      <c r="AT227" s="232"/>
      <c r="AU227" s="232"/>
      <c r="AV227" s="232"/>
      <c r="AW227" s="233"/>
      <c r="AX227" s="233"/>
      <c r="AY227" s="244"/>
      <c r="AZ227" s="232" t="s">
        <v>139</v>
      </c>
      <c r="BA227" s="233"/>
      <c r="BB227" s="233"/>
      <c r="BC227" s="233"/>
      <c r="BD227" s="244"/>
      <c r="BE227" s="277"/>
      <c r="BF227" s="233">
        <f>COUNTA('All Details for ACID Pastor'!$T227:$AB227)</f>
        <v>0</v>
      </c>
      <c r="BG227" s="249"/>
      <c r="BH227" s="249"/>
      <c r="BI227" s="249"/>
      <c r="BJ227" s="249"/>
      <c r="BK227" s="249"/>
      <c r="BL227" s="249"/>
      <c r="BM227" s="249"/>
      <c r="BN227" s="249"/>
      <c r="BO227" s="249"/>
      <c r="BP227" s="249"/>
      <c r="BQ227" s="249"/>
      <c r="BR227" s="249"/>
      <c r="BS227" s="249"/>
      <c r="BT227" s="249"/>
      <c r="BU227" s="249"/>
      <c r="BV227" s="249"/>
    </row>
    <row r="228" spans="1:74" ht="70.150000000000006" customHeight="1">
      <c r="A228" s="107">
        <v>229</v>
      </c>
      <c r="B228" s="124" t="s">
        <v>1450</v>
      </c>
      <c r="C228" s="90" t="s">
        <v>1451</v>
      </c>
      <c r="D228" s="95" t="s">
        <v>53</v>
      </c>
      <c r="E228" s="95" t="s">
        <v>142</v>
      </c>
      <c r="F228" s="95"/>
      <c r="G228" s="95"/>
      <c r="H228" s="95"/>
      <c r="I228" s="95"/>
      <c r="J228" s="115" t="s">
        <v>1446</v>
      </c>
      <c r="K228" s="193" t="s">
        <v>1452</v>
      </c>
      <c r="L228" s="121"/>
      <c r="M228" s="172" t="s">
        <v>1453</v>
      </c>
      <c r="N228" s="93" t="s">
        <v>1454</v>
      </c>
      <c r="O228" s="92" t="s">
        <v>1455</v>
      </c>
      <c r="P228" s="88" t="s">
        <v>94</v>
      </c>
      <c r="Q228" s="88" t="s">
        <v>48</v>
      </c>
      <c r="R228" s="86">
        <v>9345820330</v>
      </c>
      <c r="S228" s="88" t="s">
        <v>1076</v>
      </c>
      <c r="T228" s="94"/>
      <c r="U228" s="140"/>
      <c r="V228" s="140"/>
      <c r="W228" s="140"/>
      <c r="X228" s="140"/>
      <c r="Y228" s="141"/>
      <c r="Z228" s="131"/>
      <c r="AA228" s="131"/>
      <c r="AB228" s="131"/>
      <c r="AC228" s="131"/>
      <c r="AD228" s="127"/>
      <c r="AE228" s="244"/>
      <c r="AF228" s="121"/>
      <c r="AG228" s="121"/>
      <c r="AH228" s="121"/>
      <c r="AI228" s="121">
        <f>COUNTA('All Details for ACID Pastor'!$U228:$AB228)</f>
        <v>0</v>
      </c>
      <c r="AJ228" s="121"/>
      <c r="AK228" s="121"/>
      <c r="AL228" s="121"/>
      <c r="AM228" s="121"/>
      <c r="AN228" s="121"/>
      <c r="AO228" s="121"/>
      <c r="AP228" s="121"/>
      <c r="AQ228" s="121"/>
      <c r="AR228" s="121"/>
      <c r="AS228" s="121"/>
      <c r="AT228" s="121"/>
      <c r="AU228" s="121"/>
      <c r="AV228" s="121"/>
      <c r="AW228" s="163"/>
      <c r="AX228" s="163"/>
      <c r="AZ228" s="121" t="s">
        <v>100</v>
      </c>
      <c r="BA228" s="163"/>
      <c r="BB228" s="163"/>
      <c r="BC228" s="163"/>
      <c r="BF228" s="163">
        <f>COUNTA('All Details for ACID Pastor'!$T228:$AB228)</f>
        <v>0</v>
      </c>
    </row>
    <row r="229" spans="1:74" s="174" customFormat="1" ht="70.150000000000006" customHeight="1">
      <c r="A229" s="103">
        <v>230</v>
      </c>
      <c r="B229" s="132" t="s">
        <v>1456</v>
      </c>
      <c r="C229" s="101" t="s">
        <v>1457</v>
      </c>
      <c r="D229" s="102" t="s">
        <v>53</v>
      </c>
      <c r="E229" s="102" t="s">
        <v>54</v>
      </c>
      <c r="F229" s="95"/>
      <c r="G229" s="95"/>
      <c r="H229" s="95"/>
      <c r="I229" s="95"/>
      <c r="J229" s="133" t="s">
        <v>1458</v>
      </c>
      <c r="K229" s="256" t="s">
        <v>1459</v>
      </c>
      <c r="L229" s="232" t="s">
        <v>4209</v>
      </c>
      <c r="M229" s="171"/>
      <c r="N229" s="104" t="s">
        <v>1460</v>
      </c>
      <c r="O229" s="105" t="s">
        <v>1461</v>
      </c>
      <c r="P229" s="106" t="s">
        <v>1462</v>
      </c>
      <c r="Q229" s="106" t="s">
        <v>517</v>
      </c>
      <c r="R229" s="134">
        <v>9446341684</v>
      </c>
      <c r="S229" s="106" t="s">
        <v>1076</v>
      </c>
      <c r="T229" s="135"/>
      <c r="U229" s="144" t="s">
        <v>119</v>
      </c>
      <c r="V229" s="144" t="s">
        <v>77</v>
      </c>
      <c r="W229" s="176"/>
      <c r="X229" s="176"/>
      <c r="Y229" s="145"/>
      <c r="Z229" s="136"/>
      <c r="AA229" s="136"/>
      <c r="AB229" s="136"/>
      <c r="AC229" s="136"/>
      <c r="AD229" s="222"/>
      <c r="AE229" s="244"/>
      <c r="AF229" s="232"/>
      <c r="AG229" s="232"/>
      <c r="AH229" s="232"/>
      <c r="AI229" s="232">
        <f>COUNTA('All Details for ACID Pastor'!$U229:$AB229)</f>
        <v>2</v>
      </c>
      <c r="AJ229" s="232"/>
      <c r="AK229" s="232"/>
      <c r="AL229" s="232"/>
      <c r="AM229" s="232"/>
      <c r="AN229" s="232"/>
      <c r="AO229" s="232"/>
      <c r="AP229" s="232"/>
      <c r="AQ229" s="232"/>
      <c r="AR229" s="232"/>
      <c r="AS229" s="232"/>
      <c r="AT229" s="232"/>
      <c r="AU229" s="232"/>
      <c r="AV229" s="232"/>
      <c r="AW229" s="233"/>
      <c r="AX229" s="233"/>
      <c r="AY229" s="244"/>
      <c r="AZ229" s="232" t="s">
        <v>139</v>
      </c>
      <c r="BA229" s="233"/>
      <c r="BB229" s="233"/>
      <c r="BC229" s="233"/>
      <c r="BD229" s="244"/>
      <c r="BE229" s="277"/>
      <c r="BF229" s="233">
        <f>COUNTA('All Details for ACID Pastor'!$T229:$AB229)</f>
        <v>2</v>
      </c>
      <c r="BG229" s="249"/>
      <c r="BH229" s="249"/>
      <c r="BI229" s="249"/>
      <c r="BJ229" s="249"/>
      <c r="BK229" s="249"/>
      <c r="BL229" s="249"/>
      <c r="BM229" s="249"/>
      <c r="BN229" s="249"/>
      <c r="BO229" s="249"/>
      <c r="BP229" s="249"/>
      <c r="BQ229" s="249"/>
      <c r="BR229" s="249"/>
      <c r="BS229" s="249"/>
      <c r="BT229" s="249"/>
      <c r="BU229" s="249"/>
      <c r="BV229" s="249"/>
    </row>
    <row r="230" spans="1:74" s="174" customFormat="1" ht="70.150000000000006" customHeight="1">
      <c r="A230" s="103">
        <v>231</v>
      </c>
      <c r="B230" s="132" t="s">
        <v>1463</v>
      </c>
      <c r="C230" s="101" t="s">
        <v>1305</v>
      </c>
      <c r="D230" s="102" t="s">
        <v>53</v>
      </c>
      <c r="E230" s="102" t="s">
        <v>54</v>
      </c>
      <c r="F230" s="95"/>
      <c r="G230" s="95"/>
      <c r="H230" s="95"/>
      <c r="I230" s="95"/>
      <c r="J230" s="133" t="s">
        <v>1458</v>
      </c>
      <c r="K230" s="256" t="s">
        <v>1464</v>
      </c>
      <c r="L230" s="232" t="s">
        <v>4209</v>
      </c>
      <c r="M230" s="171" t="s">
        <v>1465</v>
      </c>
      <c r="N230" s="104" t="s">
        <v>1466</v>
      </c>
      <c r="O230" s="105" t="s">
        <v>1467</v>
      </c>
      <c r="P230" s="106" t="s">
        <v>516</v>
      </c>
      <c r="Q230" s="106" t="s">
        <v>517</v>
      </c>
      <c r="R230" s="134">
        <v>9495929260</v>
      </c>
      <c r="S230" s="106" t="s">
        <v>1076</v>
      </c>
      <c r="T230" s="135"/>
      <c r="U230" s="144" t="s">
        <v>1468</v>
      </c>
      <c r="V230" s="144" t="s">
        <v>1468</v>
      </c>
      <c r="W230" s="144" t="s">
        <v>98</v>
      </c>
      <c r="X230" s="176"/>
      <c r="Y230" s="145"/>
      <c r="Z230" s="136"/>
      <c r="AA230" s="136"/>
      <c r="AB230" s="136"/>
      <c r="AC230" s="136"/>
      <c r="AD230" s="222"/>
      <c r="AE230" s="244"/>
      <c r="AF230" s="232"/>
      <c r="AG230" s="232"/>
      <c r="AH230" s="232"/>
      <c r="AI230" s="232">
        <f>COUNTA('All Details for ACID Pastor'!$U230:$AB230)</f>
        <v>3</v>
      </c>
      <c r="AJ230" s="232"/>
      <c r="AK230" s="232"/>
      <c r="AL230" s="232"/>
      <c r="AM230" s="232"/>
      <c r="AN230" s="232"/>
      <c r="AO230" s="232"/>
      <c r="AP230" s="232"/>
      <c r="AQ230" s="232"/>
      <c r="AR230" s="232"/>
      <c r="AS230" s="232"/>
      <c r="AT230" s="232"/>
      <c r="AU230" s="232"/>
      <c r="AV230" s="232"/>
      <c r="AW230" s="233"/>
      <c r="AX230" s="233"/>
      <c r="AY230" s="244"/>
      <c r="AZ230" s="232" t="s">
        <v>139</v>
      </c>
      <c r="BA230" s="233"/>
      <c r="BB230" s="233"/>
      <c r="BC230" s="233"/>
      <c r="BD230" s="244"/>
      <c r="BE230" s="277"/>
      <c r="BF230" s="233">
        <f>COUNTA('All Details for ACID Pastor'!$T230:$AB230)</f>
        <v>3</v>
      </c>
      <c r="BG230" s="249"/>
      <c r="BH230" s="249"/>
      <c r="BI230" s="249"/>
      <c r="BJ230" s="249"/>
      <c r="BK230" s="249"/>
      <c r="BL230" s="249"/>
      <c r="BM230" s="249"/>
      <c r="BN230" s="249"/>
      <c r="BO230" s="249"/>
      <c r="BP230" s="249"/>
      <c r="BQ230" s="249"/>
      <c r="BR230" s="249"/>
      <c r="BS230" s="249"/>
      <c r="BT230" s="249"/>
      <c r="BU230" s="249"/>
      <c r="BV230" s="249"/>
    </row>
    <row r="231" spans="1:74" s="174" customFormat="1" ht="70.150000000000006" customHeight="1">
      <c r="A231" s="103">
        <v>232</v>
      </c>
      <c r="B231" s="132" t="s">
        <v>1469</v>
      </c>
      <c r="C231" s="101" t="s">
        <v>1470</v>
      </c>
      <c r="D231" s="102" t="s">
        <v>53</v>
      </c>
      <c r="E231" s="102" t="s">
        <v>54</v>
      </c>
      <c r="F231" s="95"/>
      <c r="G231" s="95"/>
      <c r="H231" s="95"/>
      <c r="I231" s="95"/>
      <c r="J231" s="133" t="s">
        <v>1458</v>
      </c>
      <c r="K231" s="256" t="s">
        <v>1471</v>
      </c>
      <c r="L231" s="232" t="s">
        <v>4209</v>
      </c>
      <c r="M231" s="171"/>
      <c r="N231" s="104" t="s">
        <v>1472</v>
      </c>
      <c r="O231" s="105" t="s">
        <v>1473</v>
      </c>
      <c r="P231" s="106" t="s">
        <v>516</v>
      </c>
      <c r="Q231" s="106" t="s">
        <v>517</v>
      </c>
      <c r="R231" s="134">
        <v>9497797327</v>
      </c>
      <c r="S231" s="106" t="s">
        <v>1076</v>
      </c>
      <c r="T231" s="135"/>
      <c r="U231" s="144" t="s">
        <v>1468</v>
      </c>
      <c r="V231" s="144" t="s">
        <v>1468</v>
      </c>
      <c r="W231" s="176"/>
      <c r="X231" s="176"/>
      <c r="Y231" s="145"/>
      <c r="Z231" s="136"/>
      <c r="AA231" s="136"/>
      <c r="AB231" s="136"/>
      <c r="AC231" s="136"/>
      <c r="AD231" s="222"/>
      <c r="AE231" s="240"/>
      <c r="AF231" s="232"/>
      <c r="AG231" s="232"/>
      <c r="AH231" s="232"/>
      <c r="AI231" s="232">
        <f>COUNTA('All Details for ACID Pastor'!$U231:$AB231)</f>
        <v>2</v>
      </c>
      <c r="AJ231" s="232"/>
      <c r="AK231" s="232"/>
      <c r="AL231" s="232"/>
      <c r="AM231" s="232"/>
      <c r="AN231" s="232"/>
      <c r="AO231" s="232"/>
      <c r="AP231" s="232"/>
      <c r="AQ231" s="232"/>
      <c r="AR231" s="232"/>
      <c r="AS231" s="232"/>
      <c r="AT231" s="232"/>
      <c r="AU231" s="232"/>
      <c r="AV231" s="232"/>
      <c r="AW231" s="233"/>
      <c r="AX231" s="233"/>
      <c r="AY231" s="244"/>
      <c r="AZ231" s="232" t="s">
        <v>139</v>
      </c>
      <c r="BA231" s="233"/>
      <c r="BB231" s="233"/>
      <c r="BC231" s="233"/>
      <c r="BD231" s="244"/>
      <c r="BE231" s="277"/>
      <c r="BF231" s="233">
        <f>COUNTA('All Details for ACID Pastor'!$T231:$AB231)</f>
        <v>2</v>
      </c>
      <c r="BG231" s="249"/>
      <c r="BH231" s="249"/>
      <c r="BI231" s="249"/>
      <c r="BJ231" s="249"/>
      <c r="BK231" s="249"/>
      <c r="BL231" s="249"/>
      <c r="BM231" s="249"/>
      <c r="BN231" s="249"/>
      <c r="BO231" s="249"/>
      <c r="BP231" s="249"/>
      <c r="BQ231" s="249"/>
      <c r="BR231" s="249"/>
      <c r="BS231" s="249"/>
      <c r="BT231" s="249"/>
      <c r="BU231" s="249"/>
      <c r="BV231" s="249"/>
    </row>
    <row r="232" spans="1:74" ht="70.150000000000006" customHeight="1">
      <c r="A232" s="107">
        <v>233</v>
      </c>
      <c r="B232" s="124" t="s">
        <v>1474</v>
      </c>
      <c r="C232" s="90" t="s">
        <v>1475</v>
      </c>
      <c r="D232" s="95" t="s">
        <v>53</v>
      </c>
      <c r="E232" s="95" t="s">
        <v>54</v>
      </c>
      <c r="F232" s="95"/>
      <c r="G232" s="95"/>
      <c r="H232" s="95"/>
      <c r="I232" s="95"/>
      <c r="J232" s="115" t="s">
        <v>1458</v>
      </c>
      <c r="K232" s="193" t="s">
        <v>1476</v>
      </c>
      <c r="L232" s="121" t="s">
        <v>4209</v>
      </c>
      <c r="M232" s="172"/>
      <c r="N232" s="93" t="s">
        <v>1477</v>
      </c>
      <c r="O232" s="92" t="s">
        <v>1478</v>
      </c>
      <c r="P232" s="88" t="s">
        <v>1479</v>
      </c>
      <c r="Q232" s="88" t="s">
        <v>517</v>
      </c>
      <c r="R232" s="86">
        <v>9495651176</v>
      </c>
      <c r="S232" s="88" t="s">
        <v>1076</v>
      </c>
      <c r="T232" s="94"/>
      <c r="U232" s="125" t="s">
        <v>1468</v>
      </c>
      <c r="V232" s="125" t="s">
        <v>1468</v>
      </c>
      <c r="W232" s="125" t="s">
        <v>98</v>
      </c>
      <c r="X232" s="125" t="s">
        <v>78</v>
      </c>
      <c r="Y232" s="126" t="s">
        <v>79</v>
      </c>
      <c r="Z232" s="131"/>
      <c r="AA232" s="131"/>
      <c r="AB232" s="131"/>
      <c r="AC232" s="131"/>
      <c r="AD232" s="127"/>
      <c r="AF232" s="121"/>
      <c r="AG232" s="121"/>
      <c r="AH232" s="121"/>
      <c r="AI232" s="121">
        <f>COUNTA('All Details for ACID Pastor'!$U232:$AB232)</f>
        <v>5</v>
      </c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63"/>
      <c r="AX232" s="163"/>
      <c r="AZ232" s="121" t="s">
        <v>49</v>
      </c>
      <c r="BA232" s="163"/>
      <c r="BB232" s="163"/>
      <c r="BC232" s="163"/>
      <c r="BF232" s="163">
        <f>COUNTA('All Details for ACID Pastor'!$T232:$AB232)</f>
        <v>5</v>
      </c>
    </row>
    <row r="233" spans="1:74" ht="70.150000000000006" customHeight="1">
      <c r="A233" s="107">
        <v>234</v>
      </c>
      <c r="B233" s="124" t="s">
        <v>1480</v>
      </c>
      <c r="C233" s="90" t="s">
        <v>1481</v>
      </c>
      <c r="D233" s="95" t="s">
        <v>53</v>
      </c>
      <c r="E233" s="95" t="s">
        <v>54</v>
      </c>
      <c r="F233" s="95"/>
      <c r="G233" s="95"/>
      <c r="H233" s="95"/>
      <c r="I233" s="95"/>
      <c r="J233" s="115" t="s">
        <v>922</v>
      </c>
      <c r="K233" s="193" t="s">
        <v>1482</v>
      </c>
      <c r="L233" s="121"/>
      <c r="M233" s="172"/>
      <c r="N233" s="93" t="s">
        <v>1483</v>
      </c>
      <c r="O233" s="92" t="s">
        <v>1484</v>
      </c>
      <c r="P233" s="88" t="s">
        <v>86</v>
      </c>
      <c r="Q233" s="88" t="s">
        <v>48</v>
      </c>
      <c r="R233" s="86">
        <v>8124787307</v>
      </c>
      <c r="S233" s="88" t="s">
        <v>1076</v>
      </c>
      <c r="T233" s="94"/>
      <c r="U233" s="125" t="s">
        <v>215</v>
      </c>
      <c r="V233" s="125" t="s">
        <v>215</v>
      </c>
      <c r="W233" s="140"/>
      <c r="X233" s="140"/>
      <c r="Y233" s="141"/>
      <c r="Z233" s="131"/>
      <c r="AA233" s="131"/>
      <c r="AB233" s="131"/>
      <c r="AC233" s="131"/>
      <c r="AD233" s="127"/>
      <c r="AF233" s="121"/>
      <c r="AG233" s="121"/>
      <c r="AH233" s="121"/>
      <c r="AI233" s="121">
        <f>COUNTA('All Details for ACID Pastor'!$U233:$AB233)</f>
        <v>2</v>
      </c>
      <c r="AJ233" s="121"/>
      <c r="AK233" s="121"/>
      <c r="AL233" s="121"/>
      <c r="AM233" s="121"/>
      <c r="AN233" s="121"/>
      <c r="AO233" s="121"/>
      <c r="AP233" s="121"/>
      <c r="AQ233" s="121"/>
      <c r="AR233" s="121"/>
      <c r="AS233" s="121"/>
      <c r="AT233" s="121"/>
      <c r="AU233" s="121"/>
      <c r="AV233" s="121"/>
      <c r="AW233" s="163"/>
      <c r="AX233" s="163"/>
      <c r="AZ233" s="121" t="s">
        <v>139</v>
      </c>
      <c r="BA233" s="163"/>
      <c r="BB233" s="163"/>
      <c r="BC233" s="163"/>
      <c r="BF233" s="163">
        <f>COUNTA('All Details for ACID Pastor'!$T233:$AB233)</f>
        <v>2</v>
      </c>
    </row>
    <row r="234" spans="1:74" ht="70.150000000000006" customHeight="1">
      <c r="A234" s="107">
        <v>235</v>
      </c>
      <c r="B234" s="124" t="s">
        <v>1485</v>
      </c>
      <c r="C234" s="90" t="s">
        <v>1486</v>
      </c>
      <c r="D234" s="95" t="s">
        <v>53</v>
      </c>
      <c r="E234" s="95" t="s">
        <v>54</v>
      </c>
      <c r="F234" s="95"/>
      <c r="G234" s="95"/>
      <c r="H234" s="95"/>
      <c r="I234" s="95"/>
      <c r="J234" s="115" t="s">
        <v>922</v>
      </c>
      <c r="K234" s="193" t="s">
        <v>1487</v>
      </c>
      <c r="L234" s="121"/>
      <c r="M234" s="172" t="s">
        <v>1488</v>
      </c>
      <c r="N234" s="93" t="s">
        <v>1489</v>
      </c>
      <c r="O234" s="92" t="s">
        <v>1490</v>
      </c>
      <c r="P234" s="88" t="s">
        <v>786</v>
      </c>
      <c r="Q234" s="88" t="s">
        <v>48</v>
      </c>
      <c r="R234" s="86">
        <v>9842129012</v>
      </c>
      <c r="S234" s="88" t="s">
        <v>1076</v>
      </c>
      <c r="T234" s="94"/>
      <c r="U234" s="140"/>
      <c r="V234" s="140"/>
      <c r="W234" s="140"/>
      <c r="X234" s="140"/>
      <c r="Y234" s="141"/>
      <c r="Z234" s="131"/>
      <c r="AA234" s="131"/>
      <c r="AB234" s="131"/>
      <c r="AC234" s="131"/>
      <c r="AD234" s="127"/>
      <c r="AF234" s="121"/>
      <c r="AG234" s="121"/>
      <c r="AH234" s="121"/>
      <c r="AI234" s="121">
        <f>COUNTA('All Details for ACID Pastor'!$U234:$AB234)</f>
        <v>0</v>
      </c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63"/>
      <c r="AX234" s="163"/>
      <c r="AZ234" s="121" t="s">
        <v>139</v>
      </c>
      <c r="BA234" s="163"/>
      <c r="BB234" s="163"/>
      <c r="BC234" s="163"/>
      <c r="BF234" s="163">
        <f>COUNTA('All Details for ACID Pastor'!$T234:$AB234)</f>
        <v>0</v>
      </c>
    </row>
    <row r="235" spans="1:74" ht="70.150000000000006" customHeight="1">
      <c r="A235" s="107">
        <v>236</v>
      </c>
      <c r="B235" s="124" t="s">
        <v>1491</v>
      </c>
      <c r="C235" s="90" t="s">
        <v>1492</v>
      </c>
      <c r="D235" s="95" t="s">
        <v>53</v>
      </c>
      <c r="E235" s="95" t="s">
        <v>54</v>
      </c>
      <c r="F235" s="95"/>
      <c r="G235" s="95"/>
      <c r="H235" s="95"/>
      <c r="I235" s="95"/>
      <c r="J235" s="115" t="s">
        <v>1493</v>
      </c>
      <c r="K235" s="193" t="s">
        <v>1494</v>
      </c>
      <c r="L235" s="121"/>
      <c r="M235" s="172"/>
      <c r="N235" s="93" t="s">
        <v>1495</v>
      </c>
      <c r="O235" s="92" t="s">
        <v>1496</v>
      </c>
      <c r="P235" s="88" t="s">
        <v>626</v>
      </c>
      <c r="Q235" s="88" t="s">
        <v>626</v>
      </c>
      <c r="R235" s="86">
        <v>7708353919</v>
      </c>
      <c r="S235" s="88" t="s">
        <v>1076</v>
      </c>
      <c r="T235" s="94"/>
      <c r="U235" s="125" t="s">
        <v>119</v>
      </c>
      <c r="V235" s="125" t="s">
        <v>77</v>
      </c>
      <c r="W235" s="125" t="s">
        <v>184</v>
      </c>
      <c r="X235" s="125" t="s">
        <v>78</v>
      </c>
      <c r="Y235" s="126" t="s">
        <v>79</v>
      </c>
      <c r="Z235" s="131"/>
      <c r="AA235" s="131"/>
      <c r="AB235" s="131"/>
      <c r="AC235" s="131"/>
      <c r="AD235" s="127"/>
      <c r="AE235" s="244"/>
      <c r="AF235" s="121"/>
      <c r="AG235" s="121"/>
      <c r="AH235" s="121"/>
      <c r="AI235" s="121">
        <f>COUNTA('All Details for ACID Pastor'!$U235:$AB235)</f>
        <v>5</v>
      </c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63"/>
      <c r="AX235" s="163"/>
      <c r="AZ235" s="121" t="s">
        <v>49</v>
      </c>
      <c r="BA235" s="163"/>
      <c r="BB235" s="163"/>
      <c r="BC235" s="163"/>
      <c r="BF235" s="163">
        <f>COUNTA('All Details for ACID Pastor'!$T235:$AB235)</f>
        <v>5</v>
      </c>
    </row>
    <row r="236" spans="1:74" s="174" customFormat="1" ht="70.150000000000006" customHeight="1">
      <c r="A236" s="103">
        <v>237</v>
      </c>
      <c r="B236" s="132" t="s">
        <v>1497</v>
      </c>
      <c r="C236" s="101" t="s">
        <v>1498</v>
      </c>
      <c r="D236" s="102" t="s">
        <v>53</v>
      </c>
      <c r="E236" s="102" t="s">
        <v>54</v>
      </c>
      <c r="F236" s="95"/>
      <c r="G236" s="95"/>
      <c r="H236" s="95"/>
      <c r="I236" s="95"/>
      <c r="J236" s="133" t="s">
        <v>1499</v>
      </c>
      <c r="K236" s="256" t="s">
        <v>1500</v>
      </c>
      <c r="L236" s="232" t="s">
        <v>4209</v>
      </c>
      <c r="M236" s="171"/>
      <c r="N236" s="104" t="s">
        <v>1501</v>
      </c>
      <c r="O236" s="105" t="s">
        <v>1502</v>
      </c>
      <c r="P236" s="106" t="s">
        <v>1010</v>
      </c>
      <c r="Q236" s="106" t="s">
        <v>48</v>
      </c>
      <c r="R236" s="134">
        <v>9655845536</v>
      </c>
      <c r="S236" s="106" t="s">
        <v>1076</v>
      </c>
      <c r="T236" s="135"/>
      <c r="U236" s="144" t="s">
        <v>119</v>
      </c>
      <c r="V236" s="144" t="s">
        <v>1003</v>
      </c>
      <c r="W236" s="144" t="s">
        <v>98</v>
      </c>
      <c r="X236" s="144" t="s">
        <v>1004</v>
      </c>
      <c r="Y236" s="145"/>
      <c r="Z236" s="136"/>
      <c r="AA236" s="136"/>
      <c r="AB236" s="136"/>
      <c r="AC236" s="136"/>
      <c r="AD236" s="222"/>
      <c r="AE236" s="240"/>
      <c r="AF236" s="232"/>
      <c r="AG236" s="232"/>
      <c r="AH236" s="232"/>
      <c r="AI236" s="232">
        <f>COUNTA('All Details for ACID Pastor'!$U236:$AB236)</f>
        <v>4</v>
      </c>
      <c r="AJ236" s="232"/>
      <c r="AK236" s="232"/>
      <c r="AL236" s="232"/>
      <c r="AM236" s="232"/>
      <c r="AN236" s="232"/>
      <c r="AO236" s="232"/>
      <c r="AP236" s="232"/>
      <c r="AQ236" s="232"/>
      <c r="AR236" s="232"/>
      <c r="AS236" s="232"/>
      <c r="AT236" s="232"/>
      <c r="AU236" s="232"/>
      <c r="AV236" s="232"/>
      <c r="AW236" s="233"/>
      <c r="AX236" s="233"/>
      <c r="AY236" s="244"/>
      <c r="AZ236" s="232" t="s">
        <v>139</v>
      </c>
      <c r="BA236" s="233"/>
      <c r="BB236" s="233"/>
      <c r="BC236" s="233"/>
      <c r="BD236" s="244"/>
      <c r="BE236" s="277"/>
      <c r="BF236" s="233">
        <f>COUNTA('All Details for ACID Pastor'!$T236:$AB236)</f>
        <v>4</v>
      </c>
      <c r="BG236" s="249"/>
      <c r="BH236" s="249"/>
      <c r="BI236" s="249"/>
      <c r="BJ236" s="249"/>
      <c r="BK236" s="249"/>
      <c r="BL236" s="249"/>
      <c r="BM236" s="249"/>
      <c r="BN236" s="249"/>
      <c r="BO236" s="249"/>
      <c r="BP236" s="249"/>
      <c r="BQ236" s="249"/>
      <c r="BR236" s="249"/>
      <c r="BS236" s="249"/>
      <c r="BT236" s="249"/>
      <c r="BU236" s="249"/>
      <c r="BV236" s="249"/>
    </row>
    <row r="237" spans="1:74" ht="70.150000000000006" customHeight="1">
      <c r="A237" s="107">
        <v>238</v>
      </c>
      <c r="B237" s="124" t="s">
        <v>1503</v>
      </c>
      <c r="C237" s="90" t="s">
        <v>1504</v>
      </c>
      <c r="D237" s="95" t="s">
        <v>53</v>
      </c>
      <c r="E237" s="95" t="s">
        <v>54</v>
      </c>
      <c r="F237" s="95"/>
      <c r="G237" s="95"/>
      <c r="H237" s="95"/>
      <c r="I237" s="95"/>
      <c r="J237" s="115" t="s">
        <v>1140</v>
      </c>
      <c r="K237" s="193" t="s">
        <v>1505</v>
      </c>
      <c r="L237" s="121"/>
      <c r="M237" s="172" t="s">
        <v>1506</v>
      </c>
      <c r="N237" s="93" t="s">
        <v>1507</v>
      </c>
      <c r="O237" s="92" t="s">
        <v>1508</v>
      </c>
      <c r="P237" s="88" t="s">
        <v>1509</v>
      </c>
      <c r="Q237" s="88" t="s">
        <v>48</v>
      </c>
      <c r="R237" s="86">
        <v>9940154352</v>
      </c>
      <c r="S237" s="88" t="s">
        <v>1076</v>
      </c>
      <c r="T237" s="94"/>
      <c r="U237" s="125" t="s">
        <v>1218</v>
      </c>
      <c r="V237" s="125" t="s">
        <v>1218</v>
      </c>
      <c r="W237" s="140"/>
      <c r="X237" s="140"/>
      <c r="Y237" s="141"/>
      <c r="Z237" s="131"/>
      <c r="AA237" s="131"/>
      <c r="AB237" s="131"/>
      <c r="AC237" s="131"/>
      <c r="AD237" s="127"/>
      <c r="AF237" s="121"/>
      <c r="AG237" s="121"/>
      <c r="AH237" s="121"/>
      <c r="AI237" s="121">
        <f>COUNTA('All Details for ACID Pastor'!$U237:$AB237)</f>
        <v>2</v>
      </c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63"/>
      <c r="AX237" s="163"/>
      <c r="AZ237" s="121" t="s">
        <v>139</v>
      </c>
      <c r="BA237" s="163"/>
      <c r="BB237" s="163"/>
      <c r="BC237" s="163"/>
      <c r="BF237" s="163">
        <f>COUNTA('All Details for ACID Pastor'!$T237:$AB237)</f>
        <v>2</v>
      </c>
    </row>
    <row r="238" spans="1:74" ht="70.150000000000006" customHeight="1">
      <c r="A238" s="107">
        <v>239</v>
      </c>
      <c r="B238" s="124" t="s">
        <v>1510</v>
      </c>
      <c r="C238" s="90" t="s">
        <v>1511</v>
      </c>
      <c r="D238" s="95" t="s">
        <v>53</v>
      </c>
      <c r="E238" s="95" t="s">
        <v>54</v>
      </c>
      <c r="F238" s="95"/>
      <c r="G238" s="95"/>
      <c r="H238" s="95"/>
      <c r="I238" s="95"/>
      <c r="J238" s="115" t="s">
        <v>492</v>
      </c>
      <c r="K238" s="193" t="s">
        <v>1512</v>
      </c>
      <c r="L238" s="121"/>
      <c r="M238" s="172" t="s">
        <v>1513</v>
      </c>
      <c r="N238" s="93" t="s">
        <v>1514</v>
      </c>
      <c r="O238" s="92" t="s">
        <v>1515</v>
      </c>
      <c r="P238" s="88" t="s">
        <v>198</v>
      </c>
      <c r="Q238" s="88" t="s">
        <v>48</v>
      </c>
      <c r="R238" s="86">
        <v>8144603057</v>
      </c>
      <c r="S238" s="88" t="s">
        <v>1076</v>
      </c>
      <c r="T238" s="94"/>
      <c r="U238" s="125" t="s">
        <v>1516</v>
      </c>
      <c r="V238" s="125" t="s">
        <v>1516</v>
      </c>
      <c r="W238" s="140"/>
      <c r="X238" s="140"/>
      <c r="Y238" s="141"/>
      <c r="Z238" s="131"/>
      <c r="AA238" s="131"/>
      <c r="AB238" s="131"/>
      <c r="AC238" s="131"/>
      <c r="AD238" s="127"/>
      <c r="AF238" s="121"/>
      <c r="AG238" s="121"/>
      <c r="AH238" s="121"/>
      <c r="AI238" s="121">
        <f>COUNTA('All Details for ACID Pastor'!$U238:$AB238)</f>
        <v>2</v>
      </c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63"/>
      <c r="AX238" s="163"/>
      <c r="AZ238" s="121" t="s">
        <v>139</v>
      </c>
      <c r="BA238" s="163"/>
      <c r="BB238" s="163"/>
      <c r="BC238" s="163"/>
      <c r="BF238" s="163">
        <f>COUNTA('All Details for ACID Pastor'!$T238:$AB238)</f>
        <v>2</v>
      </c>
    </row>
    <row r="239" spans="1:74" ht="70.150000000000006" customHeight="1">
      <c r="A239" s="107">
        <v>240</v>
      </c>
      <c r="B239" s="124" t="s">
        <v>1517</v>
      </c>
      <c r="C239" s="90" t="s">
        <v>1518</v>
      </c>
      <c r="D239" s="95" t="s">
        <v>53</v>
      </c>
      <c r="E239" s="95" t="s">
        <v>54</v>
      </c>
      <c r="F239" s="95"/>
      <c r="G239" s="95"/>
      <c r="H239" s="95"/>
      <c r="I239" s="95"/>
      <c r="J239" s="115" t="s">
        <v>519</v>
      </c>
      <c r="K239" s="193" t="s">
        <v>1519</v>
      </c>
      <c r="L239" s="121" t="s">
        <v>4209</v>
      </c>
      <c r="M239" s="172"/>
      <c r="N239" s="93" t="s">
        <v>1520</v>
      </c>
      <c r="O239" s="92" t="s">
        <v>569</v>
      </c>
      <c r="P239" s="88" t="s">
        <v>642</v>
      </c>
      <c r="Q239" s="88" t="s">
        <v>517</v>
      </c>
      <c r="R239" s="86">
        <v>9745066451</v>
      </c>
      <c r="S239" s="88" t="s">
        <v>1076</v>
      </c>
      <c r="T239" s="94"/>
      <c r="U239" s="125" t="s">
        <v>119</v>
      </c>
      <c r="V239" s="125" t="s">
        <v>215</v>
      </c>
      <c r="W239" s="125" t="s">
        <v>215</v>
      </c>
      <c r="X239" s="125" t="s">
        <v>524</v>
      </c>
      <c r="Y239" s="126" t="s">
        <v>682</v>
      </c>
      <c r="Z239" s="126" t="s">
        <v>682</v>
      </c>
      <c r="AA239" s="126" t="s">
        <v>682</v>
      </c>
      <c r="AB239" s="146">
        <v>45321</v>
      </c>
      <c r="AC239" s="146">
        <v>45321</v>
      </c>
      <c r="AD239" s="150">
        <v>41669</v>
      </c>
      <c r="AF239" s="121"/>
      <c r="AG239" s="121"/>
      <c r="AH239" s="121"/>
      <c r="AI239" s="121">
        <f>COUNTA('All Details for ACID Pastor'!$U239:$AB239)</f>
        <v>8</v>
      </c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63"/>
      <c r="AX239" s="163"/>
      <c r="AZ239" s="121" t="s">
        <v>49</v>
      </c>
      <c r="BA239" s="163"/>
      <c r="BB239" s="163"/>
      <c r="BC239" s="163"/>
      <c r="BF239" s="163">
        <f>COUNTA('All Details for ACID Pastor'!$T239:$AB239)</f>
        <v>8</v>
      </c>
    </row>
    <row r="240" spans="1:74" s="209" customFormat="1" ht="70.150000000000006" customHeight="1">
      <c r="A240" s="121">
        <v>241</v>
      </c>
      <c r="B240" s="155" t="s">
        <v>1521</v>
      </c>
      <c r="C240" s="85" t="s">
        <v>1522</v>
      </c>
      <c r="D240" s="91" t="s">
        <v>53</v>
      </c>
      <c r="E240" s="95" t="s">
        <v>54</v>
      </c>
      <c r="F240" s="95"/>
      <c r="G240" s="95"/>
      <c r="H240" s="95"/>
      <c r="I240" s="95"/>
      <c r="J240" s="115" t="s">
        <v>1458</v>
      </c>
      <c r="K240" s="193" t="s">
        <v>1523</v>
      </c>
      <c r="L240" s="121"/>
      <c r="M240" s="193"/>
      <c r="N240" s="122" t="s">
        <v>1524</v>
      </c>
      <c r="O240" s="121" t="s">
        <v>1525</v>
      </c>
      <c r="P240" s="120" t="s">
        <v>1174</v>
      </c>
      <c r="Q240" s="120" t="s">
        <v>517</v>
      </c>
      <c r="R240" s="155">
        <v>9447115232</v>
      </c>
      <c r="S240" s="120" t="s">
        <v>1076</v>
      </c>
      <c r="T240" s="197"/>
      <c r="U240" s="125" t="s">
        <v>295</v>
      </c>
      <c r="V240" s="125" t="s">
        <v>295</v>
      </c>
      <c r="W240" s="140"/>
      <c r="X240" s="140"/>
      <c r="Y240" s="141"/>
      <c r="Z240" s="131"/>
      <c r="AA240" s="131"/>
      <c r="AB240" s="131"/>
      <c r="AC240" s="131"/>
      <c r="AD240" s="127"/>
      <c r="AE240" s="240"/>
      <c r="AF240" s="121"/>
      <c r="AG240" s="121"/>
      <c r="AH240" s="121"/>
      <c r="AI240" s="121">
        <f>COUNTA('All Details for ACID Pastor'!$U240:$AB240)</f>
        <v>2</v>
      </c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63"/>
      <c r="AX240" s="163"/>
      <c r="AY240" s="240"/>
      <c r="AZ240" s="121" t="s">
        <v>139</v>
      </c>
      <c r="BA240" s="163"/>
      <c r="BB240" s="163"/>
      <c r="BC240" s="163"/>
      <c r="BD240" s="240"/>
      <c r="BF240" s="163">
        <f>COUNTA('All Details for ACID Pastor'!$T240:$AB240)</f>
        <v>2</v>
      </c>
      <c r="BG240" s="240"/>
      <c r="BH240" s="240"/>
      <c r="BI240" s="240"/>
      <c r="BJ240" s="240"/>
      <c r="BK240" s="240"/>
      <c r="BL240" s="240"/>
      <c r="BM240" s="240"/>
      <c r="BN240" s="240"/>
      <c r="BO240" s="240"/>
      <c r="BP240" s="240"/>
      <c r="BQ240" s="240"/>
      <c r="BR240" s="240"/>
      <c r="BS240" s="240"/>
      <c r="BT240" s="240"/>
      <c r="BU240" s="240"/>
      <c r="BV240" s="240"/>
    </row>
    <row r="241" spans="1:16383" ht="70.150000000000006" customHeight="1">
      <c r="A241" s="97">
        <v>242</v>
      </c>
      <c r="B241" s="198" t="s">
        <v>1526</v>
      </c>
      <c r="C241" s="199" t="s">
        <v>1527</v>
      </c>
      <c r="D241" s="95" t="s">
        <v>53</v>
      </c>
      <c r="E241" s="95" t="s">
        <v>54</v>
      </c>
      <c r="F241" s="95"/>
      <c r="G241" s="95"/>
      <c r="H241" s="95"/>
      <c r="I241" s="95"/>
      <c r="J241" s="115" t="s">
        <v>1270</v>
      </c>
      <c r="K241" s="193" t="s">
        <v>1528</v>
      </c>
      <c r="L241" s="121"/>
      <c r="M241" s="172"/>
      <c r="N241" s="98" t="s">
        <v>1529</v>
      </c>
      <c r="O241" s="99" t="s">
        <v>1530</v>
      </c>
      <c r="P241" s="100" t="s">
        <v>503</v>
      </c>
      <c r="Q241" s="100" t="s">
        <v>48</v>
      </c>
      <c r="R241" s="89">
        <v>9751777664</v>
      </c>
      <c r="S241" s="100" t="s">
        <v>1076</v>
      </c>
      <c r="T241" s="94"/>
      <c r="U241" s="140"/>
      <c r="V241" s="140"/>
      <c r="W241" s="140"/>
      <c r="X241" s="140"/>
      <c r="Y241" s="141"/>
      <c r="Z241" s="131"/>
      <c r="AA241" s="131"/>
      <c r="AB241" s="131"/>
      <c r="AC241" s="131"/>
      <c r="AD241" s="127"/>
      <c r="AF241" s="121"/>
      <c r="AG241" s="121"/>
      <c r="AH241" s="121"/>
      <c r="AI241" s="121">
        <f>COUNTA('All Details for ACID Pastor'!$U241:$AB241)</f>
        <v>0</v>
      </c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63"/>
      <c r="AX241" s="163"/>
      <c r="AZ241" s="121" t="s">
        <v>139</v>
      </c>
      <c r="BA241" s="163"/>
      <c r="BB241" s="163"/>
      <c r="BC241" s="163"/>
      <c r="BF241" s="163">
        <f>COUNTA('All Details for ACID Pastor'!$T241:$AB241)</f>
        <v>0</v>
      </c>
      <c r="BG241" s="230"/>
      <c r="BH241" s="230"/>
      <c r="BI241" s="230"/>
      <c r="BJ241" s="230"/>
      <c r="BK241" s="230"/>
      <c r="BL241" s="230"/>
      <c r="BM241" s="230"/>
      <c r="BN241" s="230"/>
      <c r="BO241" s="230"/>
      <c r="BP241" s="230"/>
      <c r="BQ241" s="230"/>
      <c r="BR241" s="230"/>
      <c r="BS241" s="230"/>
      <c r="BT241" s="230"/>
      <c r="BU241" s="230"/>
      <c r="BV241" s="230"/>
      <c r="BW241" s="201"/>
      <c r="BX241" s="201"/>
      <c r="BY241" s="201"/>
      <c r="BZ241" s="201"/>
      <c r="CA241" s="201"/>
      <c r="CB241" s="201"/>
      <c r="CC241" s="201"/>
      <c r="CD241" s="201"/>
      <c r="CE241" s="201"/>
      <c r="CF241" s="201"/>
      <c r="CG241" s="201"/>
      <c r="CH241" s="201"/>
      <c r="CI241" s="201"/>
      <c r="CJ241" s="201"/>
      <c r="CK241" s="201"/>
      <c r="CL241" s="201"/>
      <c r="CM241" s="201"/>
      <c r="CN241" s="201"/>
      <c r="CO241" s="201"/>
      <c r="CP241" s="201"/>
      <c r="CQ241" s="201"/>
      <c r="CR241" s="201"/>
      <c r="CS241" s="201"/>
      <c r="CT241" s="201"/>
      <c r="CU241" s="201"/>
      <c r="CV241" s="201"/>
      <c r="CW241" s="201"/>
      <c r="CX241" s="201"/>
      <c r="CY241" s="201"/>
      <c r="CZ241" s="201"/>
      <c r="DA241" s="201"/>
      <c r="DB241" s="201"/>
      <c r="DC241" s="201"/>
      <c r="DD241" s="201"/>
      <c r="DE241" s="201"/>
      <c r="DF241" s="201"/>
      <c r="DG241" s="201"/>
      <c r="DH241" s="201"/>
      <c r="DI241" s="201"/>
      <c r="DJ241" s="201"/>
      <c r="DK241" s="201"/>
      <c r="DL241" s="201"/>
      <c r="DM241" s="201"/>
      <c r="DN241" s="201"/>
      <c r="DO241" s="201"/>
      <c r="DP241" s="201"/>
      <c r="DQ241" s="201"/>
      <c r="DR241" s="201"/>
      <c r="DS241" s="201"/>
      <c r="DT241" s="201"/>
      <c r="DU241" s="201"/>
      <c r="DV241" s="201"/>
      <c r="DW241" s="201"/>
      <c r="DX241" s="201"/>
      <c r="DY241" s="201"/>
      <c r="DZ241" s="201"/>
      <c r="EA241" s="201"/>
      <c r="EB241" s="201"/>
      <c r="EC241" s="201"/>
      <c r="ED241" s="201"/>
      <c r="EE241" s="201"/>
      <c r="EF241" s="201"/>
      <c r="EG241" s="201"/>
      <c r="EH241" s="201"/>
      <c r="EI241" s="201"/>
      <c r="EJ241" s="201"/>
      <c r="EK241" s="201"/>
      <c r="EL241" s="201"/>
      <c r="EM241" s="201"/>
      <c r="EN241" s="201"/>
      <c r="EO241" s="201"/>
      <c r="EP241" s="201"/>
      <c r="EQ241" s="201"/>
      <c r="ER241" s="201"/>
      <c r="ES241" s="201"/>
      <c r="ET241" s="201"/>
      <c r="EU241" s="201"/>
      <c r="EV241" s="201"/>
      <c r="EW241" s="201"/>
      <c r="EX241" s="201"/>
      <c r="EY241" s="201"/>
      <c r="EZ241" s="201"/>
      <c r="FA241" s="201"/>
      <c r="FB241" s="201"/>
      <c r="FC241" s="201"/>
      <c r="FD241" s="201"/>
      <c r="FE241" s="201"/>
      <c r="FF241" s="201"/>
      <c r="FG241" s="201"/>
      <c r="FH241" s="201"/>
      <c r="FI241" s="201"/>
      <c r="FJ241" s="201"/>
      <c r="FK241" s="201"/>
      <c r="FL241" s="201"/>
      <c r="FM241" s="201"/>
      <c r="FN241" s="201"/>
      <c r="FO241" s="201"/>
      <c r="FP241" s="201"/>
      <c r="FQ241" s="201"/>
      <c r="FR241" s="201"/>
      <c r="FS241" s="201"/>
      <c r="FT241" s="201"/>
      <c r="FU241" s="201"/>
      <c r="FV241" s="201"/>
      <c r="FW241" s="201"/>
      <c r="FX241" s="201"/>
      <c r="FY241" s="201"/>
      <c r="FZ241" s="201"/>
      <c r="GA241" s="201"/>
      <c r="GB241" s="201"/>
      <c r="GC241" s="201"/>
      <c r="GD241" s="201"/>
      <c r="GE241" s="201"/>
      <c r="GF241" s="201"/>
      <c r="GG241" s="201"/>
      <c r="GH241" s="201"/>
      <c r="GI241" s="201"/>
      <c r="GJ241" s="201"/>
      <c r="GK241" s="201"/>
      <c r="GL241" s="201"/>
      <c r="GM241" s="201"/>
      <c r="GN241" s="201"/>
      <c r="GO241" s="201"/>
      <c r="GP241" s="201"/>
      <c r="GQ241" s="201"/>
      <c r="GR241" s="201"/>
      <c r="GS241" s="201"/>
      <c r="GT241" s="201"/>
      <c r="GU241" s="201"/>
      <c r="GV241" s="201"/>
      <c r="GW241" s="201"/>
      <c r="GX241" s="201"/>
      <c r="GY241" s="201"/>
      <c r="GZ241" s="201"/>
      <c r="HA241" s="201"/>
      <c r="HB241" s="201"/>
      <c r="HC241" s="201"/>
      <c r="HD241" s="201"/>
      <c r="HE241" s="201"/>
      <c r="HF241" s="201"/>
      <c r="HG241" s="201"/>
      <c r="HH241" s="201"/>
      <c r="HI241" s="201"/>
      <c r="HJ241" s="201"/>
      <c r="HK241" s="201"/>
      <c r="HL241" s="201"/>
      <c r="HM241" s="201"/>
      <c r="HN241" s="201"/>
      <c r="HO241" s="201"/>
      <c r="HP241" s="201"/>
      <c r="HQ241" s="201"/>
      <c r="HR241" s="201"/>
      <c r="HS241" s="201"/>
      <c r="HT241" s="201"/>
      <c r="HU241" s="201"/>
      <c r="HV241" s="201"/>
      <c r="HW241" s="201"/>
      <c r="HX241" s="201"/>
      <c r="HY241" s="201"/>
      <c r="HZ241" s="201"/>
      <c r="IA241" s="201"/>
      <c r="IB241" s="201"/>
      <c r="IC241" s="201"/>
      <c r="ID241" s="201"/>
      <c r="IE241" s="201"/>
      <c r="IF241" s="201"/>
      <c r="IG241" s="201"/>
      <c r="IH241" s="201"/>
      <c r="II241" s="201"/>
      <c r="IJ241" s="201"/>
      <c r="IK241" s="201"/>
      <c r="IL241" s="201"/>
      <c r="IM241" s="201"/>
      <c r="IN241" s="201"/>
      <c r="IO241" s="201"/>
      <c r="IP241" s="201"/>
      <c r="IQ241" s="201"/>
      <c r="IR241" s="201"/>
      <c r="IS241" s="201"/>
      <c r="IT241" s="201"/>
      <c r="IU241" s="201"/>
      <c r="IV241" s="201"/>
      <c r="IW241" s="201"/>
      <c r="IX241" s="201"/>
      <c r="IY241" s="201"/>
      <c r="IZ241" s="201"/>
      <c r="JA241" s="201"/>
      <c r="JB241" s="201"/>
      <c r="JC241" s="201"/>
      <c r="JD241" s="201"/>
      <c r="JE241" s="201"/>
      <c r="JF241" s="201"/>
      <c r="JG241" s="201"/>
      <c r="JH241" s="201"/>
      <c r="JI241" s="201"/>
      <c r="JJ241" s="201"/>
      <c r="JK241" s="201"/>
      <c r="JL241" s="201"/>
      <c r="JM241" s="201"/>
      <c r="JN241" s="201"/>
      <c r="JO241" s="201"/>
      <c r="JP241" s="201"/>
      <c r="JQ241" s="201"/>
      <c r="JR241" s="201"/>
      <c r="JS241" s="201"/>
      <c r="JT241" s="201"/>
      <c r="JU241" s="201"/>
      <c r="JV241" s="201"/>
      <c r="JW241" s="201"/>
      <c r="JX241" s="201"/>
      <c r="JY241" s="201"/>
      <c r="JZ241" s="201"/>
      <c r="KA241" s="201"/>
      <c r="KB241" s="201"/>
      <c r="KC241" s="201"/>
      <c r="KD241" s="201"/>
      <c r="KE241" s="201"/>
      <c r="KF241" s="201"/>
      <c r="KG241" s="201"/>
      <c r="KH241" s="201"/>
      <c r="KI241" s="201"/>
      <c r="KJ241" s="201"/>
      <c r="KK241" s="201"/>
      <c r="KL241" s="201"/>
      <c r="KM241" s="201"/>
      <c r="KN241" s="201"/>
      <c r="KO241" s="201"/>
      <c r="KP241" s="201"/>
      <c r="KQ241" s="201"/>
      <c r="KR241" s="201"/>
      <c r="KS241" s="201"/>
      <c r="KT241" s="201"/>
      <c r="KU241" s="201"/>
      <c r="KV241" s="201"/>
      <c r="KW241" s="201"/>
      <c r="KX241" s="201"/>
      <c r="KY241" s="201"/>
      <c r="KZ241" s="201"/>
      <c r="LA241" s="201"/>
      <c r="LB241" s="201"/>
      <c r="LC241" s="201"/>
      <c r="LD241" s="201"/>
      <c r="LE241" s="201"/>
      <c r="LF241" s="201"/>
      <c r="LG241" s="201"/>
      <c r="LH241" s="201"/>
      <c r="LI241" s="201"/>
      <c r="LJ241" s="201"/>
      <c r="LK241" s="201"/>
      <c r="LL241" s="201"/>
      <c r="LM241" s="201"/>
      <c r="LN241" s="201"/>
      <c r="LO241" s="201"/>
      <c r="LP241" s="201"/>
      <c r="LQ241" s="201"/>
      <c r="LR241" s="201"/>
      <c r="LS241" s="201"/>
      <c r="LT241" s="201"/>
      <c r="LU241" s="201"/>
      <c r="LV241" s="201"/>
      <c r="LW241" s="201"/>
      <c r="LX241" s="201"/>
      <c r="LY241" s="201"/>
      <c r="LZ241" s="201"/>
      <c r="MA241" s="201"/>
      <c r="MB241" s="201"/>
      <c r="MC241" s="201"/>
      <c r="MD241" s="201"/>
      <c r="ME241" s="201"/>
      <c r="MF241" s="201"/>
      <c r="MG241" s="201"/>
      <c r="MH241" s="201"/>
      <c r="MI241" s="201"/>
      <c r="MJ241" s="201"/>
      <c r="MK241" s="201"/>
      <c r="ML241" s="201"/>
      <c r="MM241" s="201"/>
      <c r="MN241" s="201"/>
      <c r="MO241" s="201"/>
      <c r="MP241" s="201"/>
      <c r="MQ241" s="201"/>
      <c r="MR241" s="201"/>
      <c r="MS241" s="201"/>
      <c r="MT241" s="201"/>
      <c r="MU241" s="201"/>
      <c r="MV241" s="201"/>
      <c r="MW241" s="201"/>
      <c r="MX241" s="201"/>
      <c r="MY241" s="201"/>
      <c r="MZ241" s="201"/>
      <c r="NA241" s="201"/>
      <c r="NB241" s="201"/>
      <c r="NC241" s="201"/>
      <c r="ND241" s="201"/>
      <c r="NE241" s="201"/>
      <c r="NF241" s="201"/>
      <c r="NG241" s="201"/>
      <c r="NH241" s="201"/>
      <c r="NI241" s="201"/>
      <c r="NJ241" s="201"/>
      <c r="NK241" s="201"/>
      <c r="NL241" s="201"/>
      <c r="NM241" s="201"/>
      <c r="NN241" s="201"/>
      <c r="NO241" s="201"/>
      <c r="NP241" s="201"/>
      <c r="NQ241" s="201"/>
      <c r="NR241" s="201"/>
      <c r="NS241" s="201"/>
      <c r="NT241" s="201"/>
      <c r="NU241" s="201"/>
      <c r="NV241" s="201"/>
      <c r="NW241" s="201"/>
      <c r="NX241" s="201"/>
      <c r="NY241" s="201"/>
      <c r="NZ241" s="201"/>
      <c r="OA241" s="201"/>
      <c r="OB241" s="201"/>
      <c r="OC241" s="201"/>
      <c r="OD241" s="201"/>
      <c r="OE241" s="201"/>
      <c r="OF241" s="201"/>
      <c r="OG241" s="201"/>
      <c r="OH241" s="201"/>
      <c r="OI241" s="201"/>
      <c r="OJ241" s="201"/>
      <c r="OK241" s="201"/>
      <c r="OL241" s="201"/>
      <c r="OM241" s="201"/>
      <c r="ON241" s="201"/>
      <c r="OO241" s="201"/>
      <c r="OP241" s="201"/>
      <c r="OQ241" s="201"/>
      <c r="OR241" s="201"/>
      <c r="OS241" s="201"/>
      <c r="OT241" s="201"/>
      <c r="OU241" s="201"/>
      <c r="OV241" s="201"/>
      <c r="OW241" s="201"/>
      <c r="OX241" s="201"/>
      <c r="OY241" s="201"/>
      <c r="OZ241" s="201"/>
      <c r="PA241" s="201"/>
      <c r="PB241" s="201"/>
      <c r="PC241" s="201"/>
      <c r="PD241" s="201"/>
      <c r="PE241" s="201"/>
      <c r="PF241" s="201"/>
      <c r="PG241" s="201"/>
      <c r="PH241" s="201"/>
      <c r="PI241" s="201"/>
      <c r="PJ241" s="201"/>
      <c r="PK241" s="201"/>
      <c r="PL241" s="201"/>
      <c r="PM241" s="201"/>
      <c r="PN241" s="201"/>
      <c r="PO241" s="201"/>
      <c r="PP241" s="201"/>
      <c r="PQ241" s="201"/>
      <c r="PR241" s="201"/>
      <c r="PS241" s="201"/>
      <c r="PT241" s="201"/>
      <c r="PU241" s="201"/>
      <c r="PV241" s="201"/>
      <c r="PW241" s="201"/>
      <c r="PX241" s="201"/>
      <c r="PY241" s="201"/>
      <c r="PZ241" s="201"/>
      <c r="QA241" s="201"/>
      <c r="QB241" s="201"/>
      <c r="QC241" s="201"/>
      <c r="QD241" s="201"/>
      <c r="QE241" s="201"/>
      <c r="QF241" s="201"/>
      <c r="QG241" s="201"/>
      <c r="QH241" s="201"/>
      <c r="QI241" s="201"/>
      <c r="QJ241" s="201"/>
      <c r="QK241" s="201"/>
      <c r="QL241" s="201"/>
      <c r="QM241" s="201"/>
      <c r="QN241" s="201"/>
      <c r="QO241" s="201"/>
      <c r="QP241" s="201"/>
      <c r="QQ241" s="201"/>
      <c r="QR241" s="201"/>
      <c r="QS241" s="201"/>
      <c r="QT241" s="201"/>
      <c r="QU241" s="201"/>
      <c r="QV241" s="201"/>
      <c r="QW241" s="201"/>
      <c r="QX241" s="201"/>
      <c r="QY241" s="201"/>
      <c r="QZ241" s="201"/>
      <c r="RA241" s="201"/>
      <c r="RB241" s="201"/>
      <c r="RC241" s="201"/>
      <c r="RD241" s="201"/>
      <c r="RE241" s="201"/>
      <c r="RF241" s="201"/>
      <c r="RG241" s="201"/>
      <c r="RH241" s="201"/>
      <c r="RI241" s="201"/>
      <c r="RJ241" s="201"/>
      <c r="RK241" s="201"/>
      <c r="RL241" s="201"/>
      <c r="RM241" s="201"/>
      <c r="RN241" s="201"/>
      <c r="RO241" s="201"/>
      <c r="RP241" s="201"/>
      <c r="RQ241" s="201"/>
      <c r="RR241" s="201"/>
      <c r="RS241" s="201"/>
      <c r="RT241" s="201"/>
      <c r="RU241" s="201"/>
      <c r="RV241" s="201"/>
      <c r="RW241" s="201"/>
      <c r="RX241" s="201"/>
      <c r="RY241" s="201"/>
      <c r="RZ241" s="201"/>
      <c r="SA241" s="201"/>
      <c r="SB241" s="201"/>
      <c r="SC241" s="201"/>
      <c r="SD241" s="201"/>
      <c r="SE241" s="201"/>
      <c r="SF241" s="201"/>
      <c r="SG241" s="201"/>
      <c r="SH241" s="201"/>
      <c r="SI241" s="201"/>
      <c r="SJ241" s="201"/>
      <c r="SK241" s="201"/>
      <c r="SL241" s="201"/>
      <c r="SM241" s="201"/>
      <c r="SN241" s="201"/>
      <c r="SO241" s="201"/>
      <c r="SP241" s="201"/>
      <c r="SQ241" s="201"/>
      <c r="SR241" s="201"/>
      <c r="SS241" s="201"/>
      <c r="ST241" s="201"/>
      <c r="SU241" s="201"/>
      <c r="SV241" s="201"/>
      <c r="SW241" s="201"/>
      <c r="SX241" s="201"/>
      <c r="SY241" s="201"/>
      <c r="SZ241" s="201"/>
      <c r="TA241" s="201"/>
      <c r="TB241" s="201"/>
      <c r="TC241" s="201"/>
      <c r="TD241" s="201"/>
      <c r="TE241" s="201"/>
      <c r="TF241" s="201"/>
      <c r="TG241" s="201"/>
      <c r="TH241" s="201"/>
      <c r="TI241" s="201"/>
      <c r="TJ241" s="201"/>
      <c r="TK241" s="201"/>
      <c r="TL241" s="201"/>
      <c r="TM241" s="201"/>
      <c r="TN241" s="201"/>
      <c r="TO241" s="201"/>
      <c r="TP241" s="201"/>
      <c r="TQ241" s="201"/>
      <c r="TR241" s="201"/>
      <c r="TS241" s="201"/>
      <c r="TT241" s="201"/>
      <c r="TU241" s="201"/>
      <c r="TV241" s="201"/>
      <c r="TW241" s="201"/>
      <c r="TX241" s="201"/>
      <c r="TY241" s="201"/>
      <c r="TZ241" s="201"/>
      <c r="UA241" s="201"/>
      <c r="UB241" s="201"/>
      <c r="UC241" s="201"/>
      <c r="UD241" s="201"/>
      <c r="UE241" s="201"/>
      <c r="UF241" s="201"/>
      <c r="UG241" s="201"/>
      <c r="UH241" s="201"/>
      <c r="UI241" s="201"/>
      <c r="UJ241" s="201"/>
      <c r="UK241" s="201"/>
      <c r="UL241" s="201"/>
      <c r="UM241" s="201"/>
      <c r="UN241" s="201"/>
      <c r="UO241" s="201"/>
      <c r="UP241" s="201"/>
      <c r="UQ241" s="201"/>
      <c r="UR241" s="201"/>
      <c r="US241" s="201"/>
      <c r="UT241" s="201"/>
      <c r="UU241" s="201"/>
      <c r="UV241" s="201"/>
      <c r="UW241" s="201"/>
      <c r="UX241" s="201"/>
      <c r="UY241" s="201"/>
      <c r="UZ241" s="201"/>
      <c r="VA241" s="201"/>
      <c r="VB241" s="201"/>
      <c r="VC241" s="201"/>
      <c r="VD241" s="201"/>
      <c r="VE241" s="201"/>
      <c r="VF241" s="201"/>
      <c r="VG241" s="201"/>
      <c r="VH241" s="201"/>
      <c r="VI241" s="201"/>
      <c r="VJ241" s="201"/>
      <c r="VK241" s="201"/>
      <c r="VL241" s="201"/>
      <c r="VM241" s="201"/>
      <c r="VN241" s="201"/>
      <c r="VO241" s="201"/>
      <c r="VP241" s="201"/>
      <c r="VQ241" s="201"/>
      <c r="VR241" s="201"/>
      <c r="VS241" s="201"/>
      <c r="VT241" s="201"/>
      <c r="VU241" s="201"/>
      <c r="VV241" s="201"/>
      <c r="VW241" s="201"/>
      <c r="VX241" s="201"/>
      <c r="VY241" s="201"/>
      <c r="VZ241" s="201"/>
      <c r="WA241" s="201"/>
      <c r="WB241" s="201"/>
      <c r="WC241" s="201"/>
      <c r="WD241" s="201"/>
      <c r="WE241" s="201"/>
      <c r="WF241" s="201"/>
      <c r="WG241" s="201"/>
      <c r="WH241" s="201"/>
      <c r="WI241" s="201"/>
      <c r="WJ241" s="201"/>
      <c r="WK241" s="201"/>
      <c r="WL241" s="201"/>
      <c r="WM241" s="201"/>
      <c r="WN241" s="201"/>
      <c r="WO241" s="201"/>
      <c r="WP241" s="201"/>
      <c r="WQ241" s="201"/>
      <c r="WR241" s="201"/>
      <c r="WS241" s="201"/>
      <c r="WT241" s="201"/>
      <c r="WU241" s="201"/>
      <c r="WV241" s="201"/>
      <c r="WW241" s="201"/>
      <c r="WX241" s="201"/>
      <c r="WY241" s="201"/>
      <c r="WZ241" s="201"/>
      <c r="XA241" s="201"/>
      <c r="XB241" s="201"/>
      <c r="XC241" s="201"/>
      <c r="XD241" s="201"/>
      <c r="XE241" s="201"/>
      <c r="XF241" s="201"/>
      <c r="XG241" s="201"/>
      <c r="XH241" s="201"/>
      <c r="XI241" s="201"/>
      <c r="XJ241" s="201"/>
      <c r="XK241" s="201"/>
      <c r="XL241" s="201"/>
      <c r="XM241" s="201"/>
      <c r="XN241" s="201"/>
      <c r="XO241" s="201"/>
      <c r="XP241" s="201"/>
      <c r="XQ241" s="201"/>
      <c r="XR241" s="201"/>
      <c r="XS241" s="201"/>
      <c r="XT241" s="201"/>
      <c r="XU241" s="201"/>
      <c r="XV241" s="201"/>
      <c r="XW241" s="201"/>
      <c r="XX241" s="201"/>
      <c r="XY241" s="201"/>
      <c r="XZ241" s="201"/>
      <c r="YA241" s="201"/>
      <c r="YB241" s="201"/>
      <c r="YC241" s="201"/>
      <c r="YD241" s="201"/>
      <c r="YE241" s="201"/>
      <c r="YF241" s="201"/>
      <c r="YG241" s="201"/>
      <c r="YH241" s="201"/>
      <c r="YI241" s="201"/>
      <c r="YJ241" s="201"/>
      <c r="YK241" s="201"/>
      <c r="YL241" s="201"/>
      <c r="YM241" s="201"/>
      <c r="YN241" s="201"/>
      <c r="YO241" s="201"/>
      <c r="YP241" s="201"/>
      <c r="YQ241" s="201"/>
      <c r="YR241" s="201"/>
      <c r="YS241" s="201"/>
      <c r="YT241" s="201"/>
      <c r="YU241" s="201"/>
      <c r="YV241" s="201"/>
      <c r="YW241" s="201"/>
      <c r="YX241" s="201"/>
      <c r="YY241" s="201"/>
      <c r="YZ241" s="201"/>
      <c r="ZA241" s="201"/>
      <c r="ZB241" s="201"/>
      <c r="ZC241" s="201"/>
      <c r="ZD241" s="201"/>
      <c r="ZE241" s="201"/>
      <c r="ZF241" s="201"/>
      <c r="ZG241" s="201"/>
      <c r="ZH241" s="201"/>
      <c r="ZI241" s="201"/>
      <c r="ZJ241" s="201"/>
      <c r="ZK241" s="201"/>
      <c r="ZL241" s="201"/>
      <c r="ZM241" s="201"/>
      <c r="ZN241" s="201"/>
      <c r="ZO241" s="201"/>
      <c r="ZP241" s="201"/>
      <c r="ZQ241" s="201"/>
      <c r="ZR241" s="201"/>
      <c r="ZS241" s="201"/>
      <c r="ZT241" s="201"/>
      <c r="ZU241" s="201"/>
      <c r="ZV241" s="201"/>
      <c r="ZW241" s="201"/>
      <c r="ZX241" s="201"/>
      <c r="ZY241" s="201"/>
      <c r="ZZ241" s="201"/>
      <c r="AAA241" s="201"/>
      <c r="AAB241" s="201"/>
      <c r="AAC241" s="201"/>
      <c r="AAD241" s="201"/>
      <c r="AAE241" s="201"/>
      <c r="AAF241" s="201"/>
      <c r="AAG241" s="201"/>
      <c r="AAH241" s="201"/>
      <c r="AAI241" s="201"/>
      <c r="AAJ241" s="201"/>
      <c r="AAK241" s="201"/>
      <c r="AAL241" s="201"/>
      <c r="AAM241" s="201"/>
      <c r="AAN241" s="201"/>
      <c r="AAO241" s="201"/>
      <c r="AAP241" s="201"/>
      <c r="AAQ241" s="201"/>
      <c r="AAR241" s="201"/>
      <c r="AAS241" s="201"/>
      <c r="AAT241" s="201"/>
      <c r="AAU241" s="201"/>
      <c r="AAV241" s="201"/>
      <c r="AAW241" s="201"/>
      <c r="AAX241" s="201"/>
      <c r="AAY241" s="201"/>
      <c r="AAZ241" s="201"/>
      <c r="ABA241" s="201"/>
      <c r="ABB241" s="201"/>
      <c r="ABC241" s="201"/>
      <c r="ABD241" s="201"/>
      <c r="ABE241" s="201"/>
      <c r="ABF241" s="201"/>
      <c r="ABG241" s="201"/>
      <c r="ABH241" s="201"/>
      <c r="ABI241" s="201"/>
      <c r="ABJ241" s="201"/>
      <c r="ABK241" s="201"/>
      <c r="ABL241" s="201"/>
      <c r="ABM241" s="201"/>
      <c r="ABN241" s="201"/>
      <c r="ABO241" s="201"/>
      <c r="ABP241" s="201"/>
      <c r="ABQ241" s="201"/>
      <c r="ABR241" s="201"/>
      <c r="ABS241" s="201"/>
      <c r="ABT241" s="201"/>
      <c r="ABU241" s="201"/>
      <c r="ABV241" s="201"/>
      <c r="ABW241" s="201"/>
      <c r="ABX241" s="201"/>
      <c r="ABY241" s="201"/>
      <c r="ABZ241" s="201"/>
      <c r="ACA241" s="201"/>
      <c r="ACB241" s="201"/>
      <c r="ACC241" s="201"/>
      <c r="ACD241" s="201"/>
      <c r="ACE241" s="201"/>
      <c r="ACF241" s="201"/>
      <c r="ACG241" s="201"/>
      <c r="ACH241" s="201"/>
      <c r="ACI241" s="201"/>
      <c r="ACJ241" s="201"/>
      <c r="ACK241" s="201"/>
      <c r="ACL241" s="201"/>
      <c r="ACM241" s="201"/>
      <c r="ACN241" s="201"/>
      <c r="ACO241" s="201"/>
      <c r="ACP241" s="201"/>
      <c r="ACQ241" s="201"/>
      <c r="ACR241" s="201"/>
      <c r="ACS241" s="201"/>
      <c r="ACT241" s="201"/>
      <c r="ACU241" s="201"/>
      <c r="ACV241" s="201"/>
      <c r="ACW241" s="201"/>
      <c r="ACX241" s="201"/>
      <c r="ACY241" s="201"/>
      <c r="ACZ241" s="201"/>
      <c r="ADA241" s="201"/>
      <c r="ADB241" s="201"/>
      <c r="ADC241" s="201"/>
      <c r="ADD241" s="201"/>
      <c r="ADE241" s="201"/>
      <c r="ADF241" s="201"/>
      <c r="ADG241" s="201"/>
      <c r="ADH241" s="201"/>
      <c r="ADI241" s="201"/>
      <c r="ADJ241" s="201"/>
      <c r="ADK241" s="201"/>
      <c r="ADL241" s="201"/>
      <c r="ADM241" s="201"/>
      <c r="ADN241" s="201"/>
      <c r="ADO241" s="201"/>
      <c r="ADP241" s="201"/>
      <c r="ADQ241" s="201"/>
      <c r="ADR241" s="201"/>
      <c r="ADS241" s="201"/>
      <c r="ADT241" s="201"/>
      <c r="ADU241" s="201"/>
      <c r="ADV241" s="201"/>
      <c r="ADW241" s="201"/>
      <c r="ADX241" s="201"/>
      <c r="ADY241" s="201"/>
      <c r="ADZ241" s="201"/>
      <c r="AEA241" s="201"/>
      <c r="AEB241" s="201"/>
      <c r="AEC241" s="201"/>
      <c r="AED241" s="201"/>
      <c r="AEE241" s="201"/>
      <c r="AEF241" s="201"/>
      <c r="AEG241" s="201"/>
      <c r="AEH241" s="201"/>
      <c r="AEI241" s="201"/>
      <c r="AEJ241" s="201"/>
      <c r="AEK241" s="201"/>
      <c r="AEL241" s="201"/>
      <c r="AEM241" s="201"/>
      <c r="AEN241" s="201"/>
      <c r="AEO241" s="201"/>
      <c r="AEP241" s="201"/>
      <c r="AEQ241" s="201"/>
      <c r="AER241" s="201"/>
      <c r="AES241" s="201"/>
      <c r="AET241" s="201"/>
      <c r="AEU241" s="201"/>
      <c r="AEV241" s="201"/>
      <c r="AEW241" s="201"/>
      <c r="AEX241" s="201"/>
      <c r="AEY241" s="201"/>
      <c r="AEZ241" s="201"/>
      <c r="AFA241" s="201"/>
      <c r="AFB241" s="201"/>
      <c r="AFC241" s="201"/>
      <c r="AFD241" s="201"/>
      <c r="AFE241" s="201"/>
      <c r="AFF241" s="201"/>
      <c r="AFG241" s="201"/>
      <c r="AFH241" s="201"/>
      <c r="AFI241" s="201"/>
      <c r="AFJ241" s="201"/>
      <c r="AFK241" s="201"/>
      <c r="AFL241" s="201"/>
      <c r="AFM241" s="201"/>
      <c r="AFN241" s="201"/>
      <c r="AFO241" s="201"/>
      <c r="AFP241" s="201"/>
      <c r="AFQ241" s="201"/>
      <c r="AFR241" s="201"/>
      <c r="AFS241" s="201"/>
      <c r="AFT241" s="201"/>
      <c r="AFU241" s="201"/>
      <c r="AFV241" s="201"/>
      <c r="AFW241" s="201"/>
      <c r="AFX241" s="201"/>
      <c r="AFY241" s="201"/>
      <c r="AFZ241" s="201"/>
      <c r="AGA241" s="201"/>
      <c r="AGB241" s="201"/>
      <c r="AGC241" s="201"/>
      <c r="AGD241" s="201"/>
      <c r="AGE241" s="201"/>
      <c r="AGF241" s="201"/>
      <c r="AGG241" s="201"/>
      <c r="AGH241" s="201"/>
      <c r="AGI241" s="201"/>
      <c r="AGJ241" s="201"/>
      <c r="AGK241" s="201"/>
      <c r="AGL241" s="201"/>
      <c r="AGM241" s="201"/>
      <c r="AGN241" s="201"/>
      <c r="AGO241" s="201"/>
      <c r="AGP241" s="201"/>
      <c r="AGQ241" s="201"/>
      <c r="AGR241" s="201"/>
      <c r="AGS241" s="201"/>
      <c r="AGT241" s="201"/>
      <c r="AGU241" s="201"/>
      <c r="AGV241" s="201"/>
      <c r="AGW241" s="201"/>
      <c r="AGX241" s="201"/>
      <c r="AGY241" s="201"/>
      <c r="AGZ241" s="201"/>
      <c r="AHA241" s="201"/>
      <c r="AHB241" s="201"/>
      <c r="AHC241" s="201"/>
      <c r="AHD241" s="201"/>
      <c r="AHE241" s="201"/>
      <c r="AHF241" s="201"/>
      <c r="AHG241" s="201"/>
      <c r="AHH241" s="201"/>
      <c r="AHI241" s="201"/>
      <c r="AHJ241" s="201"/>
      <c r="AHK241" s="201"/>
      <c r="AHL241" s="201"/>
      <c r="AHM241" s="201"/>
      <c r="AHN241" s="201"/>
      <c r="AHO241" s="201"/>
      <c r="AHP241" s="201"/>
      <c r="AHQ241" s="201"/>
      <c r="AHR241" s="201"/>
      <c r="AHS241" s="201"/>
      <c r="AHT241" s="201"/>
      <c r="AHU241" s="201"/>
      <c r="AHV241" s="201"/>
      <c r="AHW241" s="201"/>
      <c r="AHX241" s="201"/>
      <c r="AHY241" s="201"/>
      <c r="AHZ241" s="201"/>
      <c r="AIA241" s="201"/>
      <c r="AIB241" s="201"/>
      <c r="AIC241" s="201"/>
      <c r="AID241" s="201"/>
      <c r="AIE241" s="201"/>
      <c r="AIF241" s="201"/>
      <c r="AIG241" s="201"/>
      <c r="AIH241" s="201"/>
      <c r="AII241" s="201"/>
      <c r="AIJ241" s="201"/>
      <c r="AIK241" s="201"/>
      <c r="AIL241" s="201"/>
      <c r="AIM241" s="201"/>
      <c r="AIN241" s="201"/>
      <c r="AIO241" s="201"/>
      <c r="AIP241" s="201"/>
      <c r="AIQ241" s="201"/>
      <c r="AIR241" s="201"/>
      <c r="AIS241" s="201"/>
      <c r="AIT241" s="201"/>
      <c r="AIU241" s="201"/>
      <c r="AIV241" s="201"/>
      <c r="AIW241" s="201"/>
      <c r="AIX241" s="201"/>
      <c r="AIY241" s="201"/>
      <c r="AIZ241" s="201"/>
      <c r="AJA241" s="201"/>
      <c r="AJB241" s="201"/>
      <c r="AJC241" s="201"/>
      <c r="AJD241" s="201"/>
      <c r="AJE241" s="201"/>
      <c r="AJF241" s="201"/>
      <c r="AJG241" s="201"/>
      <c r="AJH241" s="201"/>
      <c r="AJI241" s="201"/>
      <c r="AJJ241" s="201"/>
      <c r="AJK241" s="201"/>
      <c r="AJL241" s="201"/>
      <c r="AJM241" s="201"/>
      <c r="AJN241" s="201"/>
      <c r="AJO241" s="201"/>
      <c r="AJP241" s="201"/>
      <c r="AJQ241" s="201"/>
      <c r="AJR241" s="201"/>
      <c r="AJS241" s="201"/>
      <c r="AJT241" s="201"/>
      <c r="AJU241" s="201"/>
      <c r="AJV241" s="201"/>
      <c r="AJW241" s="201"/>
      <c r="AJX241" s="201"/>
      <c r="AJY241" s="201"/>
      <c r="AJZ241" s="201"/>
      <c r="AKA241" s="201"/>
      <c r="AKB241" s="201"/>
      <c r="AKC241" s="201"/>
      <c r="AKD241" s="201"/>
      <c r="AKE241" s="201"/>
      <c r="AKF241" s="201"/>
      <c r="AKG241" s="201"/>
      <c r="AKH241" s="201"/>
      <c r="AKI241" s="201"/>
      <c r="AKJ241" s="201"/>
      <c r="AKK241" s="201"/>
      <c r="AKL241" s="201"/>
      <c r="AKM241" s="201"/>
      <c r="AKN241" s="201"/>
      <c r="AKO241" s="201"/>
      <c r="AKP241" s="201"/>
      <c r="AKQ241" s="201"/>
      <c r="AKR241" s="201"/>
      <c r="AKS241" s="201"/>
      <c r="AKT241" s="201"/>
      <c r="AKU241" s="201"/>
      <c r="AKV241" s="201"/>
      <c r="AKW241" s="201"/>
      <c r="AKX241" s="201"/>
      <c r="AKY241" s="201"/>
      <c r="AKZ241" s="201"/>
      <c r="ALA241" s="201"/>
      <c r="ALB241" s="201"/>
      <c r="ALC241" s="201"/>
      <c r="ALD241" s="201"/>
      <c r="ALE241" s="201"/>
      <c r="ALF241" s="201"/>
      <c r="ALG241" s="201"/>
      <c r="ALH241" s="201"/>
      <c r="ALI241" s="201"/>
      <c r="ALJ241" s="201"/>
      <c r="ALK241" s="201"/>
      <c r="ALL241" s="201"/>
      <c r="ALM241" s="201"/>
      <c r="ALN241" s="201"/>
      <c r="ALO241" s="201"/>
      <c r="ALP241" s="201"/>
      <c r="ALQ241" s="201"/>
      <c r="ALR241" s="201"/>
      <c r="ALS241" s="201"/>
      <c r="ALT241" s="201"/>
      <c r="ALU241" s="201"/>
      <c r="ALV241" s="201"/>
      <c r="ALW241" s="201"/>
      <c r="ALX241" s="201"/>
      <c r="ALY241" s="201"/>
      <c r="ALZ241" s="201"/>
      <c r="AMA241" s="201"/>
      <c r="AMB241" s="201"/>
      <c r="AMC241" s="201"/>
      <c r="AMD241" s="201"/>
      <c r="AME241" s="201"/>
      <c r="AMF241" s="201"/>
      <c r="AMG241" s="201"/>
      <c r="AMH241" s="201"/>
      <c r="AMI241" s="201"/>
      <c r="AMJ241" s="201"/>
      <c r="AMK241" s="201"/>
      <c r="AML241" s="201"/>
      <c r="AMM241" s="201"/>
      <c r="AMN241" s="201"/>
      <c r="AMO241" s="201"/>
      <c r="AMP241" s="201"/>
      <c r="AMQ241" s="201"/>
      <c r="AMR241" s="201"/>
      <c r="AMS241" s="201"/>
      <c r="AMT241" s="201"/>
      <c r="AMU241" s="201"/>
      <c r="AMV241" s="201"/>
      <c r="AMW241" s="201"/>
      <c r="AMX241" s="201"/>
      <c r="AMY241" s="201"/>
      <c r="AMZ241" s="201"/>
      <c r="ANA241" s="201"/>
      <c r="ANB241" s="201"/>
      <c r="ANC241" s="201"/>
      <c r="AND241" s="201"/>
      <c r="ANE241" s="201"/>
      <c r="ANF241" s="201"/>
      <c r="ANG241" s="201"/>
      <c r="ANH241" s="201"/>
      <c r="ANI241" s="201"/>
      <c r="ANJ241" s="201"/>
      <c r="ANK241" s="201"/>
      <c r="ANL241" s="201"/>
      <c r="ANM241" s="201"/>
      <c r="ANN241" s="201"/>
      <c r="ANO241" s="201"/>
      <c r="ANP241" s="201"/>
      <c r="ANQ241" s="201"/>
      <c r="ANR241" s="201"/>
      <c r="ANS241" s="201"/>
      <c r="ANT241" s="201"/>
      <c r="ANU241" s="201"/>
      <c r="ANV241" s="201"/>
      <c r="ANW241" s="201"/>
      <c r="ANX241" s="201"/>
      <c r="ANY241" s="201"/>
      <c r="ANZ241" s="201"/>
      <c r="AOA241" s="201"/>
      <c r="AOB241" s="201"/>
      <c r="AOC241" s="201"/>
      <c r="AOD241" s="201"/>
      <c r="AOE241" s="201"/>
      <c r="AOF241" s="201"/>
      <c r="AOG241" s="201"/>
      <c r="AOH241" s="201"/>
      <c r="AOI241" s="201"/>
      <c r="AOJ241" s="201"/>
      <c r="AOK241" s="201"/>
      <c r="AOL241" s="201"/>
      <c r="AOM241" s="201"/>
      <c r="AON241" s="201"/>
      <c r="AOO241" s="201"/>
      <c r="AOP241" s="201"/>
      <c r="AOQ241" s="201"/>
      <c r="AOR241" s="201"/>
      <c r="AOS241" s="201"/>
      <c r="AOT241" s="201"/>
      <c r="AOU241" s="201"/>
      <c r="AOV241" s="201"/>
      <c r="AOW241" s="201"/>
      <c r="AOX241" s="201"/>
      <c r="AOY241" s="201"/>
      <c r="AOZ241" s="201"/>
      <c r="APA241" s="201"/>
      <c r="APB241" s="201"/>
      <c r="APC241" s="201"/>
      <c r="APD241" s="201"/>
      <c r="APE241" s="201"/>
      <c r="APF241" s="201"/>
      <c r="APG241" s="201"/>
      <c r="APH241" s="201"/>
      <c r="API241" s="201"/>
      <c r="APJ241" s="201"/>
      <c r="APK241" s="201"/>
      <c r="APL241" s="201"/>
      <c r="APM241" s="201"/>
      <c r="APN241" s="201"/>
      <c r="APO241" s="201"/>
      <c r="APP241" s="201"/>
      <c r="APQ241" s="201"/>
      <c r="APR241" s="201"/>
      <c r="APS241" s="201"/>
      <c r="APT241" s="201"/>
      <c r="APU241" s="201"/>
      <c r="APV241" s="201"/>
      <c r="APW241" s="201"/>
      <c r="APX241" s="201"/>
      <c r="APY241" s="201"/>
      <c r="APZ241" s="201"/>
      <c r="AQA241" s="201"/>
      <c r="AQB241" s="201"/>
      <c r="AQC241" s="201"/>
      <c r="AQD241" s="201"/>
      <c r="AQE241" s="201"/>
      <c r="AQF241" s="201"/>
      <c r="AQG241" s="201"/>
      <c r="AQH241" s="201"/>
      <c r="AQI241" s="201"/>
      <c r="AQJ241" s="201"/>
      <c r="AQK241" s="201"/>
      <c r="AQL241" s="201"/>
      <c r="AQM241" s="201"/>
      <c r="AQN241" s="201"/>
      <c r="AQO241" s="201"/>
      <c r="AQP241" s="201"/>
      <c r="AQQ241" s="201"/>
      <c r="AQR241" s="201"/>
      <c r="AQS241" s="201"/>
      <c r="AQT241" s="201"/>
      <c r="AQU241" s="201"/>
      <c r="AQV241" s="201"/>
      <c r="AQW241" s="201"/>
      <c r="AQX241" s="201"/>
      <c r="AQY241" s="201"/>
      <c r="AQZ241" s="201"/>
      <c r="ARA241" s="201"/>
      <c r="ARB241" s="201"/>
      <c r="ARC241" s="201"/>
      <c r="ARD241" s="201"/>
      <c r="ARE241" s="201"/>
      <c r="ARF241" s="201"/>
      <c r="ARG241" s="201"/>
      <c r="ARH241" s="201"/>
      <c r="ARI241" s="201"/>
      <c r="ARJ241" s="201"/>
      <c r="ARK241" s="201"/>
      <c r="ARL241" s="201"/>
      <c r="ARM241" s="201"/>
      <c r="ARN241" s="201"/>
      <c r="ARO241" s="201"/>
      <c r="ARP241" s="201"/>
      <c r="ARQ241" s="201"/>
      <c r="ARR241" s="201"/>
      <c r="ARS241" s="201"/>
      <c r="ART241" s="201"/>
      <c r="ARU241" s="201"/>
      <c r="ARV241" s="201"/>
      <c r="ARW241" s="201"/>
      <c r="ARX241" s="201"/>
      <c r="ARY241" s="201"/>
      <c r="ARZ241" s="201"/>
      <c r="ASA241" s="201"/>
      <c r="ASB241" s="201"/>
      <c r="ASC241" s="201"/>
      <c r="ASD241" s="201"/>
      <c r="ASE241" s="201"/>
      <c r="ASF241" s="201"/>
      <c r="ASG241" s="201"/>
      <c r="ASH241" s="201"/>
      <c r="ASI241" s="201"/>
      <c r="ASJ241" s="201"/>
      <c r="ASK241" s="201"/>
      <c r="ASL241" s="201"/>
      <c r="ASM241" s="201"/>
      <c r="ASN241" s="201"/>
      <c r="ASO241" s="201"/>
      <c r="ASP241" s="201"/>
      <c r="ASQ241" s="201"/>
      <c r="ASR241" s="201"/>
      <c r="ASS241" s="201"/>
      <c r="AST241" s="201"/>
      <c r="ASU241" s="201"/>
      <c r="ASV241" s="201"/>
      <c r="ASW241" s="201"/>
      <c r="ASX241" s="201"/>
      <c r="ASY241" s="201"/>
      <c r="ASZ241" s="201"/>
      <c r="ATA241" s="201"/>
      <c r="ATB241" s="201"/>
      <c r="ATC241" s="201"/>
      <c r="ATD241" s="201"/>
      <c r="ATE241" s="201"/>
      <c r="ATF241" s="201"/>
      <c r="ATG241" s="201"/>
      <c r="ATH241" s="201"/>
      <c r="ATI241" s="201"/>
      <c r="ATJ241" s="201"/>
      <c r="ATK241" s="201"/>
      <c r="ATL241" s="201"/>
      <c r="ATM241" s="201"/>
      <c r="ATN241" s="201"/>
      <c r="ATO241" s="201"/>
      <c r="ATP241" s="201"/>
      <c r="ATQ241" s="201"/>
      <c r="ATR241" s="201"/>
      <c r="ATS241" s="201"/>
      <c r="ATT241" s="201"/>
      <c r="ATU241" s="201"/>
      <c r="ATV241" s="201"/>
      <c r="ATW241" s="201"/>
      <c r="ATX241" s="201"/>
      <c r="ATY241" s="201"/>
      <c r="ATZ241" s="201"/>
      <c r="AUA241" s="201"/>
      <c r="AUB241" s="201"/>
      <c r="AUC241" s="201"/>
      <c r="AUD241" s="201"/>
      <c r="AUE241" s="201"/>
      <c r="AUF241" s="201"/>
      <c r="AUG241" s="201"/>
      <c r="AUH241" s="201"/>
      <c r="AUI241" s="201"/>
      <c r="AUJ241" s="201"/>
      <c r="AUK241" s="201"/>
      <c r="AUL241" s="201"/>
      <c r="AUM241" s="201"/>
      <c r="AUN241" s="201"/>
      <c r="AUO241" s="201"/>
      <c r="AUP241" s="201"/>
      <c r="AUQ241" s="201"/>
      <c r="AUR241" s="201"/>
      <c r="AUS241" s="201"/>
      <c r="AUT241" s="201"/>
      <c r="AUU241" s="201"/>
      <c r="AUV241" s="201"/>
      <c r="AUW241" s="201"/>
      <c r="AUX241" s="201"/>
      <c r="AUY241" s="201"/>
      <c r="AUZ241" s="201"/>
      <c r="AVA241" s="201"/>
      <c r="AVB241" s="201"/>
      <c r="AVC241" s="201"/>
      <c r="AVD241" s="201"/>
      <c r="AVE241" s="201"/>
      <c r="AVF241" s="201"/>
      <c r="AVG241" s="201"/>
      <c r="AVH241" s="201"/>
      <c r="AVI241" s="201"/>
      <c r="AVJ241" s="201"/>
      <c r="AVK241" s="201"/>
      <c r="AVL241" s="201"/>
      <c r="AVM241" s="201"/>
      <c r="AVN241" s="201"/>
      <c r="AVO241" s="201"/>
      <c r="AVP241" s="201"/>
      <c r="AVQ241" s="201"/>
      <c r="AVR241" s="201"/>
      <c r="AVS241" s="201"/>
      <c r="AVT241" s="201"/>
      <c r="AVU241" s="201"/>
      <c r="AVV241" s="201"/>
      <c r="AVW241" s="201"/>
      <c r="AVX241" s="201"/>
      <c r="AVY241" s="201"/>
      <c r="AVZ241" s="201"/>
      <c r="AWA241" s="201"/>
      <c r="AWB241" s="201"/>
      <c r="AWC241" s="201"/>
      <c r="AWD241" s="201"/>
      <c r="AWE241" s="201"/>
      <c r="AWF241" s="201"/>
      <c r="AWG241" s="201"/>
      <c r="AWH241" s="201"/>
      <c r="AWI241" s="201"/>
      <c r="AWJ241" s="201"/>
      <c r="AWK241" s="201"/>
      <c r="AWL241" s="201"/>
      <c r="AWM241" s="201"/>
      <c r="AWN241" s="201"/>
      <c r="AWO241" s="201"/>
      <c r="AWP241" s="201"/>
      <c r="AWQ241" s="201"/>
      <c r="AWR241" s="201"/>
      <c r="AWS241" s="201"/>
      <c r="AWT241" s="201"/>
      <c r="AWU241" s="201"/>
      <c r="AWV241" s="201"/>
      <c r="AWW241" s="201"/>
      <c r="AWX241" s="201"/>
      <c r="AWY241" s="201"/>
      <c r="AWZ241" s="201"/>
      <c r="AXA241" s="201"/>
      <c r="AXB241" s="201"/>
      <c r="AXC241" s="201"/>
      <c r="AXD241" s="201"/>
      <c r="AXE241" s="201"/>
      <c r="AXF241" s="201"/>
      <c r="AXG241" s="201"/>
      <c r="AXH241" s="201"/>
      <c r="AXI241" s="201"/>
      <c r="AXJ241" s="201"/>
      <c r="AXK241" s="201"/>
      <c r="AXL241" s="201"/>
      <c r="AXM241" s="201"/>
      <c r="AXN241" s="201"/>
      <c r="AXO241" s="201"/>
      <c r="AXP241" s="201"/>
      <c r="AXQ241" s="201"/>
      <c r="AXR241" s="201"/>
      <c r="AXS241" s="201"/>
      <c r="AXT241" s="201"/>
      <c r="AXU241" s="201"/>
      <c r="AXV241" s="201"/>
      <c r="AXW241" s="201"/>
      <c r="AXX241" s="201"/>
      <c r="AXY241" s="201"/>
      <c r="AXZ241" s="201"/>
      <c r="AYA241" s="201"/>
      <c r="AYB241" s="201"/>
      <c r="AYC241" s="201"/>
      <c r="AYD241" s="201"/>
      <c r="AYE241" s="201"/>
      <c r="AYF241" s="201"/>
      <c r="AYG241" s="201"/>
      <c r="AYH241" s="201"/>
      <c r="AYI241" s="201"/>
      <c r="AYJ241" s="201"/>
      <c r="AYK241" s="201"/>
      <c r="AYL241" s="201"/>
      <c r="AYM241" s="201"/>
      <c r="AYN241" s="201"/>
      <c r="AYO241" s="201"/>
      <c r="AYP241" s="201"/>
      <c r="AYQ241" s="201"/>
      <c r="AYR241" s="201"/>
      <c r="AYS241" s="201"/>
      <c r="AYT241" s="201"/>
      <c r="AYU241" s="201"/>
      <c r="AYV241" s="201"/>
      <c r="AYW241" s="201"/>
      <c r="AYX241" s="201"/>
      <c r="AYY241" s="201"/>
      <c r="AYZ241" s="201"/>
      <c r="AZA241" s="201"/>
      <c r="AZB241" s="201"/>
      <c r="AZC241" s="201"/>
      <c r="AZD241" s="201"/>
      <c r="AZE241" s="201"/>
      <c r="AZF241" s="201"/>
      <c r="AZG241" s="201"/>
      <c r="AZH241" s="201"/>
      <c r="AZI241" s="201"/>
      <c r="AZJ241" s="201"/>
      <c r="AZK241" s="201"/>
      <c r="AZL241" s="201"/>
      <c r="AZM241" s="201"/>
      <c r="AZN241" s="201"/>
      <c r="AZO241" s="201"/>
      <c r="AZP241" s="201"/>
      <c r="AZQ241" s="201"/>
      <c r="AZR241" s="201"/>
      <c r="AZS241" s="201"/>
      <c r="AZT241" s="201"/>
      <c r="AZU241" s="201"/>
      <c r="AZV241" s="201"/>
      <c r="AZW241" s="201"/>
      <c r="AZX241" s="201"/>
      <c r="AZY241" s="201"/>
      <c r="AZZ241" s="201"/>
      <c r="BAA241" s="201"/>
      <c r="BAB241" s="201"/>
      <c r="BAC241" s="201"/>
      <c r="BAD241" s="201"/>
      <c r="BAE241" s="201"/>
      <c r="BAF241" s="201"/>
      <c r="BAG241" s="201"/>
      <c r="BAH241" s="201"/>
      <c r="BAI241" s="201"/>
      <c r="BAJ241" s="201"/>
      <c r="BAK241" s="201"/>
      <c r="BAL241" s="201"/>
      <c r="BAM241" s="201"/>
      <c r="BAN241" s="201"/>
      <c r="BAO241" s="201"/>
      <c r="BAP241" s="201"/>
      <c r="BAQ241" s="201"/>
      <c r="BAR241" s="201"/>
      <c r="BAS241" s="201"/>
      <c r="BAT241" s="201"/>
      <c r="BAU241" s="201"/>
      <c r="BAV241" s="201"/>
      <c r="BAW241" s="201"/>
      <c r="BAX241" s="201"/>
      <c r="BAY241" s="201"/>
      <c r="BAZ241" s="201"/>
      <c r="BBA241" s="201"/>
      <c r="BBB241" s="201"/>
      <c r="BBC241" s="201"/>
      <c r="BBD241" s="201"/>
      <c r="BBE241" s="201"/>
      <c r="BBF241" s="201"/>
      <c r="BBG241" s="201"/>
      <c r="BBH241" s="201"/>
      <c r="BBI241" s="201"/>
      <c r="BBJ241" s="201"/>
      <c r="BBK241" s="201"/>
      <c r="BBL241" s="201"/>
      <c r="BBM241" s="201"/>
      <c r="BBN241" s="201"/>
      <c r="BBO241" s="201"/>
      <c r="BBP241" s="201"/>
      <c r="BBQ241" s="201"/>
      <c r="BBR241" s="201"/>
      <c r="BBS241" s="201"/>
      <c r="BBT241" s="201"/>
      <c r="BBU241" s="201"/>
      <c r="BBV241" s="201"/>
      <c r="BBW241" s="201"/>
      <c r="BBX241" s="201"/>
      <c r="BBY241" s="201"/>
      <c r="BBZ241" s="201"/>
      <c r="BCA241" s="201"/>
      <c r="BCB241" s="201"/>
      <c r="BCC241" s="201"/>
      <c r="BCD241" s="201"/>
      <c r="BCE241" s="201"/>
      <c r="BCF241" s="201"/>
      <c r="BCG241" s="201"/>
      <c r="BCH241" s="201"/>
      <c r="BCI241" s="201"/>
      <c r="BCJ241" s="201"/>
      <c r="BCK241" s="201"/>
      <c r="BCL241" s="201"/>
      <c r="BCM241" s="201"/>
      <c r="BCN241" s="201"/>
      <c r="BCO241" s="201"/>
      <c r="BCP241" s="201"/>
      <c r="BCQ241" s="201"/>
      <c r="BCR241" s="201"/>
      <c r="BCS241" s="201"/>
      <c r="BCT241" s="201"/>
      <c r="BCU241" s="201"/>
      <c r="BCV241" s="201"/>
      <c r="BCW241" s="201"/>
      <c r="BCX241" s="201"/>
      <c r="BCY241" s="201"/>
      <c r="BCZ241" s="201"/>
      <c r="BDA241" s="201"/>
      <c r="BDB241" s="201"/>
      <c r="BDC241" s="201"/>
      <c r="BDD241" s="201"/>
      <c r="BDE241" s="201"/>
      <c r="BDF241" s="201"/>
      <c r="BDG241" s="201"/>
      <c r="BDH241" s="201"/>
      <c r="BDI241" s="201"/>
      <c r="BDJ241" s="201"/>
      <c r="BDK241" s="201"/>
      <c r="BDL241" s="201"/>
      <c r="BDM241" s="201"/>
      <c r="BDN241" s="201"/>
      <c r="BDO241" s="201"/>
      <c r="BDP241" s="201"/>
      <c r="BDQ241" s="201"/>
      <c r="BDR241" s="201"/>
      <c r="BDS241" s="201"/>
      <c r="BDT241" s="201"/>
      <c r="BDU241" s="201"/>
      <c r="BDV241" s="201"/>
      <c r="BDW241" s="201"/>
      <c r="BDX241" s="201"/>
      <c r="BDY241" s="201"/>
      <c r="BDZ241" s="201"/>
      <c r="BEA241" s="201"/>
      <c r="BEB241" s="201"/>
      <c r="BEC241" s="201"/>
      <c r="BED241" s="201"/>
      <c r="BEE241" s="201"/>
      <c r="BEF241" s="201"/>
      <c r="BEG241" s="201"/>
      <c r="BEH241" s="201"/>
      <c r="BEI241" s="201"/>
      <c r="BEJ241" s="201"/>
      <c r="BEK241" s="201"/>
      <c r="BEL241" s="201"/>
      <c r="BEM241" s="201"/>
      <c r="BEN241" s="201"/>
      <c r="BEO241" s="201"/>
      <c r="BEP241" s="201"/>
      <c r="BEQ241" s="201"/>
      <c r="BER241" s="201"/>
      <c r="BES241" s="201"/>
      <c r="BET241" s="201"/>
      <c r="BEU241" s="201"/>
      <c r="BEV241" s="201"/>
      <c r="BEW241" s="201"/>
      <c r="BEX241" s="201"/>
      <c r="BEY241" s="201"/>
      <c r="BEZ241" s="201"/>
      <c r="BFA241" s="201"/>
      <c r="BFB241" s="201"/>
      <c r="BFC241" s="201"/>
      <c r="BFD241" s="201"/>
      <c r="BFE241" s="201"/>
      <c r="BFF241" s="201"/>
      <c r="BFG241" s="201"/>
      <c r="BFH241" s="201"/>
      <c r="BFI241" s="201"/>
      <c r="BFJ241" s="201"/>
      <c r="BFK241" s="201"/>
      <c r="BFL241" s="201"/>
      <c r="BFM241" s="201"/>
      <c r="BFN241" s="201"/>
      <c r="BFO241" s="201"/>
      <c r="BFP241" s="201"/>
      <c r="BFQ241" s="201"/>
      <c r="BFR241" s="201"/>
      <c r="BFS241" s="201"/>
      <c r="BFT241" s="201"/>
      <c r="BFU241" s="201"/>
      <c r="BFV241" s="201"/>
      <c r="BFW241" s="201"/>
      <c r="BFX241" s="201"/>
      <c r="BFY241" s="201"/>
      <c r="BFZ241" s="201"/>
      <c r="BGA241" s="201"/>
      <c r="BGB241" s="201"/>
      <c r="BGC241" s="201"/>
      <c r="BGD241" s="201"/>
      <c r="BGE241" s="201"/>
      <c r="BGF241" s="201"/>
      <c r="BGG241" s="201"/>
      <c r="BGH241" s="201"/>
      <c r="BGI241" s="201"/>
      <c r="BGJ241" s="201"/>
      <c r="BGK241" s="201"/>
      <c r="BGL241" s="201"/>
      <c r="BGM241" s="201"/>
      <c r="BGN241" s="201"/>
      <c r="BGO241" s="201"/>
      <c r="BGP241" s="201"/>
      <c r="BGQ241" s="201"/>
      <c r="BGR241" s="201"/>
      <c r="BGS241" s="201"/>
      <c r="BGT241" s="201"/>
      <c r="BGU241" s="201"/>
      <c r="BGV241" s="201"/>
      <c r="BGW241" s="201"/>
      <c r="BGX241" s="201"/>
      <c r="BGY241" s="201"/>
      <c r="BGZ241" s="201"/>
      <c r="BHA241" s="201"/>
      <c r="BHB241" s="201"/>
      <c r="BHC241" s="201"/>
      <c r="BHD241" s="201"/>
      <c r="BHE241" s="201"/>
      <c r="BHF241" s="201"/>
      <c r="BHG241" s="201"/>
      <c r="BHH241" s="201"/>
      <c r="BHI241" s="201"/>
      <c r="BHJ241" s="201"/>
      <c r="BHK241" s="201"/>
      <c r="BHL241" s="201"/>
      <c r="BHM241" s="201"/>
      <c r="BHN241" s="201"/>
      <c r="BHO241" s="201"/>
      <c r="BHP241" s="201"/>
      <c r="BHQ241" s="201"/>
      <c r="BHR241" s="201"/>
      <c r="BHS241" s="201"/>
      <c r="BHT241" s="201"/>
      <c r="BHU241" s="201"/>
      <c r="BHV241" s="201"/>
      <c r="BHW241" s="201"/>
      <c r="BHX241" s="201"/>
      <c r="BHY241" s="201"/>
      <c r="BHZ241" s="201"/>
      <c r="BIA241" s="201"/>
      <c r="BIB241" s="201"/>
      <c r="BIC241" s="201"/>
      <c r="BID241" s="201"/>
      <c r="BIE241" s="201"/>
      <c r="BIF241" s="201"/>
      <c r="BIG241" s="201"/>
      <c r="BIH241" s="201"/>
      <c r="BII241" s="201"/>
      <c r="BIJ241" s="201"/>
      <c r="BIK241" s="201"/>
      <c r="BIL241" s="201"/>
      <c r="BIM241" s="201"/>
      <c r="BIN241" s="201"/>
      <c r="BIO241" s="201"/>
      <c r="BIP241" s="201"/>
      <c r="BIQ241" s="201"/>
      <c r="BIR241" s="201"/>
      <c r="BIS241" s="201"/>
      <c r="BIT241" s="201"/>
      <c r="BIU241" s="201"/>
      <c r="BIV241" s="201"/>
      <c r="BIW241" s="201"/>
      <c r="BIX241" s="201"/>
      <c r="BIY241" s="201"/>
      <c r="BIZ241" s="201"/>
      <c r="BJA241" s="201"/>
      <c r="BJB241" s="201"/>
      <c r="BJC241" s="201"/>
      <c r="BJD241" s="201"/>
      <c r="BJE241" s="201"/>
      <c r="BJF241" s="201"/>
      <c r="BJG241" s="201"/>
      <c r="BJH241" s="201"/>
      <c r="BJI241" s="201"/>
      <c r="BJJ241" s="201"/>
      <c r="BJK241" s="201"/>
      <c r="BJL241" s="201"/>
      <c r="BJM241" s="201"/>
      <c r="BJN241" s="201"/>
      <c r="BJO241" s="201"/>
      <c r="BJP241" s="201"/>
      <c r="BJQ241" s="201"/>
      <c r="BJR241" s="201"/>
      <c r="BJS241" s="201"/>
      <c r="BJT241" s="201"/>
      <c r="BJU241" s="201"/>
      <c r="BJV241" s="201"/>
      <c r="BJW241" s="201"/>
      <c r="BJX241" s="201"/>
      <c r="BJY241" s="201"/>
      <c r="BJZ241" s="201"/>
      <c r="BKA241" s="201"/>
      <c r="BKB241" s="201"/>
      <c r="BKC241" s="201"/>
      <c r="BKD241" s="201"/>
      <c r="BKE241" s="201"/>
      <c r="BKF241" s="201"/>
      <c r="BKG241" s="201"/>
      <c r="BKH241" s="201"/>
      <c r="BKI241" s="201"/>
      <c r="BKJ241" s="201"/>
      <c r="BKK241" s="201"/>
      <c r="BKL241" s="201"/>
      <c r="BKM241" s="201"/>
      <c r="BKN241" s="201"/>
      <c r="BKO241" s="201"/>
      <c r="BKP241" s="201"/>
      <c r="BKQ241" s="201"/>
      <c r="BKR241" s="201"/>
      <c r="BKS241" s="201"/>
      <c r="BKT241" s="201"/>
      <c r="BKU241" s="201"/>
      <c r="BKV241" s="201"/>
      <c r="BKW241" s="201"/>
      <c r="BKX241" s="201"/>
      <c r="BKY241" s="201"/>
      <c r="BKZ241" s="201"/>
      <c r="BLA241" s="201"/>
      <c r="BLB241" s="201"/>
      <c r="BLC241" s="201"/>
      <c r="BLD241" s="201"/>
      <c r="BLE241" s="201"/>
      <c r="BLF241" s="201"/>
      <c r="BLG241" s="201"/>
      <c r="BLH241" s="201"/>
      <c r="BLI241" s="201"/>
      <c r="BLJ241" s="201"/>
      <c r="BLK241" s="201"/>
      <c r="BLL241" s="201"/>
      <c r="BLM241" s="201"/>
      <c r="BLN241" s="201"/>
      <c r="BLO241" s="201"/>
      <c r="BLP241" s="201"/>
      <c r="BLQ241" s="201"/>
      <c r="BLR241" s="201"/>
      <c r="BLS241" s="201"/>
      <c r="BLT241" s="201"/>
      <c r="BLU241" s="201"/>
      <c r="BLV241" s="201"/>
      <c r="BLW241" s="201"/>
      <c r="BLX241" s="201"/>
      <c r="BLY241" s="201"/>
      <c r="BLZ241" s="201"/>
      <c r="BMA241" s="201"/>
      <c r="BMB241" s="201"/>
      <c r="BMC241" s="201"/>
      <c r="BMD241" s="201"/>
      <c r="BME241" s="201"/>
      <c r="BMF241" s="201"/>
      <c r="BMG241" s="201"/>
      <c r="BMH241" s="201"/>
      <c r="BMI241" s="201"/>
      <c r="BMJ241" s="201"/>
      <c r="BMK241" s="201"/>
      <c r="BML241" s="201"/>
      <c r="BMM241" s="201"/>
      <c r="BMN241" s="201"/>
      <c r="BMO241" s="201"/>
      <c r="BMP241" s="201"/>
      <c r="BMQ241" s="201"/>
      <c r="BMR241" s="201"/>
      <c r="BMS241" s="201"/>
      <c r="BMT241" s="201"/>
      <c r="BMU241" s="201"/>
      <c r="BMV241" s="201"/>
      <c r="BMW241" s="201"/>
      <c r="BMX241" s="201"/>
      <c r="BMY241" s="201"/>
      <c r="BMZ241" s="201"/>
      <c r="BNA241" s="201"/>
      <c r="BNB241" s="201"/>
      <c r="BNC241" s="201"/>
      <c r="BND241" s="201"/>
      <c r="BNE241" s="201"/>
      <c r="BNF241" s="201"/>
      <c r="BNG241" s="201"/>
      <c r="BNH241" s="201"/>
      <c r="BNI241" s="201"/>
      <c r="BNJ241" s="201"/>
      <c r="BNK241" s="201"/>
      <c r="BNL241" s="201"/>
      <c r="BNM241" s="201"/>
      <c r="BNN241" s="201"/>
      <c r="BNO241" s="201"/>
      <c r="BNP241" s="201"/>
      <c r="BNQ241" s="201"/>
      <c r="BNR241" s="201"/>
      <c r="BNS241" s="201"/>
      <c r="BNT241" s="201"/>
      <c r="BNU241" s="201"/>
      <c r="BNV241" s="201"/>
      <c r="BNW241" s="201"/>
      <c r="BNX241" s="201"/>
      <c r="BNY241" s="201"/>
      <c r="BNZ241" s="201"/>
      <c r="BOA241" s="201"/>
      <c r="BOB241" s="201"/>
      <c r="BOC241" s="201"/>
      <c r="BOD241" s="201"/>
      <c r="BOE241" s="201"/>
      <c r="BOF241" s="201"/>
      <c r="BOG241" s="201"/>
      <c r="BOH241" s="201"/>
      <c r="BOI241" s="201"/>
      <c r="BOJ241" s="201"/>
      <c r="BOK241" s="201"/>
      <c r="BOL241" s="201"/>
      <c r="BOM241" s="201"/>
      <c r="BON241" s="201"/>
      <c r="BOO241" s="201"/>
      <c r="BOP241" s="201"/>
      <c r="BOQ241" s="201"/>
      <c r="BOR241" s="201"/>
      <c r="BOS241" s="201"/>
      <c r="BOT241" s="201"/>
      <c r="BOU241" s="201"/>
      <c r="BOV241" s="201"/>
      <c r="BOW241" s="201"/>
      <c r="BOX241" s="201"/>
      <c r="BOY241" s="201"/>
      <c r="BOZ241" s="201"/>
      <c r="BPA241" s="201"/>
      <c r="BPB241" s="201"/>
      <c r="BPC241" s="201"/>
      <c r="BPD241" s="201"/>
      <c r="BPE241" s="201"/>
      <c r="BPF241" s="201"/>
      <c r="BPG241" s="201"/>
      <c r="BPH241" s="201"/>
      <c r="BPI241" s="201"/>
      <c r="BPJ241" s="201"/>
      <c r="BPK241" s="201"/>
      <c r="BPL241" s="201"/>
      <c r="BPM241" s="201"/>
      <c r="BPN241" s="201"/>
      <c r="BPO241" s="201"/>
      <c r="BPP241" s="201"/>
      <c r="BPQ241" s="201"/>
      <c r="BPR241" s="201"/>
      <c r="BPS241" s="201"/>
      <c r="BPT241" s="201"/>
      <c r="BPU241" s="201"/>
      <c r="BPV241" s="201"/>
      <c r="BPW241" s="201"/>
      <c r="BPX241" s="201"/>
      <c r="BPY241" s="201"/>
      <c r="BPZ241" s="201"/>
      <c r="BQA241" s="201"/>
      <c r="BQB241" s="201"/>
      <c r="BQC241" s="201"/>
      <c r="BQD241" s="201"/>
      <c r="BQE241" s="201"/>
      <c r="BQF241" s="201"/>
      <c r="BQG241" s="201"/>
      <c r="BQH241" s="201"/>
      <c r="BQI241" s="201"/>
      <c r="BQJ241" s="201"/>
      <c r="BQK241" s="201"/>
      <c r="BQL241" s="201"/>
      <c r="BQM241" s="201"/>
      <c r="BQN241" s="201"/>
      <c r="BQO241" s="201"/>
      <c r="BQP241" s="201"/>
      <c r="BQQ241" s="201"/>
      <c r="BQR241" s="201"/>
      <c r="BQS241" s="201"/>
      <c r="BQT241" s="201"/>
      <c r="BQU241" s="201"/>
      <c r="BQV241" s="201"/>
      <c r="BQW241" s="201"/>
      <c r="BQX241" s="201"/>
      <c r="BQY241" s="201"/>
      <c r="BQZ241" s="201"/>
      <c r="BRA241" s="201"/>
      <c r="BRB241" s="201"/>
      <c r="BRC241" s="201"/>
      <c r="BRD241" s="201"/>
      <c r="BRE241" s="201"/>
      <c r="BRF241" s="201"/>
      <c r="BRG241" s="201"/>
      <c r="BRH241" s="201"/>
      <c r="BRI241" s="201"/>
      <c r="BRJ241" s="201"/>
      <c r="BRK241" s="201"/>
      <c r="BRL241" s="201"/>
      <c r="BRM241" s="201"/>
      <c r="BRN241" s="201"/>
      <c r="BRO241" s="201"/>
      <c r="BRP241" s="201"/>
      <c r="BRQ241" s="201"/>
      <c r="BRR241" s="201"/>
      <c r="BRS241" s="201"/>
      <c r="BRT241" s="201"/>
      <c r="BRU241" s="201"/>
      <c r="BRV241" s="201"/>
      <c r="BRW241" s="201"/>
      <c r="BRX241" s="201"/>
      <c r="BRY241" s="201"/>
      <c r="BRZ241" s="201"/>
      <c r="BSA241" s="201"/>
      <c r="BSB241" s="201"/>
      <c r="BSC241" s="201"/>
      <c r="BSD241" s="201"/>
      <c r="BSE241" s="201"/>
      <c r="BSF241" s="201"/>
      <c r="BSG241" s="201"/>
      <c r="BSH241" s="201"/>
      <c r="BSI241" s="201"/>
      <c r="BSJ241" s="201"/>
      <c r="BSK241" s="201"/>
      <c r="BSL241" s="201"/>
      <c r="BSM241" s="201"/>
      <c r="BSN241" s="201"/>
      <c r="BSO241" s="201"/>
      <c r="BSP241" s="201"/>
      <c r="BSQ241" s="201"/>
      <c r="BSR241" s="201"/>
      <c r="BSS241" s="201"/>
      <c r="BST241" s="201"/>
      <c r="BSU241" s="201"/>
      <c r="BSV241" s="201"/>
      <c r="BSW241" s="201"/>
      <c r="BSX241" s="201"/>
      <c r="BSY241" s="201"/>
      <c r="BSZ241" s="201"/>
      <c r="BTA241" s="201"/>
      <c r="BTB241" s="201"/>
      <c r="BTC241" s="201"/>
      <c r="BTD241" s="201"/>
      <c r="BTE241" s="201"/>
      <c r="BTF241" s="201"/>
      <c r="BTG241" s="201"/>
      <c r="BTH241" s="201"/>
      <c r="BTI241" s="201"/>
      <c r="BTJ241" s="201"/>
      <c r="BTK241" s="201"/>
      <c r="BTL241" s="201"/>
      <c r="BTM241" s="201"/>
      <c r="BTN241" s="201"/>
      <c r="BTO241" s="201"/>
      <c r="BTP241" s="201"/>
      <c r="BTQ241" s="201"/>
      <c r="BTR241" s="201"/>
      <c r="BTS241" s="201"/>
      <c r="BTT241" s="201"/>
      <c r="BTU241" s="201"/>
      <c r="BTV241" s="201"/>
      <c r="BTW241" s="201"/>
      <c r="BTX241" s="201"/>
      <c r="BTY241" s="201"/>
      <c r="BTZ241" s="201"/>
      <c r="BUA241" s="201"/>
      <c r="BUB241" s="201"/>
      <c r="BUC241" s="201"/>
      <c r="BUD241" s="201"/>
      <c r="BUE241" s="201"/>
      <c r="BUF241" s="201"/>
      <c r="BUG241" s="201"/>
      <c r="BUH241" s="201"/>
      <c r="BUI241" s="201"/>
      <c r="BUJ241" s="201"/>
      <c r="BUK241" s="201"/>
      <c r="BUL241" s="201"/>
      <c r="BUM241" s="201"/>
      <c r="BUN241" s="201"/>
      <c r="BUO241" s="201"/>
      <c r="BUP241" s="201"/>
      <c r="BUQ241" s="201"/>
      <c r="BUR241" s="201"/>
      <c r="BUS241" s="201"/>
      <c r="BUT241" s="201"/>
      <c r="BUU241" s="201"/>
      <c r="BUV241" s="201"/>
      <c r="BUW241" s="201"/>
      <c r="BUX241" s="201"/>
      <c r="BUY241" s="201"/>
      <c r="BUZ241" s="201"/>
      <c r="BVA241" s="201"/>
      <c r="BVB241" s="201"/>
      <c r="BVC241" s="201"/>
      <c r="BVD241" s="201"/>
      <c r="BVE241" s="201"/>
      <c r="BVF241" s="201"/>
      <c r="BVG241" s="201"/>
      <c r="BVH241" s="201"/>
      <c r="BVI241" s="201"/>
      <c r="BVJ241" s="201"/>
      <c r="BVK241" s="201"/>
      <c r="BVL241" s="201"/>
      <c r="BVM241" s="201"/>
      <c r="BVN241" s="201"/>
      <c r="BVO241" s="201"/>
      <c r="BVP241" s="201"/>
      <c r="BVQ241" s="201"/>
      <c r="BVR241" s="201"/>
      <c r="BVS241" s="201"/>
      <c r="BVT241" s="201"/>
      <c r="BVU241" s="201"/>
      <c r="BVV241" s="201"/>
      <c r="BVW241" s="201"/>
      <c r="BVX241" s="201"/>
      <c r="BVY241" s="201"/>
      <c r="BVZ241" s="201"/>
      <c r="BWA241" s="201"/>
      <c r="BWB241" s="201"/>
      <c r="BWC241" s="201"/>
      <c r="BWD241" s="201"/>
      <c r="BWE241" s="201"/>
      <c r="BWF241" s="201"/>
      <c r="BWG241" s="201"/>
      <c r="BWH241" s="201"/>
      <c r="BWI241" s="201"/>
      <c r="BWJ241" s="201"/>
      <c r="BWK241" s="201"/>
      <c r="BWL241" s="201"/>
      <c r="BWM241" s="201"/>
      <c r="BWN241" s="201"/>
      <c r="BWO241" s="201"/>
      <c r="BWP241" s="201"/>
      <c r="BWQ241" s="201"/>
      <c r="BWR241" s="201"/>
      <c r="BWS241" s="201"/>
      <c r="BWT241" s="201"/>
      <c r="BWU241" s="201"/>
      <c r="BWV241" s="201"/>
      <c r="BWW241" s="201"/>
      <c r="BWX241" s="201"/>
      <c r="BWY241" s="201"/>
      <c r="BWZ241" s="201"/>
      <c r="BXA241" s="201"/>
      <c r="BXB241" s="201"/>
      <c r="BXC241" s="201"/>
      <c r="BXD241" s="201"/>
      <c r="BXE241" s="201"/>
      <c r="BXF241" s="201"/>
      <c r="BXG241" s="201"/>
      <c r="BXH241" s="201"/>
      <c r="BXI241" s="201"/>
      <c r="BXJ241" s="201"/>
      <c r="BXK241" s="201"/>
      <c r="BXL241" s="201"/>
      <c r="BXM241" s="201"/>
      <c r="BXN241" s="201"/>
      <c r="BXO241" s="201"/>
      <c r="BXP241" s="201"/>
      <c r="BXQ241" s="201"/>
      <c r="BXR241" s="201"/>
      <c r="BXS241" s="201"/>
      <c r="BXT241" s="201"/>
      <c r="BXU241" s="201"/>
      <c r="BXV241" s="201"/>
      <c r="BXW241" s="201"/>
      <c r="BXX241" s="201"/>
      <c r="BXY241" s="201"/>
      <c r="BXZ241" s="201"/>
      <c r="BYA241" s="201"/>
      <c r="BYB241" s="201"/>
      <c r="BYC241" s="201"/>
      <c r="BYD241" s="201"/>
      <c r="BYE241" s="201"/>
      <c r="BYF241" s="201"/>
      <c r="BYG241" s="201"/>
      <c r="BYH241" s="201"/>
      <c r="BYI241" s="201"/>
      <c r="BYJ241" s="201"/>
      <c r="BYK241" s="201"/>
      <c r="BYL241" s="201"/>
      <c r="BYM241" s="201"/>
      <c r="BYN241" s="201"/>
      <c r="BYO241" s="201"/>
      <c r="BYP241" s="201"/>
      <c r="BYQ241" s="201"/>
      <c r="BYR241" s="201"/>
      <c r="BYS241" s="201"/>
      <c r="BYT241" s="201"/>
      <c r="BYU241" s="201"/>
      <c r="BYV241" s="201"/>
      <c r="BYW241" s="201"/>
      <c r="BYX241" s="201"/>
      <c r="BYY241" s="201"/>
      <c r="BYZ241" s="201"/>
      <c r="BZA241" s="201"/>
      <c r="BZB241" s="201"/>
      <c r="BZC241" s="201"/>
      <c r="BZD241" s="201"/>
      <c r="BZE241" s="201"/>
      <c r="BZF241" s="201"/>
      <c r="BZG241" s="201"/>
      <c r="BZH241" s="201"/>
      <c r="BZI241" s="201"/>
      <c r="BZJ241" s="201"/>
      <c r="BZK241" s="201"/>
      <c r="BZL241" s="201"/>
      <c r="BZM241" s="201"/>
      <c r="BZN241" s="201"/>
      <c r="BZO241" s="201"/>
      <c r="BZP241" s="201"/>
      <c r="BZQ241" s="201"/>
      <c r="BZR241" s="201"/>
      <c r="BZS241" s="201"/>
      <c r="BZT241" s="201"/>
      <c r="BZU241" s="201"/>
      <c r="BZV241" s="201"/>
      <c r="BZW241" s="201"/>
      <c r="BZX241" s="201"/>
      <c r="BZY241" s="201"/>
      <c r="BZZ241" s="201"/>
      <c r="CAA241" s="201"/>
      <c r="CAB241" s="201"/>
      <c r="CAC241" s="201"/>
      <c r="CAD241" s="201"/>
      <c r="CAE241" s="201"/>
      <c r="CAF241" s="201"/>
      <c r="CAG241" s="201"/>
      <c r="CAH241" s="201"/>
      <c r="CAI241" s="201"/>
      <c r="CAJ241" s="201"/>
      <c r="CAK241" s="201"/>
      <c r="CAL241" s="201"/>
      <c r="CAM241" s="201"/>
      <c r="CAN241" s="201"/>
      <c r="CAO241" s="201"/>
      <c r="CAP241" s="201"/>
      <c r="CAQ241" s="201"/>
      <c r="CAR241" s="201"/>
      <c r="CAS241" s="201"/>
      <c r="CAT241" s="201"/>
      <c r="CAU241" s="201"/>
      <c r="CAV241" s="201"/>
      <c r="CAW241" s="201"/>
      <c r="CAX241" s="201"/>
      <c r="CAY241" s="201"/>
      <c r="CAZ241" s="201"/>
      <c r="CBA241" s="201"/>
      <c r="CBB241" s="201"/>
      <c r="CBC241" s="201"/>
      <c r="CBD241" s="201"/>
      <c r="CBE241" s="201"/>
      <c r="CBF241" s="201"/>
      <c r="CBG241" s="201"/>
      <c r="CBH241" s="201"/>
      <c r="CBI241" s="201"/>
      <c r="CBJ241" s="201"/>
      <c r="CBK241" s="201"/>
      <c r="CBL241" s="201"/>
      <c r="CBM241" s="201"/>
      <c r="CBN241" s="201"/>
      <c r="CBO241" s="201"/>
      <c r="CBP241" s="201"/>
      <c r="CBQ241" s="201"/>
      <c r="CBR241" s="201"/>
      <c r="CBS241" s="201"/>
      <c r="CBT241" s="201"/>
      <c r="CBU241" s="201"/>
      <c r="CBV241" s="201"/>
      <c r="CBW241" s="201"/>
      <c r="CBX241" s="201"/>
      <c r="CBY241" s="201"/>
      <c r="CBZ241" s="201"/>
      <c r="CCA241" s="201"/>
      <c r="CCB241" s="201"/>
      <c r="CCC241" s="201"/>
      <c r="CCD241" s="201"/>
      <c r="CCE241" s="201"/>
      <c r="CCF241" s="201"/>
      <c r="CCG241" s="201"/>
      <c r="CCH241" s="201"/>
      <c r="CCI241" s="201"/>
      <c r="CCJ241" s="201"/>
      <c r="CCK241" s="201"/>
      <c r="CCL241" s="201"/>
      <c r="CCM241" s="201"/>
      <c r="CCN241" s="201"/>
      <c r="CCO241" s="201"/>
      <c r="CCP241" s="201"/>
      <c r="CCQ241" s="201"/>
      <c r="CCR241" s="201"/>
      <c r="CCS241" s="201"/>
      <c r="CCT241" s="201"/>
      <c r="CCU241" s="201"/>
      <c r="CCV241" s="201"/>
      <c r="CCW241" s="201"/>
      <c r="CCX241" s="201"/>
      <c r="CCY241" s="201"/>
      <c r="CCZ241" s="201"/>
      <c r="CDA241" s="201"/>
      <c r="CDB241" s="201"/>
      <c r="CDC241" s="201"/>
      <c r="CDD241" s="201"/>
      <c r="CDE241" s="201"/>
      <c r="CDF241" s="201"/>
      <c r="CDG241" s="201"/>
      <c r="CDH241" s="201"/>
      <c r="CDI241" s="201"/>
      <c r="CDJ241" s="201"/>
      <c r="CDK241" s="201"/>
      <c r="CDL241" s="201"/>
      <c r="CDM241" s="201"/>
      <c r="CDN241" s="201"/>
      <c r="CDO241" s="201"/>
      <c r="CDP241" s="201"/>
      <c r="CDQ241" s="201"/>
      <c r="CDR241" s="201"/>
      <c r="CDS241" s="201"/>
      <c r="CDT241" s="201"/>
      <c r="CDU241" s="201"/>
      <c r="CDV241" s="201"/>
      <c r="CDW241" s="201"/>
      <c r="CDX241" s="201"/>
      <c r="CDY241" s="201"/>
      <c r="CDZ241" s="201"/>
      <c r="CEA241" s="201"/>
      <c r="CEB241" s="201"/>
      <c r="CEC241" s="201"/>
      <c r="CED241" s="201"/>
      <c r="CEE241" s="201"/>
      <c r="CEF241" s="201"/>
      <c r="CEG241" s="201"/>
      <c r="CEH241" s="201"/>
      <c r="CEI241" s="201"/>
      <c r="CEJ241" s="201"/>
      <c r="CEK241" s="201"/>
      <c r="CEL241" s="201"/>
      <c r="CEM241" s="201"/>
      <c r="CEN241" s="201"/>
      <c r="CEO241" s="201"/>
      <c r="CEP241" s="201"/>
      <c r="CEQ241" s="201"/>
      <c r="CER241" s="201"/>
      <c r="CES241" s="201"/>
      <c r="CET241" s="201"/>
      <c r="CEU241" s="201"/>
      <c r="CEV241" s="201"/>
      <c r="CEW241" s="201"/>
      <c r="CEX241" s="201"/>
      <c r="CEY241" s="201"/>
      <c r="CEZ241" s="201"/>
      <c r="CFA241" s="201"/>
      <c r="CFB241" s="201"/>
      <c r="CFC241" s="201"/>
      <c r="CFD241" s="201"/>
      <c r="CFE241" s="201"/>
      <c r="CFF241" s="201"/>
      <c r="CFG241" s="201"/>
      <c r="CFH241" s="201"/>
      <c r="CFI241" s="201"/>
      <c r="CFJ241" s="201"/>
      <c r="CFK241" s="201"/>
      <c r="CFL241" s="201"/>
      <c r="CFM241" s="201"/>
      <c r="CFN241" s="201"/>
      <c r="CFO241" s="201"/>
      <c r="CFP241" s="201"/>
      <c r="CFQ241" s="201"/>
      <c r="CFR241" s="201"/>
      <c r="CFS241" s="201"/>
      <c r="CFT241" s="201"/>
      <c r="CFU241" s="201"/>
      <c r="CFV241" s="201"/>
      <c r="CFW241" s="201"/>
      <c r="CFX241" s="201"/>
      <c r="CFY241" s="201"/>
      <c r="CFZ241" s="201"/>
      <c r="CGA241" s="201"/>
      <c r="CGB241" s="201"/>
      <c r="CGC241" s="201"/>
      <c r="CGD241" s="201"/>
      <c r="CGE241" s="201"/>
      <c r="CGF241" s="201"/>
      <c r="CGG241" s="201"/>
      <c r="CGH241" s="201"/>
      <c r="CGI241" s="201"/>
      <c r="CGJ241" s="201"/>
      <c r="CGK241" s="201"/>
      <c r="CGL241" s="201"/>
      <c r="CGM241" s="201"/>
      <c r="CGN241" s="201"/>
      <c r="CGO241" s="201"/>
      <c r="CGP241" s="201"/>
      <c r="CGQ241" s="201"/>
      <c r="CGR241" s="201"/>
      <c r="CGS241" s="201"/>
      <c r="CGT241" s="201"/>
      <c r="CGU241" s="201"/>
      <c r="CGV241" s="201"/>
      <c r="CGW241" s="201"/>
      <c r="CGX241" s="201"/>
      <c r="CGY241" s="201"/>
      <c r="CGZ241" s="201"/>
      <c r="CHA241" s="201"/>
      <c r="CHB241" s="201"/>
      <c r="CHC241" s="201"/>
      <c r="CHD241" s="201"/>
      <c r="CHE241" s="201"/>
      <c r="CHF241" s="201"/>
      <c r="CHG241" s="201"/>
      <c r="CHH241" s="201"/>
      <c r="CHI241" s="201"/>
      <c r="CHJ241" s="201"/>
      <c r="CHK241" s="201"/>
      <c r="CHL241" s="201"/>
      <c r="CHM241" s="201"/>
      <c r="CHN241" s="201"/>
      <c r="CHO241" s="201"/>
      <c r="CHP241" s="201"/>
      <c r="CHQ241" s="201"/>
      <c r="CHR241" s="201"/>
      <c r="CHS241" s="201"/>
      <c r="CHT241" s="201"/>
      <c r="CHU241" s="201"/>
      <c r="CHV241" s="201"/>
      <c r="CHW241" s="201"/>
      <c r="CHX241" s="201"/>
      <c r="CHY241" s="201"/>
      <c r="CHZ241" s="201"/>
      <c r="CIA241" s="201"/>
      <c r="CIB241" s="201"/>
      <c r="CIC241" s="201"/>
      <c r="CID241" s="201"/>
      <c r="CIE241" s="201"/>
      <c r="CIF241" s="201"/>
      <c r="CIG241" s="201"/>
      <c r="CIH241" s="201"/>
      <c r="CII241" s="201"/>
      <c r="CIJ241" s="201"/>
      <c r="CIK241" s="201"/>
      <c r="CIL241" s="201"/>
      <c r="CIM241" s="201"/>
      <c r="CIN241" s="201"/>
      <c r="CIO241" s="201"/>
      <c r="CIP241" s="201"/>
      <c r="CIQ241" s="201"/>
      <c r="CIR241" s="201"/>
      <c r="CIS241" s="201"/>
      <c r="CIT241" s="201"/>
      <c r="CIU241" s="201"/>
      <c r="CIV241" s="201"/>
      <c r="CIW241" s="201"/>
      <c r="CIX241" s="201"/>
      <c r="CIY241" s="201"/>
      <c r="CIZ241" s="201"/>
      <c r="CJA241" s="201"/>
      <c r="CJB241" s="201"/>
      <c r="CJC241" s="201"/>
      <c r="CJD241" s="201"/>
      <c r="CJE241" s="201"/>
      <c r="CJF241" s="201"/>
      <c r="CJG241" s="201"/>
      <c r="CJH241" s="201"/>
      <c r="CJI241" s="201"/>
      <c r="CJJ241" s="201"/>
      <c r="CJK241" s="201"/>
      <c r="CJL241" s="201"/>
      <c r="CJM241" s="201"/>
      <c r="CJN241" s="201"/>
      <c r="CJO241" s="201"/>
      <c r="CJP241" s="201"/>
      <c r="CJQ241" s="201"/>
      <c r="CJR241" s="201"/>
      <c r="CJS241" s="201"/>
      <c r="CJT241" s="201"/>
      <c r="CJU241" s="201"/>
      <c r="CJV241" s="201"/>
      <c r="CJW241" s="201"/>
      <c r="CJX241" s="201"/>
      <c r="CJY241" s="201"/>
      <c r="CJZ241" s="201"/>
      <c r="CKA241" s="201"/>
      <c r="CKB241" s="201"/>
      <c r="CKC241" s="201"/>
      <c r="CKD241" s="201"/>
      <c r="CKE241" s="201"/>
      <c r="CKF241" s="201"/>
      <c r="CKG241" s="201"/>
      <c r="CKH241" s="201"/>
      <c r="CKI241" s="201"/>
      <c r="CKJ241" s="201"/>
      <c r="CKK241" s="201"/>
      <c r="CKL241" s="201"/>
      <c r="CKM241" s="201"/>
      <c r="CKN241" s="201"/>
      <c r="CKO241" s="201"/>
      <c r="CKP241" s="201"/>
      <c r="CKQ241" s="201"/>
      <c r="CKR241" s="201"/>
      <c r="CKS241" s="201"/>
      <c r="CKT241" s="201"/>
      <c r="CKU241" s="201"/>
      <c r="CKV241" s="201"/>
      <c r="CKW241" s="201"/>
      <c r="CKX241" s="201"/>
      <c r="CKY241" s="201"/>
      <c r="CKZ241" s="201"/>
      <c r="CLA241" s="201"/>
      <c r="CLB241" s="201"/>
      <c r="CLC241" s="201"/>
      <c r="CLD241" s="201"/>
      <c r="CLE241" s="201"/>
      <c r="CLF241" s="201"/>
      <c r="CLG241" s="201"/>
      <c r="CLH241" s="201"/>
      <c r="CLI241" s="201"/>
      <c r="CLJ241" s="201"/>
      <c r="CLK241" s="201"/>
      <c r="CLL241" s="201"/>
      <c r="CLM241" s="201"/>
      <c r="CLN241" s="201"/>
      <c r="CLO241" s="201"/>
      <c r="CLP241" s="201"/>
      <c r="CLQ241" s="201"/>
      <c r="CLR241" s="201"/>
      <c r="CLS241" s="201"/>
      <c r="CLT241" s="201"/>
      <c r="CLU241" s="201"/>
      <c r="CLV241" s="201"/>
      <c r="CLW241" s="201"/>
      <c r="CLX241" s="201"/>
      <c r="CLY241" s="201"/>
      <c r="CLZ241" s="201"/>
      <c r="CMA241" s="201"/>
      <c r="CMB241" s="201"/>
      <c r="CMC241" s="201"/>
      <c r="CMD241" s="201"/>
      <c r="CME241" s="201"/>
      <c r="CMF241" s="201"/>
      <c r="CMG241" s="201"/>
      <c r="CMH241" s="201"/>
      <c r="CMI241" s="201"/>
      <c r="CMJ241" s="201"/>
      <c r="CMK241" s="201"/>
      <c r="CML241" s="201"/>
      <c r="CMM241" s="201"/>
      <c r="CMN241" s="201"/>
      <c r="CMO241" s="201"/>
      <c r="CMP241" s="201"/>
      <c r="CMQ241" s="201"/>
      <c r="CMR241" s="201"/>
      <c r="CMS241" s="201"/>
      <c r="CMT241" s="201"/>
      <c r="CMU241" s="201"/>
      <c r="CMV241" s="201"/>
      <c r="CMW241" s="201"/>
      <c r="CMX241" s="201"/>
      <c r="CMY241" s="201"/>
      <c r="CMZ241" s="201"/>
      <c r="CNA241" s="201"/>
      <c r="CNB241" s="201"/>
      <c r="CNC241" s="201"/>
      <c r="CND241" s="201"/>
      <c r="CNE241" s="201"/>
      <c r="CNF241" s="201"/>
      <c r="CNG241" s="201"/>
      <c r="CNH241" s="201"/>
      <c r="CNI241" s="201"/>
      <c r="CNJ241" s="201"/>
      <c r="CNK241" s="201"/>
      <c r="CNL241" s="201"/>
      <c r="CNM241" s="201"/>
      <c r="CNN241" s="201"/>
      <c r="CNO241" s="201"/>
      <c r="CNP241" s="201"/>
      <c r="CNQ241" s="201"/>
      <c r="CNR241" s="201"/>
      <c r="CNS241" s="201"/>
      <c r="CNT241" s="201"/>
      <c r="CNU241" s="201"/>
      <c r="CNV241" s="201"/>
      <c r="CNW241" s="201"/>
      <c r="CNX241" s="201"/>
      <c r="CNY241" s="201"/>
      <c r="CNZ241" s="201"/>
      <c r="COA241" s="201"/>
      <c r="COB241" s="201"/>
      <c r="COC241" s="201"/>
      <c r="COD241" s="201"/>
      <c r="COE241" s="201"/>
      <c r="COF241" s="201"/>
      <c r="COG241" s="201"/>
      <c r="COH241" s="201"/>
      <c r="COI241" s="201"/>
      <c r="COJ241" s="201"/>
      <c r="COK241" s="201"/>
      <c r="COL241" s="201"/>
      <c r="COM241" s="201"/>
      <c r="CON241" s="201"/>
      <c r="COO241" s="201"/>
      <c r="COP241" s="201"/>
      <c r="COQ241" s="201"/>
      <c r="COR241" s="201"/>
      <c r="COS241" s="201"/>
      <c r="COT241" s="201"/>
      <c r="COU241" s="201"/>
      <c r="COV241" s="201"/>
      <c r="COW241" s="201"/>
      <c r="COX241" s="201"/>
      <c r="COY241" s="201"/>
      <c r="COZ241" s="201"/>
      <c r="CPA241" s="201"/>
      <c r="CPB241" s="201"/>
      <c r="CPC241" s="201"/>
      <c r="CPD241" s="201"/>
      <c r="CPE241" s="201"/>
      <c r="CPF241" s="201"/>
      <c r="CPG241" s="201"/>
      <c r="CPH241" s="201"/>
      <c r="CPI241" s="201"/>
      <c r="CPJ241" s="201"/>
      <c r="CPK241" s="201"/>
      <c r="CPL241" s="201"/>
      <c r="CPM241" s="201"/>
      <c r="CPN241" s="201"/>
      <c r="CPO241" s="201"/>
      <c r="CPP241" s="201"/>
      <c r="CPQ241" s="201"/>
      <c r="CPR241" s="201"/>
      <c r="CPS241" s="201"/>
      <c r="CPT241" s="201"/>
      <c r="CPU241" s="201"/>
      <c r="CPV241" s="201"/>
      <c r="CPW241" s="201"/>
      <c r="CPX241" s="201"/>
      <c r="CPY241" s="201"/>
      <c r="CPZ241" s="201"/>
      <c r="CQA241" s="201"/>
      <c r="CQB241" s="201"/>
      <c r="CQC241" s="201"/>
      <c r="CQD241" s="201"/>
      <c r="CQE241" s="201"/>
      <c r="CQF241" s="201"/>
      <c r="CQG241" s="201"/>
      <c r="CQH241" s="201"/>
      <c r="CQI241" s="201"/>
      <c r="CQJ241" s="201"/>
      <c r="CQK241" s="201"/>
      <c r="CQL241" s="201"/>
      <c r="CQM241" s="201"/>
      <c r="CQN241" s="201"/>
      <c r="CQO241" s="201"/>
      <c r="CQP241" s="201"/>
      <c r="CQQ241" s="201"/>
      <c r="CQR241" s="201"/>
      <c r="CQS241" s="201"/>
      <c r="CQT241" s="201"/>
      <c r="CQU241" s="201"/>
      <c r="CQV241" s="201"/>
      <c r="CQW241" s="201"/>
      <c r="CQX241" s="201"/>
      <c r="CQY241" s="201"/>
      <c r="CQZ241" s="201"/>
      <c r="CRA241" s="201"/>
      <c r="CRB241" s="201"/>
      <c r="CRC241" s="201"/>
      <c r="CRD241" s="201"/>
      <c r="CRE241" s="201"/>
      <c r="CRF241" s="201"/>
      <c r="CRG241" s="201"/>
      <c r="CRH241" s="201"/>
      <c r="CRI241" s="201"/>
      <c r="CRJ241" s="201"/>
      <c r="CRK241" s="201"/>
      <c r="CRL241" s="201"/>
      <c r="CRM241" s="201"/>
      <c r="CRN241" s="201"/>
      <c r="CRO241" s="201"/>
      <c r="CRP241" s="201"/>
      <c r="CRQ241" s="201"/>
      <c r="CRR241" s="201"/>
      <c r="CRS241" s="201"/>
      <c r="CRT241" s="201"/>
      <c r="CRU241" s="201"/>
      <c r="CRV241" s="201"/>
      <c r="CRW241" s="201"/>
      <c r="CRX241" s="201"/>
      <c r="CRY241" s="201"/>
      <c r="CRZ241" s="201"/>
      <c r="CSA241" s="201"/>
      <c r="CSB241" s="201"/>
      <c r="CSC241" s="201"/>
      <c r="CSD241" s="201"/>
      <c r="CSE241" s="201"/>
      <c r="CSF241" s="201"/>
      <c r="CSG241" s="201"/>
      <c r="CSH241" s="201"/>
      <c r="CSI241" s="201"/>
      <c r="CSJ241" s="201"/>
      <c r="CSK241" s="201"/>
      <c r="CSL241" s="201"/>
      <c r="CSM241" s="201"/>
      <c r="CSN241" s="201"/>
      <c r="CSO241" s="201"/>
      <c r="CSP241" s="201"/>
      <c r="CSQ241" s="201"/>
      <c r="CSR241" s="201"/>
      <c r="CSS241" s="201"/>
      <c r="CST241" s="201"/>
      <c r="CSU241" s="201"/>
      <c r="CSV241" s="201"/>
      <c r="CSW241" s="201"/>
      <c r="CSX241" s="201"/>
      <c r="CSY241" s="201"/>
      <c r="CSZ241" s="201"/>
      <c r="CTA241" s="201"/>
      <c r="CTB241" s="201"/>
      <c r="CTC241" s="201"/>
      <c r="CTD241" s="201"/>
      <c r="CTE241" s="201"/>
      <c r="CTF241" s="201"/>
      <c r="CTG241" s="201"/>
      <c r="CTH241" s="201"/>
      <c r="CTI241" s="201"/>
      <c r="CTJ241" s="201"/>
      <c r="CTK241" s="201"/>
      <c r="CTL241" s="201"/>
      <c r="CTM241" s="201"/>
      <c r="CTN241" s="201"/>
      <c r="CTO241" s="201"/>
      <c r="CTP241" s="201"/>
      <c r="CTQ241" s="201"/>
      <c r="CTR241" s="201"/>
      <c r="CTS241" s="201"/>
      <c r="CTT241" s="201"/>
      <c r="CTU241" s="201"/>
      <c r="CTV241" s="201"/>
      <c r="CTW241" s="201"/>
      <c r="CTX241" s="201"/>
      <c r="CTY241" s="201"/>
      <c r="CTZ241" s="201"/>
      <c r="CUA241" s="201"/>
      <c r="CUB241" s="201"/>
      <c r="CUC241" s="201"/>
      <c r="CUD241" s="201"/>
      <c r="CUE241" s="201"/>
      <c r="CUF241" s="201"/>
      <c r="CUG241" s="201"/>
      <c r="CUH241" s="201"/>
      <c r="CUI241" s="201"/>
      <c r="CUJ241" s="201"/>
      <c r="CUK241" s="201"/>
      <c r="CUL241" s="201"/>
      <c r="CUM241" s="201"/>
      <c r="CUN241" s="201"/>
      <c r="CUO241" s="201"/>
      <c r="CUP241" s="201"/>
      <c r="CUQ241" s="201"/>
      <c r="CUR241" s="201"/>
      <c r="CUS241" s="201"/>
      <c r="CUT241" s="201"/>
      <c r="CUU241" s="201"/>
      <c r="CUV241" s="201"/>
      <c r="CUW241" s="201"/>
      <c r="CUX241" s="201"/>
      <c r="CUY241" s="201"/>
      <c r="CUZ241" s="201"/>
      <c r="CVA241" s="201"/>
      <c r="CVB241" s="201"/>
      <c r="CVC241" s="201"/>
      <c r="CVD241" s="201"/>
      <c r="CVE241" s="201"/>
      <c r="CVF241" s="201"/>
      <c r="CVG241" s="201"/>
      <c r="CVH241" s="201"/>
      <c r="CVI241" s="201"/>
      <c r="CVJ241" s="201"/>
      <c r="CVK241" s="201"/>
      <c r="CVL241" s="201"/>
      <c r="CVM241" s="201"/>
      <c r="CVN241" s="201"/>
      <c r="CVO241" s="201"/>
      <c r="CVP241" s="201"/>
      <c r="CVQ241" s="201"/>
      <c r="CVR241" s="201"/>
      <c r="CVS241" s="201"/>
      <c r="CVT241" s="201"/>
      <c r="CVU241" s="201"/>
      <c r="CVV241" s="201"/>
      <c r="CVW241" s="201"/>
      <c r="CVX241" s="201"/>
      <c r="CVY241" s="201"/>
      <c r="CVZ241" s="201"/>
      <c r="CWA241" s="201"/>
      <c r="CWB241" s="201"/>
      <c r="CWC241" s="201"/>
      <c r="CWD241" s="201"/>
      <c r="CWE241" s="201"/>
      <c r="CWF241" s="201"/>
      <c r="CWG241" s="201"/>
      <c r="CWH241" s="201"/>
      <c r="CWI241" s="201"/>
      <c r="CWJ241" s="201"/>
      <c r="CWK241" s="201"/>
      <c r="CWL241" s="201"/>
      <c r="CWM241" s="201"/>
      <c r="CWN241" s="201"/>
      <c r="CWO241" s="201"/>
      <c r="CWP241" s="201"/>
      <c r="CWQ241" s="201"/>
      <c r="CWR241" s="201"/>
      <c r="CWS241" s="201"/>
      <c r="CWT241" s="201"/>
      <c r="CWU241" s="201"/>
      <c r="CWV241" s="201"/>
      <c r="CWW241" s="201"/>
      <c r="CWX241" s="201"/>
      <c r="CWY241" s="201"/>
      <c r="CWZ241" s="201"/>
      <c r="CXA241" s="201"/>
      <c r="CXB241" s="201"/>
      <c r="CXC241" s="201"/>
      <c r="CXD241" s="201"/>
      <c r="CXE241" s="201"/>
      <c r="CXF241" s="201"/>
      <c r="CXG241" s="201"/>
      <c r="CXH241" s="201"/>
      <c r="CXI241" s="201"/>
      <c r="CXJ241" s="201"/>
      <c r="CXK241" s="201"/>
      <c r="CXL241" s="201"/>
      <c r="CXM241" s="201"/>
      <c r="CXN241" s="201"/>
      <c r="CXO241" s="201"/>
      <c r="CXP241" s="201"/>
      <c r="CXQ241" s="201"/>
      <c r="CXR241" s="201"/>
      <c r="CXS241" s="201"/>
      <c r="CXT241" s="201"/>
      <c r="CXU241" s="201"/>
      <c r="CXV241" s="201"/>
      <c r="CXW241" s="201"/>
      <c r="CXX241" s="201"/>
      <c r="CXY241" s="201"/>
      <c r="CXZ241" s="201"/>
      <c r="CYA241" s="201"/>
      <c r="CYB241" s="201"/>
      <c r="CYC241" s="201"/>
      <c r="CYD241" s="201"/>
      <c r="CYE241" s="201"/>
      <c r="CYF241" s="201"/>
      <c r="CYG241" s="201"/>
      <c r="CYH241" s="201"/>
      <c r="CYI241" s="201"/>
      <c r="CYJ241" s="201"/>
      <c r="CYK241" s="201"/>
      <c r="CYL241" s="201"/>
      <c r="CYM241" s="201"/>
      <c r="CYN241" s="201"/>
      <c r="CYO241" s="201"/>
      <c r="CYP241" s="201"/>
      <c r="CYQ241" s="201"/>
      <c r="CYR241" s="201"/>
      <c r="CYS241" s="201"/>
      <c r="CYT241" s="201"/>
      <c r="CYU241" s="201"/>
      <c r="CYV241" s="201"/>
      <c r="CYW241" s="201"/>
      <c r="CYX241" s="201"/>
      <c r="CYY241" s="201"/>
      <c r="CYZ241" s="201"/>
      <c r="CZA241" s="201"/>
      <c r="CZB241" s="201"/>
      <c r="CZC241" s="201"/>
      <c r="CZD241" s="201"/>
      <c r="CZE241" s="201"/>
      <c r="CZF241" s="201"/>
      <c r="CZG241" s="201"/>
      <c r="CZH241" s="201"/>
      <c r="CZI241" s="201"/>
      <c r="CZJ241" s="201"/>
      <c r="CZK241" s="201"/>
      <c r="CZL241" s="201"/>
      <c r="CZM241" s="201"/>
      <c r="CZN241" s="201"/>
      <c r="CZO241" s="201"/>
      <c r="CZP241" s="201"/>
      <c r="CZQ241" s="201"/>
      <c r="CZR241" s="201"/>
      <c r="CZS241" s="201"/>
      <c r="CZT241" s="201"/>
      <c r="CZU241" s="201"/>
      <c r="CZV241" s="201"/>
      <c r="CZW241" s="201"/>
      <c r="CZX241" s="201"/>
      <c r="CZY241" s="201"/>
      <c r="CZZ241" s="201"/>
      <c r="DAA241" s="201"/>
      <c r="DAB241" s="201"/>
      <c r="DAC241" s="201"/>
      <c r="DAD241" s="201"/>
      <c r="DAE241" s="201"/>
      <c r="DAF241" s="201"/>
      <c r="DAG241" s="201"/>
      <c r="DAH241" s="201"/>
      <c r="DAI241" s="201"/>
      <c r="DAJ241" s="201"/>
      <c r="DAK241" s="201"/>
      <c r="DAL241" s="201"/>
      <c r="DAM241" s="201"/>
      <c r="DAN241" s="201"/>
      <c r="DAO241" s="201"/>
      <c r="DAP241" s="201"/>
      <c r="DAQ241" s="201"/>
      <c r="DAR241" s="201"/>
      <c r="DAS241" s="201"/>
      <c r="DAT241" s="201"/>
      <c r="DAU241" s="201"/>
      <c r="DAV241" s="201"/>
      <c r="DAW241" s="201"/>
      <c r="DAX241" s="201"/>
      <c r="DAY241" s="201"/>
      <c r="DAZ241" s="201"/>
      <c r="DBA241" s="201"/>
      <c r="DBB241" s="201"/>
      <c r="DBC241" s="201"/>
      <c r="DBD241" s="201"/>
      <c r="DBE241" s="201"/>
      <c r="DBF241" s="201"/>
      <c r="DBG241" s="201"/>
      <c r="DBH241" s="201"/>
      <c r="DBI241" s="201"/>
      <c r="DBJ241" s="201"/>
      <c r="DBK241" s="201"/>
      <c r="DBL241" s="201"/>
      <c r="DBM241" s="201"/>
      <c r="DBN241" s="201"/>
      <c r="DBO241" s="201"/>
      <c r="DBP241" s="201"/>
      <c r="DBQ241" s="201"/>
      <c r="DBR241" s="201"/>
      <c r="DBS241" s="201"/>
      <c r="DBT241" s="201"/>
      <c r="DBU241" s="201"/>
      <c r="DBV241" s="201"/>
      <c r="DBW241" s="201"/>
      <c r="DBX241" s="201"/>
      <c r="DBY241" s="201"/>
      <c r="DBZ241" s="201"/>
      <c r="DCA241" s="201"/>
      <c r="DCB241" s="201"/>
      <c r="DCC241" s="201"/>
      <c r="DCD241" s="201"/>
      <c r="DCE241" s="201"/>
      <c r="DCF241" s="201"/>
      <c r="DCG241" s="201"/>
      <c r="DCH241" s="201"/>
      <c r="DCI241" s="201"/>
      <c r="DCJ241" s="201"/>
      <c r="DCK241" s="201"/>
      <c r="DCL241" s="201"/>
      <c r="DCM241" s="201"/>
      <c r="DCN241" s="201"/>
      <c r="DCO241" s="201"/>
      <c r="DCP241" s="201"/>
      <c r="DCQ241" s="201"/>
      <c r="DCR241" s="201"/>
      <c r="DCS241" s="201"/>
      <c r="DCT241" s="201"/>
      <c r="DCU241" s="201"/>
      <c r="DCV241" s="201"/>
      <c r="DCW241" s="201"/>
      <c r="DCX241" s="201"/>
      <c r="DCY241" s="201"/>
      <c r="DCZ241" s="201"/>
      <c r="DDA241" s="201"/>
      <c r="DDB241" s="201"/>
      <c r="DDC241" s="201"/>
      <c r="DDD241" s="201"/>
      <c r="DDE241" s="201"/>
      <c r="DDF241" s="201"/>
      <c r="DDG241" s="201"/>
      <c r="DDH241" s="201"/>
      <c r="DDI241" s="201"/>
      <c r="DDJ241" s="201"/>
      <c r="DDK241" s="201"/>
      <c r="DDL241" s="201"/>
      <c r="DDM241" s="201"/>
      <c r="DDN241" s="201"/>
      <c r="DDO241" s="201"/>
      <c r="DDP241" s="201"/>
      <c r="DDQ241" s="201"/>
      <c r="DDR241" s="201"/>
      <c r="DDS241" s="201"/>
      <c r="DDT241" s="201"/>
      <c r="DDU241" s="201"/>
      <c r="DDV241" s="201"/>
      <c r="DDW241" s="201"/>
      <c r="DDX241" s="201"/>
      <c r="DDY241" s="201"/>
      <c r="DDZ241" s="201"/>
      <c r="DEA241" s="201"/>
      <c r="DEB241" s="201"/>
      <c r="DEC241" s="201"/>
      <c r="DED241" s="201"/>
      <c r="DEE241" s="201"/>
      <c r="DEF241" s="201"/>
      <c r="DEG241" s="201"/>
      <c r="DEH241" s="201"/>
      <c r="DEI241" s="201"/>
      <c r="DEJ241" s="201"/>
      <c r="DEK241" s="201"/>
      <c r="DEL241" s="201"/>
      <c r="DEM241" s="201"/>
      <c r="DEN241" s="201"/>
      <c r="DEO241" s="201"/>
      <c r="DEP241" s="201"/>
      <c r="DEQ241" s="201"/>
      <c r="DER241" s="201"/>
      <c r="DES241" s="201"/>
      <c r="DET241" s="201"/>
      <c r="DEU241" s="201"/>
      <c r="DEV241" s="201"/>
      <c r="DEW241" s="201"/>
      <c r="DEX241" s="201"/>
      <c r="DEY241" s="201"/>
      <c r="DEZ241" s="201"/>
      <c r="DFA241" s="201"/>
      <c r="DFB241" s="201"/>
      <c r="DFC241" s="201"/>
      <c r="DFD241" s="201"/>
      <c r="DFE241" s="201"/>
      <c r="DFF241" s="201"/>
      <c r="DFG241" s="201"/>
      <c r="DFH241" s="201"/>
      <c r="DFI241" s="201"/>
      <c r="DFJ241" s="201"/>
      <c r="DFK241" s="201"/>
      <c r="DFL241" s="201"/>
      <c r="DFM241" s="201"/>
      <c r="DFN241" s="201"/>
      <c r="DFO241" s="201"/>
      <c r="DFP241" s="201"/>
      <c r="DFQ241" s="201"/>
      <c r="DFR241" s="201"/>
      <c r="DFS241" s="201"/>
      <c r="DFT241" s="201"/>
      <c r="DFU241" s="201"/>
      <c r="DFV241" s="201"/>
      <c r="DFW241" s="201"/>
      <c r="DFX241" s="201"/>
      <c r="DFY241" s="201"/>
      <c r="DFZ241" s="201"/>
      <c r="DGA241" s="201"/>
      <c r="DGB241" s="201"/>
      <c r="DGC241" s="201"/>
      <c r="DGD241" s="201"/>
      <c r="DGE241" s="201"/>
      <c r="DGF241" s="201"/>
      <c r="DGG241" s="201"/>
      <c r="DGH241" s="201"/>
      <c r="DGI241" s="201"/>
      <c r="DGJ241" s="201"/>
      <c r="DGK241" s="201"/>
      <c r="DGL241" s="201"/>
      <c r="DGM241" s="201"/>
      <c r="DGN241" s="201"/>
      <c r="DGO241" s="201"/>
      <c r="DGP241" s="201"/>
      <c r="DGQ241" s="201"/>
      <c r="DGR241" s="201"/>
      <c r="DGS241" s="201"/>
      <c r="DGT241" s="201"/>
      <c r="DGU241" s="201"/>
      <c r="DGV241" s="201"/>
      <c r="DGW241" s="201"/>
      <c r="DGX241" s="201"/>
      <c r="DGY241" s="201"/>
      <c r="DGZ241" s="201"/>
      <c r="DHA241" s="201"/>
      <c r="DHB241" s="201"/>
      <c r="DHC241" s="201"/>
      <c r="DHD241" s="201"/>
      <c r="DHE241" s="201"/>
      <c r="DHF241" s="201"/>
      <c r="DHG241" s="201"/>
      <c r="DHH241" s="201"/>
      <c r="DHI241" s="201"/>
      <c r="DHJ241" s="201"/>
      <c r="DHK241" s="201"/>
      <c r="DHL241" s="201"/>
      <c r="DHM241" s="201"/>
      <c r="DHN241" s="201"/>
      <c r="DHO241" s="201"/>
      <c r="DHP241" s="201"/>
      <c r="DHQ241" s="201"/>
      <c r="DHR241" s="201"/>
      <c r="DHS241" s="201"/>
      <c r="DHT241" s="201"/>
      <c r="DHU241" s="201"/>
      <c r="DHV241" s="201"/>
      <c r="DHW241" s="201"/>
      <c r="DHX241" s="201"/>
      <c r="DHY241" s="201"/>
      <c r="DHZ241" s="201"/>
      <c r="DIA241" s="201"/>
      <c r="DIB241" s="201"/>
      <c r="DIC241" s="201"/>
      <c r="DID241" s="201"/>
      <c r="DIE241" s="201"/>
      <c r="DIF241" s="201"/>
      <c r="DIG241" s="201"/>
      <c r="DIH241" s="201"/>
      <c r="DII241" s="201"/>
      <c r="DIJ241" s="201"/>
      <c r="DIK241" s="201"/>
      <c r="DIL241" s="201"/>
      <c r="DIM241" s="201"/>
      <c r="DIN241" s="201"/>
      <c r="DIO241" s="201"/>
      <c r="DIP241" s="201"/>
      <c r="DIQ241" s="201"/>
      <c r="DIR241" s="201"/>
      <c r="DIS241" s="201"/>
      <c r="DIT241" s="201"/>
      <c r="DIU241" s="201"/>
      <c r="DIV241" s="201"/>
      <c r="DIW241" s="201"/>
      <c r="DIX241" s="201"/>
      <c r="DIY241" s="201"/>
      <c r="DIZ241" s="201"/>
      <c r="DJA241" s="201"/>
      <c r="DJB241" s="201"/>
      <c r="DJC241" s="201"/>
      <c r="DJD241" s="201"/>
      <c r="DJE241" s="201"/>
      <c r="DJF241" s="201"/>
      <c r="DJG241" s="201"/>
      <c r="DJH241" s="201"/>
      <c r="DJI241" s="201"/>
      <c r="DJJ241" s="201"/>
      <c r="DJK241" s="201"/>
      <c r="DJL241" s="201"/>
      <c r="DJM241" s="201"/>
      <c r="DJN241" s="201"/>
      <c r="DJO241" s="201"/>
      <c r="DJP241" s="201"/>
      <c r="DJQ241" s="201"/>
      <c r="DJR241" s="201"/>
      <c r="DJS241" s="201"/>
      <c r="DJT241" s="201"/>
      <c r="DJU241" s="201"/>
      <c r="DJV241" s="201"/>
      <c r="DJW241" s="201"/>
      <c r="DJX241" s="201"/>
      <c r="DJY241" s="201"/>
      <c r="DJZ241" s="201"/>
      <c r="DKA241" s="201"/>
      <c r="DKB241" s="201"/>
      <c r="DKC241" s="201"/>
      <c r="DKD241" s="201"/>
      <c r="DKE241" s="201"/>
      <c r="DKF241" s="201"/>
      <c r="DKG241" s="201"/>
      <c r="DKH241" s="201"/>
      <c r="DKI241" s="201"/>
      <c r="DKJ241" s="201"/>
      <c r="DKK241" s="201"/>
      <c r="DKL241" s="201"/>
      <c r="DKM241" s="201"/>
      <c r="DKN241" s="201"/>
      <c r="DKO241" s="201"/>
      <c r="DKP241" s="201"/>
      <c r="DKQ241" s="201"/>
      <c r="DKR241" s="201"/>
      <c r="DKS241" s="201"/>
      <c r="DKT241" s="201"/>
      <c r="DKU241" s="201"/>
      <c r="DKV241" s="201"/>
      <c r="DKW241" s="201"/>
      <c r="DKX241" s="201"/>
      <c r="DKY241" s="201"/>
      <c r="DKZ241" s="201"/>
      <c r="DLA241" s="201"/>
      <c r="DLB241" s="201"/>
      <c r="DLC241" s="201"/>
      <c r="DLD241" s="201"/>
      <c r="DLE241" s="201"/>
      <c r="DLF241" s="201"/>
      <c r="DLG241" s="201"/>
      <c r="DLH241" s="201"/>
      <c r="DLI241" s="201"/>
      <c r="DLJ241" s="201"/>
      <c r="DLK241" s="201"/>
      <c r="DLL241" s="201"/>
      <c r="DLM241" s="201"/>
      <c r="DLN241" s="201"/>
      <c r="DLO241" s="201"/>
      <c r="DLP241" s="201"/>
      <c r="DLQ241" s="201"/>
      <c r="DLR241" s="201"/>
      <c r="DLS241" s="201"/>
      <c r="DLT241" s="201"/>
      <c r="DLU241" s="201"/>
      <c r="DLV241" s="201"/>
      <c r="DLW241" s="201"/>
      <c r="DLX241" s="201"/>
      <c r="DLY241" s="201"/>
      <c r="DLZ241" s="201"/>
      <c r="DMA241" s="201"/>
      <c r="DMB241" s="201"/>
      <c r="DMC241" s="201"/>
      <c r="DMD241" s="201"/>
      <c r="DME241" s="201"/>
      <c r="DMF241" s="201"/>
      <c r="DMG241" s="201"/>
      <c r="DMH241" s="201"/>
      <c r="DMI241" s="201"/>
      <c r="DMJ241" s="201"/>
      <c r="DMK241" s="201"/>
      <c r="DML241" s="201"/>
      <c r="DMM241" s="201"/>
      <c r="DMN241" s="201"/>
      <c r="DMO241" s="201"/>
      <c r="DMP241" s="201"/>
      <c r="DMQ241" s="201"/>
      <c r="DMR241" s="201"/>
      <c r="DMS241" s="201"/>
      <c r="DMT241" s="201"/>
      <c r="DMU241" s="201"/>
      <c r="DMV241" s="201"/>
      <c r="DMW241" s="201"/>
      <c r="DMX241" s="201"/>
      <c r="DMY241" s="201"/>
      <c r="DMZ241" s="201"/>
      <c r="DNA241" s="201"/>
      <c r="DNB241" s="201"/>
      <c r="DNC241" s="201"/>
      <c r="DND241" s="201"/>
      <c r="DNE241" s="201"/>
      <c r="DNF241" s="201"/>
      <c r="DNG241" s="201"/>
      <c r="DNH241" s="201"/>
      <c r="DNI241" s="201"/>
      <c r="DNJ241" s="201"/>
      <c r="DNK241" s="201"/>
      <c r="DNL241" s="201"/>
      <c r="DNM241" s="201"/>
      <c r="DNN241" s="201"/>
      <c r="DNO241" s="201"/>
      <c r="DNP241" s="201"/>
      <c r="DNQ241" s="201"/>
      <c r="DNR241" s="201"/>
      <c r="DNS241" s="201"/>
      <c r="DNT241" s="201"/>
      <c r="DNU241" s="201"/>
      <c r="DNV241" s="201"/>
      <c r="DNW241" s="201"/>
      <c r="DNX241" s="201"/>
      <c r="DNY241" s="201"/>
      <c r="DNZ241" s="201"/>
      <c r="DOA241" s="201"/>
      <c r="DOB241" s="201"/>
      <c r="DOC241" s="201"/>
      <c r="DOD241" s="201"/>
      <c r="DOE241" s="201"/>
      <c r="DOF241" s="201"/>
      <c r="DOG241" s="201"/>
      <c r="DOH241" s="201"/>
      <c r="DOI241" s="201"/>
      <c r="DOJ241" s="201"/>
      <c r="DOK241" s="201"/>
      <c r="DOL241" s="201"/>
      <c r="DOM241" s="201"/>
      <c r="DON241" s="201"/>
      <c r="DOO241" s="201"/>
      <c r="DOP241" s="201"/>
      <c r="DOQ241" s="201"/>
      <c r="DOR241" s="201"/>
      <c r="DOS241" s="201"/>
      <c r="DOT241" s="201"/>
      <c r="DOU241" s="201"/>
      <c r="DOV241" s="201"/>
      <c r="DOW241" s="201"/>
      <c r="DOX241" s="201"/>
      <c r="DOY241" s="201"/>
      <c r="DOZ241" s="201"/>
      <c r="DPA241" s="201"/>
      <c r="DPB241" s="201"/>
      <c r="DPC241" s="201"/>
      <c r="DPD241" s="201"/>
      <c r="DPE241" s="201"/>
      <c r="DPF241" s="201"/>
      <c r="DPG241" s="201"/>
      <c r="DPH241" s="201"/>
      <c r="DPI241" s="201"/>
      <c r="DPJ241" s="201"/>
      <c r="DPK241" s="201"/>
      <c r="DPL241" s="201"/>
      <c r="DPM241" s="201"/>
      <c r="DPN241" s="201"/>
      <c r="DPO241" s="201"/>
      <c r="DPP241" s="201"/>
      <c r="DPQ241" s="201"/>
      <c r="DPR241" s="201"/>
      <c r="DPS241" s="201"/>
      <c r="DPT241" s="201"/>
      <c r="DPU241" s="201"/>
      <c r="DPV241" s="201"/>
      <c r="DPW241" s="201"/>
      <c r="DPX241" s="201"/>
      <c r="DPY241" s="201"/>
      <c r="DPZ241" s="201"/>
      <c r="DQA241" s="201"/>
      <c r="DQB241" s="201"/>
      <c r="DQC241" s="201"/>
      <c r="DQD241" s="201"/>
      <c r="DQE241" s="201"/>
      <c r="DQF241" s="201"/>
      <c r="DQG241" s="201"/>
      <c r="DQH241" s="201"/>
      <c r="DQI241" s="201"/>
      <c r="DQJ241" s="201"/>
      <c r="DQK241" s="201"/>
      <c r="DQL241" s="201"/>
      <c r="DQM241" s="201"/>
      <c r="DQN241" s="201"/>
      <c r="DQO241" s="201"/>
      <c r="DQP241" s="201"/>
      <c r="DQQ241" s="201"/>
      <c r="DQR241" s="201"/>
      <c r="DQS241" s="201"/>
      <c r="DQT241" s="201"/>
      <c r="DQU241" s="201"/>
      <c r="DQV241" s="201"/>
      <c r="DQW241" s="201"/>
      <c r="DQX241" s="201"/>
      <c r="DQY241" s="201"/>
      <c r="DQZ241" s="201"/>
      <c r="DRA241" s="201"/>
      <c r="DRB241" s="201"/>
      <c r="DRC241" s="201"/>
      <c r="DRD241" s="201"/>
      <c r="DRE241" s="201"/>
      <c r="DRF241" s="201"/>
      <c r="DRG241" s="201"/>
      <c r="DRH241" s="201"/>
      <c r="DRI241" s="201"/>
      <c r="DRJ241" s="201"/>
      <c r="DRK241" s="201"/>
      <c r="DRL241" s="201"/>
      <c r="DRM241" s="201"/>
      <c r="DRN241" s="201"/>
      <c r="DRO241" s="201"/>
      <c r="DRP241" s="201"/>
      <c r="DRQ241" s="201"/>
      <c r="DRR241" s="201"/>
      <c r="DRS241" s="201"/>
      <c r="DRT241" s="201"/>
      <c r="DRU241" s="201"/>
      <c r="DRV241" s="201"/>
      <c r="DRW241" s="201"/>
      <c r="DRX241" s="201"/>
      <c r="DRY241" s="201"/>
      <c r="DRZ241" s="201"/>
      <c r="DSA241" s="201"/>
      <c r="DSB241" s="201"/>
      <c r="DSC241" s="201"/>
      <c r="DSD241" s="201"/>
      <c r="DSE241" s="201"/>
      <c r="DSF241" s="201"/>
      <c r="DSG241" s="201"/>
      <c r="DSH241" s="201"/>
      <c r="DSI241" s="201"/>
      <c r="DSJ241" s="201"/>
      <c r="DSK241" s="201"/>
      <c r="DSL241" s="201"/>
      <c r="DSM241" s="201"/>
      <c r="DSN241" s="201"/>
      <c r="DSO241" s="201"/>
      <c r="DSP241" s="201"/>
      <c r="DSQ241" s="201"/>
      <c r="DSR241" s="201"/>
      <c r="DSS241" s="201"/>
      <c r="DST241" s="201"/>
      <c r="DSU241" s="201"/>
      <c r="DSV241" s="201"/>
      <c r="DSW241" s="201"/>
      <c r="DSX241" s="201"/>
      <c r="DSY241" s="201"/>
      <c r="DSZ241" s="201"/>
      <c r="DTA241" s="201"/>
      <c r="DTB241" s="201"/>
      <c r="DTC241" s="201"/>
      <c r="DTD241" s="201"/>
      <c r="DTE241" s="201"/>
      <c r="DTF241" s="201"/>
      <c r="DTG241" s="201"/>
      <c r="DTH241" s="201"/>
      <c r="DTI241" s="201"/>
      <c r="DTJ241" s="201"/>
      <c r="DTK241" s="201"/>
      <c r="DTL241" s="201"/>
      <c r="DTM241" s="201"/>
      <c r="DTN241" s="201"/>
      <c r="DTO241" s="201"/>
      <c r="DTP241" s="201"/>
      <c r="DTQ241" s="201"/>
      <c r="DTR241" s="201"/>
      <c r="DTS241" s="201"/>
      <c r="DTT241" s="201"/>
      <c r="DTU241" s="201"/>
      <c r="DTV241" s="201"/>
      <c r="DTW241" s="201"/>
      <c r="DTX241" s="201"/>
      <c r="DTY241" s="201"/>
      <c r="DTZ241" s="201"/>
      <c r="DUA241" s="201"/>
      <c r="DUB241" s="201"/>
      <c r="DUC241" s="201"/>
      <c r="DUD241" s="201"/>
      <c r="DUE241" s="201"/>
      <c r="DUF241" s="201"/>
      <c r="DUG241" s="201"/>
      <c r="DUH241" s="201"/>
      <c r="DUI241" s="201"/>
      <c r="DUJ241" s="201"/>
      <c r="DUK241" s="201"/>
      <c r="DUL241" s="201"/>
      <c r="DUM241" s="201"/>
      <c r="DUN241" s="201"/>
      <c r="DUO241" s="201"/>
      <c r="DUP241" s="201"/>
      <c r="DUQ241" s="201"/>
      <c r="DUR241" s="201"/>
      <c r="DUS241" s="201"/>
      <c r="DUT241" s="201"/>
      <c r="DUU241" s="201"/>
      <c r="DUV241" s="201"/>
      <c r="DUW241" s="201"/>
      <c r="DUX241" s="201"/>
      <c r="DUY241" s="201"/>
      <c r="DUZ241" s="201"/>
      <c r="DVA241" s="201"/>
      <c r="DVB241" s="201"/>
      <c r="DVC241" s="201"/>
      <c r="DVD241" s="201"/>
      <c r="DVE241" s="201"/>
      <c r="DVF241" s="201"/>
      <c r="DVG241" s="201"/>
      <c r="DVH241" s="201"/>
      <c r="DVI241" s="201"/>
      <c r="DVJ241" s="201"/>
      <c r="DVK241" s="201"/>
      <c r="DVL241" s="201"/>
      <c r="DVM241" s="201"/>
      <c r="DVN241" s="201"/>
      <c r="DVO241" s="201"/>
      <c r="DVP241" s="201"/>
      <c r="DVQ241" s="201"/>
      <c r="DVR241" s="201"/>
      <c r="DVS241" s="201"/>
      <c r="DVT241" s="201"/>
      <c r="DVU241" s="201"/>
      <c r="DVV241" s="201"/>
      <c r="DVW241" s="201"/>
      <c r="DVX241" s="201"/>
      <c r="DVY241" s="201"/>
      <c r="DVZ241" s="201"/>
      <c r="DWA241" s="201"/>
      <c r="DWB241" s="201"/>
      <c r="DWC241" s="201"/>
      <c r="DWD241" s="201"/>
      <c r="DWE241" s="201"/>
      <c r="DWF241" s="201"/>
      <c r="DWG241" s="201"/>
      <c r="DWH241" s="201"/>
      <c r="DWI241" s="201"/>
      <c r="DWJ241" s="201"/>
      <c r="DWK241" s="201"/>
      <c r="DWL241" s="201"/>
      <c r="DWM241" s="201"/>
      <c r="DWN241" s="201"/>
      <c r="DWO241" s="201"/>
      <c r="DWP241" s="201"/>
      <c r="DWQ241" s="201"/>
      <c r="DWR241" s="201"/>
      <c r="DWS241" s="201"/>
      <c r="DWT241" s="201"/>
      <c r="DWU241" s="201"/>
      <c r="DWV241" s="201"/>
      <c r="DWW241" s="201"/>
      <c r="DWX241" s="201"/>
      <c r="DWY241" s="201"/>
      <c r="DWZ241" s="201"/>
      <c r="DXA241" s="201"/>
      <c r="DXB241" s="201"/>
      <c r="DXC241" s="201"/>
      <c r="DXD241" s="201"/>
      <c r="DXE241" s="201"/>
      <c r="DXF241" s="201"/>
      <c r="DXG241" s="201"/>
      <c r="DXH241" s="201"/>
      <c r="DXI241" s="201"/>
      <c r="DXJ241" s="201"/>
      <c r="DXK241" s="201"/>
      <c r="DXL241" s="201"/>
      <c r="DXM241" s="201"/>
      <c r="DXN241" s="201"/>
      <c r="DXO241" s="201"/>
      <c r="DXP241" s="201"/>
      <c r="DXQ241" s="201"/>
      <c r="DXR241" s="201"/>
      <c r="DXS241" s="201"/>
      <c r="DXT241" s="201"/>
      <c r="DXU241" s="201"/>
      <c r="DXV241" s="201"/>
      <c r="DXW241" s="201"/>
      <c r="DXX241" s="201"/>
      <c r="DXY241" s="201"/>
      <c r="DXZ241" s="201"/>
      <c r="DYA241" s="201"/>
      <c r="DYB241" s="201"/>
      <c r="DYC241" s="201"/>
      <c r="DYD241" s="201"/>
      <c r="DYE241" s="201"/>
      <c r="DYF241" s="201"/>
      <c r="DYG241" s="201"/>
      <c r="DYH241" s="201"/>
      <c r="DYI241" s="201"/>
      <c r="DYJ241" s="201"/>
      <c r="DYK241" s="201"/>
      <c r="DYL241" s="201"/>
      <c r="DYM241" s="201"/>
      <c r="DYN241" s="201"/>
      <c r="DYO241" s="201"/>
      <c r="DYP241" s="201"/>
      <c r="DYQ241" s="201"/>
      <c r="DYR241" s="201"/>
      <c r="DYS241" s="201"/>
      <c r="DYT241" s="201"/>
      <c r="DYU241" s="201"/>
      <c r="DYV241" s="201"/>
      <c r="DYW241" s="201"/>
      <c r="DYX241" s="201"/>
      <c r="DYY241" s="201"/>
      <c r="DYZ241" s="201"/>
      <c r="DZA241" s="201"/>
      <c r="DZB241" s="201"/>
      <c r="DZC241" s="201"/>
      <c r="DZD241" s="201"/>
      <c r="DZE241" s="201"/>
      <c r="DZF241" s="201"/>
      <c r="DZG241" s="201"/>
      <c r="DZH241" s="201"/>
      <c r="DZI241" s="201"/>
      <c r="DZJ241" s="201"/>
      <c r="DZK241" s="201"/>
      <c r="DZL241" s="201"/>
      <c r="DZM241" s="201"/>
      <c r="DZN241" s="201"/>
      <c r="DZO241" s="201"/>
      <c r="DZP241" s="201"/>
      <c r="DZQ241" s="201"/>
      <c r="DZR241" s="201"/>
      <c r="DZS241" s="201"/>
      <c r="DZT241" s="201"/>
      <c r="DZU241" s="201"/>
      <c r="DZV241" s="201"/>
      <c r="DZW241" s="201"/>
      <c r="DZX241" s="201"/>
      <c r="DZY241" s="201"/>
      <c r="DZZ241" s="201"/>
      <c r="EAA241" s="201"/>
      <c r="EAB241" s="201"/>
      <c r="EAC241" s="201"/>
      <c r="EAD241" s="201"/>
      <c r="EAE241" s="201"/>
      <c r="EAF241" s="201"/>
      <c r="EAG241" s="201"/>
      <c r="EAH241" s="201"/>
      <c r="EAI241" s="201"/>
      <c r="EAJ241" s="201"/>
      <c r="EAK241" s="201"/>
      <c r="EAL241" s="201"/>
      <c r="EAM241" s="201"/>
      <c r="EAN241" s="201"/>
      <c r="EAO241" s="201"/>
      <c r="EAP241" s="201"/>
      <c r="EAQ241" s="201"/>
      <c r="EAR241" s="201"/>
      <c r="EAS241" s="201"/>
      <c r="EAT241" s="201"/>
      <c r="EAU241" s="201"/>
      <c r="EAV241" s="201"/>
      <c r="EAW241" s="201"/>
      <c r="EAX241" s="201"/>
      <c r="EAY241" s="201"/>
      <c r="EAZ241" s="201"/>
      <c r="EBA241" s="201"/>
      <c r="EBB241" s="201"/>
      <c r="EBC241" s="201"/>
      <c r="EBD241" s="201"/>
      <c r="EBE241" s="201"/>
      <c r="EBF241" s="201"/>
      <c r="EBG241" s="201"/>
      <c r="EBH241" s="201"/>
      <c r="EBI241" s="201"/>
      <c r="EBJ241" s="201"/>
      <c r="EBK241" s="201"/>
      <c r="EBL241" s="201"/>
      <c r="EBM241" s="201"/>
      <c r="EBN241" s="201"/>
      <c r="EBO241" s="201"/>
      <c r="EBP241" s="201"/>
      <c r="EBQ241" s="201"/>
      <c r="EBR241" s="201"/>
      <c r="EBS241" s="201"/>
      <c r="EBT241" s="201"/>
      <c r="EBU241" s="201"/>
      <c r="EBV241" s="201"/>
      <c r="EBW241" s="201"/>
      <c r="EBX241" s="201"/>
      <c r="EBY241" s="201"/>
      <c r="EBZ241" s="201"/>
      <c r="ECA241" s="201"/>
      <c r="ECB241" s="201"/>
      <c r="ECC241" s="201"/>
      <c r="ECD241" s="201"/>
      <c r="ECE241" s="201"/>
      <c r="ECF241" s="201"/>
      <c r="ECG241" s="201"/>
      <c r="ECH241" s="201"/>
      <c r="ECI241" s="201"/>
      <c r="ECJ241" s="201"/>
      <c r="ECK241" s="201"/>
      <c r="ECL241" s="201"/>
      <c r="ECM241" s="201"/>
      <c r="ECN241" s="201"/>
      <c r="ECO241" s="201"/>
      <c r="ECP241" s="201"/>
      <c r="ECQ241" s="201"/>
      <c r="ECR241" s="201"/>
      <c r="ECS241" s="201"/>
      <c r="ECT241" s="201"/>
      <c r="ECU241" s="201"/>
      <c r="ECV241" s="201"/>
      <c r="ECW241" s="201"/>
      <c r="ECX241" s="201"/>
      <c r="ECY241" s="201"/>
      <c r="ECZ241" s="201"/>
      <c r="EDA241" s="201"/>
      <c r="EDB241" s="201"/>
      <c r="EDC241" s="201"/>
      <c r="EDD241" s="201"/>
      <c r="EDE241" s="201"/>
      <c r="EDF241" s="201"/>
      <c r="EDG241" s="201"/>
      <c r="EDH241" s="201"/>
      <c r="EDI241" s="201"/>
      <c r="EDJ241" s="201"/>
      <c r="EDK241" s="201"/>
      <c r="EDL241" s="201"/>
      <c r="EDM241" s="201"/>
      <c r="EDN241" s="201"/>
      <c r="EDO241" s="201"/>
      <c r="EDP241" s="201"/>
      <c r="EDQ241" s="201"/>
      <c r="EDR241" s="201"/>
      <c r="EDS241" s="201"/>
      <c r="EDT241" s="201"/>
      <c r="EDU241" s="201"/>
      <c r="EDV241" s="201"/>
      <c r="EDW241" s="201"/>
      <c r="EDX241" s="201"/>
      <c r="EDY241" s="201"/>
      <c r="EDZ241" s="201"/>
      <c r="EEA241" s="201"/>
      <c r="EEB241" s="201"/>
      <c r="EEC241" s="201"/>
      <c r="EED241" s="201"/>
      <c r="EEE241" s="201"/>
      <c r="EEF241" s="201"/>
      <c r="EEG241" s="201"/>
      <c r="EEH241" s="201"/>
      <c r="EEI241" s="201"/>
      <c r="EEJ241" s="201"/>
      <c r="EEK241" s="201"/>
      <c r="EEL241" s="201"/>
      <c r="EEM241" s="201"/>
      <c r="EEN241" s="201"/>
      <c r="EEO241" s="201"/>
      <c r="EEP241" s="201"/>
      <c r="EEQ241" s="201"/>
      <c r="EER241" s="201"/>
      <c r="EES241" s="201"/>
      <c r="EET241" s="201"/>
      <c r="EEU241" s="201"/>
      <c r="EEV241" s="201"/>
      <c r="EEW241" s="201"/>
      <c r="EEX241" s="201"/>
      <c r="EEY241" s="201"/>
      <c r="EEZ241" s="201"/>
      <c r="EFA241" s="201"/>
      <c r="EFB241" s="201"/>
      <c r="EFC241" s="201"/>
      <c r="EFD241" s="201"/>
      <c r="EFE241" s="201"/>
      <c r="EFF241" s="201"/>
      <c r="EFG241" s="201"/>
      <c r="EFH241" s="201"/>
      <c r="EFI241" s="201"/>
      <c r="EFJ241" s="201"/>
      <c r="EFK241" s="201"/>
      <c r="EFL241" s="201"/>
      <c r="EFM241" s="201"/>
      <c r="EFN241" s="201"/>
      <c r="EFO241" s="201"/>
      <c r="EFP241" s="201"/>
      <c r="EFQ241" s="201"/>
      <c r="EFR241" s="201"/>
      <c r="EFS241" s="201"/>
      <c r="EFT241" s="201"/>
      <c r="EFU241" s="201"/>
      <c r="EFV241" s="201"/>
      <c r="EFW241" s="201"/>
      <c r="EFX241" s="201"/>
      <c r="EFY241" s="201"/>
      <c r="EFZ241" s="201"/>
      <c r="EGA241" s="201"/>
      <c r="EGB241" s="201"/>
      <c r="EGC241" s="201"/>
      <c r="EGD241" s="201"/>
      <c r="EGE241" s="201"/>
      <c r="EGF241" s="201"/>
      <c r="EGG241" s="201"/>
      <c r="EGH241" s="201"/>
      <c r="EGI241" s="201"/>
      <c r="EGJ241" s="201"/>
      <c r="EGK241" s="201"/>
      <c r="EGL241" s="201"/>
      <c r="EGM241" s="201"/>
      <c r="EGN241" s="201"/>
      <c r="EGO241" s="201"/>
      <c r="EGP241" s="201"/>
      <c r="EGQ241" s="201"/>
      <c r="EGR241" s="201"/>
      <c r="EGS241" s="201"/>
      <c r="EGT241" s="201"/>
      <c r="EGU241" s="201"/>
      <c r="EGV241" s="201"/>
      <c r="EGW241" s="201"/>
      <c r="EGX241" s="201"/>
      <c r="EGY241" s="201"/>
      <c r="EGZ241" s="201"/>
      <c r="EHA241" s="201"/>
      <c r="EHB241" s="201"/>
      <c r="EHC241" s="201"/>
      <c r="EHD241" s="201"/>
      <c r="EHE241" s="201"/>
      <c r="EHF241" s="201"/>
      <c r="EHG241" s="201"/>
      <c r="EHH241" s="201"/>
      <c r="EHI241" s="201"/>
      <c r="EHJ241" s="201"/>
      <c r="EHK241" s="201"/>
      <c r="EHL241" s="201"/>
      <c r="EHM241" s="201"/>
      <c r="EHN241" s="201"/>
      <c r="EHO241" s="201"/>
      <c r="EHP241" s="201"/>
      <c r="EHQ241" s="201"/>
      <c r="EHR241" s="201"/>
      <c r="EHS241" s="201"/>
      <c r="EHT241" s="201"/>
      <c r="EHU241" s="201"/>
      <c r="EHV241" s="201"/>
      <c r="EHW241" s="201"/>
      <c r="EHX241" s="201"/>
      <c r="EHY241" s="201"/>
      <c r="EHZ241" s="201"/>
      <c r="EIA241" s="201"/>
      <c r="EIB241" s="201"/>
      <c r="EIC241" s="201"/>
      <c r="EID241" s="201"/>
      <c r="EIE241" s="201"/>
      <c r="EIF241" s="201"/>
      <c r="EIG241" s="201"/>
      <c r="EIH241" s="201"/>
      <c r="EII241" s="201"/>
      <c r="EIJ241" s="201"/>
      <c r="EIK241" s="201"/>
      <c r="EIL241" s="201"/>
      <c r="EIM241" s="201"/>
      <c r="EIN241" s="201"/>
      <c r="EIO241" s="201"/>
      <c r="EIP241" s="201"/>
      <c r="EIQ241" s="201"/>
      <c r="EIR241" s="201"/>
      <c r="EIS241" s="201"/>
      <c r="EIT241" s="201"/>
      <c r="EIU241" s="201"/>
      <c r="EIV241" s="201"/>
      <c r="EIW241" s="201"/>
      <c r="EIX241" s="201"/>
      <c r="EIY241" s="201"/>
      <c r="EIZ241" s="201"/>
      <c r="EJA241" s="201"/>
      <c r="EJB241" s="201"/>
      <c r="EJC241" s="201"/>
      <c r="EJD241" s="201"/>
      <c r="EJE241" s="201"/>
      <c r="EJF241" s="201"/>
      <c r="EJG241" s="201"/>
      <c r="EJH241" s="201"/>
      <c r="EJI241" s="201"/>
      <c r="EJJ241" s="201"/>
      <c r="EJK241" s="201"/>
      <c r="EJL241" s="201"/>
      <c r="EJM241" s="201"/>
      <c r="EJN241" s="201"/>
      <c r="EJO241" s="201"/>
      <c r="EJP241" s="201"/>
      <c r="EJQ241" s="201"/>
      <c r="EJR241" s="201"/>
      <c r="EJS241" s="201"/>
      <c r="EJT241" s="201"/>
      <c r="EJU241" s="201"/>
      <c r="EJV241" s="201"/>
      <c r="EJW241" s="201"/>
      <c r="EJX241" s="201"/>
      <c r="EJY241" s="201"/>
      <c r="EJZ241" s="201"/>
      <c r="EKA241" s="201"/>
      <c r="EKB241" s="201"/>
      <c r="EKC241" s="201"/>
      <c r="EKD241" s="201"/>
      <c r="EKE241" s="201"/>
      <c r="EKF241" s="201"/>
      <c r="EKG241" s="201"/>
      <c r="EKH241" s="201"/>
      <c r="EKI241" s="201"/>
      <c r="EKJ241" s="201"/>
      <c r="EKK241" s="201"/>
      <c r="EKL241" s="201"/>
      <c r="EKM241" s="201"/>
      <c r="EKN241" s="201"/>
      <c r="EKO241" s="201"/>
      <c r="EKP241" s="201"/>
      <c r="EKQ241" s="201"/>
      <c r="EKR241" s="201"/>
      <c r="EKS241" s="201"/>
      <c r="EKT241" s="201"/>
      <c r="EKU241" s="201"/>
      <c r="EKV241" s="201"/>
      <c r="EKW241" s="201"/>
      <c r="EKX241" s="201"/>
      <c r="EKY241" s="201"/>
      <c r="EKZ241" s="201"/>
      <c r="ELA241" s="201"/>
      <c r="ELB241" s="201"/>
      <c r="ELC241" s="201"/>
      <c r="ELD241" s="201"/>
      <c r="ELE241" s="201"/>
      <c r="ELF241" s="201"/>
      <c r="ELG241" s="201"/>
      <c r="ELH241" s="201"/>
      <c r="ELI241" s="201"/>
      <c r="ELJ241" s="201"/>
      <c r="ELK241" s="201"/>
      <c r="ELL241" s="201"/>
      <c r="ELM241" s="201"/>
      <c r="ELN241" s="201"/>
      <c r="ELO241" s="201"/>
      <c r="ELP241" s="201"/>
      <c r="ELQ241" s="201"/>
      <c r="ELR241" s="201"/>
      <c r="ELS241" s="201"/>
      <c r="ELT241" s="201"/>
      <c r="ELU241" s="201"/>
      <c r="ELV241" s="201"/>
      <c r="ELW241" s="201"/>
      <c r="ELX241" s="201"/>
      <c r="ELY241" s="201"/>
      <c r="ELZ241" s="201"/>
      <c r="EMA241" s="201"/>
      <c r="EMB241" s="201"/>
      <c r="EMC241" s="201"/>
      <c r="EMD241" s="201"/>
      <c r="EME241" s="201"/>
      <c r="EMF241" s="201"/>
      <c r="EMG241" s="201"/>
      <c r="EMH241" s="201"/>
      <c r="EMI241" s="201"/>
      <c r="EMJ241" s="201"/>
      <c r="EMK241" s="201"/>
      <c r="EML241" s="201"/>
      <c r="EMM241" s="201"/>
      <c r="EMN241" s="201"/>
      <c r="EMO241" s="201"/>
      <c r="EMP241" s="201"/>
      <c r="EMQ241" s="201"/>
      <c r="EMR241" s="201"/>
      <c r="EMS241" s="201"/>
      <c r="EMT241" s="201"/>
      <c r="EMU241" s="201"/>
      <c r="EMV241" s="201"/>
      <c r="EMW241" s="201"/>
      <c r="EMX241" s="201"/>
      <c r="EMY241" s="201"/>
      <c r="EMZ241" s="201"/>
      <c r="ENA241" s="201"/>
      <c r="ENB241" s="201"/>
      <c r="ENC241" s="201"/>
      <c r="END241" s="201"/>
      <c r="ENE241" s="201"/>
      <c r="ENF241" s="201"/>
      <c r="ENG241" s="201"/>
      <c r="ENH241" s="201"/>
      <c r="ENI241" s="201"/>
      <c r="ENJ241" s="201"/>
      <c r="ENK241" s="201"/>
      <c r="ENL241" s="201"/>
      <c r="ENM241" s="201"/>
      <c r="ENN241" s="201"/>
      <c r="ENO241" s="201"/>
      <c r="ENP241" s="201"/>
      <c r="ENQ241" s="201"/>
      <c r="ENR241" s="201"/>
      <c r="ENS241" s="201"/>
      <c r="ENT241" s="201"/>
      <c r="ENU241" s="201"/>
      <c r="ENV241" s="201"/>
      <c r="ENW241" s="201"/>
      <c r="ENX241" s="201"/>
      <c r="ENY241" s="201"/>
      <c r="ENZ241" s="201"/>
      <c r="EOA241" s="201"/>
      <c r="EOB241" s="201"/>
      <c r="EOC241" s="201"/>
      <c r="EOD241" s="201"/>
      <c r="EOE241" s="201"/>
      <c r="EOF241" s="201"/>
      <c r="EOG241" s="201"/>
      <c r="EOH241" s="201"/>
      <c r="EOI241" s="201"/>
      <c r="EOJ241" s="201"/>
      <c r="EOK241" s="201"/>
      <c r="EOL241" s="201"/>
      <c r="EOM241" s="201"/>
      <c r="EON241" s="201"/>
      <c r="EOO241" s="201"/>
      <c r="EOP241" s="201"/>
      <c r="EOQ241" s="201"/>
      <c r="EOR241" s="201"/>
      <c r="EOS241" s="201"/>
      <c r="EOT241" s="201"/>
      <c r="EOU241" s="201"/>
      <c r="EOV241" s="201"/>
      <c r="EOW241" s="201"/>
      <c r="EOX241" s="201"/>
      <c r="EOY241" s="201"/>
      <c r="EOZ241" s="201"/>
      <c r="EPA241" s="201"/>
      <c r="EPB241" s="201"/>
      <c r="EPC241" s="201"/>
      <c r="EPD241" s="201"/>
      <c r="EPE241" s="201"/>
      <c r="EPF241" s="201"/>
      <c r="EPG241" s="201"/>
      <c r="EPH241" s="201"/>
      <c r="EPI241" s="201"/>
      <c r="EPJ241" s="201"/>
      <c r="EPK241" s="201"/>
      <c r="EPL241" s="201"/>
      <c r="EPM241" s="201"/>
      <c r="EPN241" s="201"/>
      <c r="EPO241" s="201"/>
      <c r="EPP241" s="201"/>
      <c r="EPQ241" s="201"/>
      <c r="EPR241" s="201"/>
      <c r="EPS241" s="201"/>
      <c r="EPT241" s="201"/>
      <c r="EPU241" s="201"/>
      <c r="EPV241" s="201"/>
      <c r="EPW241" s="201"/>
      <c r="EPX241" s="201"/>
      <c r="EPY241" s="201"/>
      <c r="EPZ241" s="201"/>
      <c r="EQA241" s="201"/>
      <c r="EQB241" s="201"/>
      <c r="EQC241" s="201"/>
      <c r="EQD241" s="201"/>
      <c r="EQE241" s="201"/>
      <c r="EQF241" s="201"/>
      <c r="EQG241" s="201"/>
      <c r="EQH241" s="201"/>
      <c r="EQI241" s="201"/>
      <c r="EQJ241" s="201"/>
      <c r="EQK241" s="201"/>
      <c r="EQL241" s="201"/>
      <c r="EQM241" s="201"/>
      <c r="EQN241" s="201"/>
      <c r="EQO241" s="201"/>
      <c r="EQP241" s="201"/>
      <c r="EQQ241" s="201"/>
      <c r="EQR241" s="201"/>
      <c r="EQS241" s="201"/>
      <c r="EQT241" s="201"/>
      <c r="EQU241" s="201"/>
      <c r="EQV241" s="201"/>
      <c r="EQW241" s="201"/>
      <c r="EQX241" s="201"/>
      <c r="EQY241" s="201"/>
      <c r="EQZ241" s="201"/>
      <c r="ERA241" s="201"/>
      <c r="ERB241" s="201"/>
      <c r="ERC241" s="201"/>
      <c r="ERD241" s="201"/>
      <c r="ERE241" s="201"/>
      <c r="ERF241" s="201"/>
      <c r="ERG241" s="201"/>
      <c r="ERH241" s="201"/>
      <c r="ERI241" s="201"/>
      <c r="ERJ241" s="201"/>
      <c r="ERK241" s="201"/>
      <c r="ERL241" s="201"/>
      <c r="ERM241" s="201"/>
      <c r="ERN241" s="201"/>
      <c r="ERO241" s="201"/>
      <c r="ERP241" s="201"/>
      <c r="ERQ241" s="201"/>
      <c r="ERR241" s="201"/>
      <c r="ERS241" s="201"/>
      <c r="ERT241" s="201"/>
      <c r="ERU241" s="201"/>
      <c r="ERV241" s="201"/>
      <c r="ERW241" s="201"/>
      <c r="ERX241" s="201"/>
      <c r="ERY241" s="201"/>
      <c r="ERZ241" s="201"/>
      <c r="ESA241" s="201"/>
      <c r="ESB241" s="201"/>
      <c r="ESC241" s="201"/>
      <c r="ESD241" s="201"/>
      <c r="ESE241" s="201"/>
      <c r="ESF241" s="201"/>
      <c r="ESG241" s="201"/>
      <c r="ESH241" s="201"/>
      <c r="ESI241" s="201"/>
      <c r="ESJ241" s="201"/>
      <c r="ESK241" s="201"/>
      <c r="ESL241" s="201"/>
      <c r="ESM241" s="201"/>
      <c r="ESN241" s="201"/>
      <c r="ESO241" s="201"/>
      <c r="ESP241" s="201"/>
      <c r="ESQ241" s="201"/>
      <c r="ESR241" s="201"/>
      <c r="ESS241" s="201"/>
      <c r="EST241" s="201"/>
      <c r="ESU241" s="201"/>
      <c r="ESV241" s="201"/>
      <c r="ESW241" s="201"/>
      <c r="ESX241" s="201"/>
      <c r="ESY241" s="201"/>
      <c r="ESZ241" s="201"/>
      <c r="ETA241" s="201"/>
      <c r="ETB241" s="201"/>
      <c r="ETC241" s="201"/>
      <c r="ETD241" s="201"/>
      <c r="ETE241" s="201"/>
      <c r="ETF241" s="201"/>
      <c r="ETG241" s="201"/>
      <c r="ETH241" s="201"/>
      <c r="ETI241" s="201"/>
      <c r="ETJ241" s="201"/>
      <c r="ETK241" s="201"/>
      <c r="ETL241" s="201"/>
      <c r="ETM241" s="201"/>
      <c r="ETN241" s="201"/>
      <c r="ETO241" s="201"/>
      <c r="ETP241" s="201"/>
      <c r="ETQ241" s="201"/>
      <c r="ETR241" s="201"/>
      <c r="ETS241" s="201"/>
      <c r="ETT241" s="201"/>
      <c r="ETU241" s="201"/>
      <c r="ETV241" s="201"/>
      <c r="ETW241" s="201"/>
      <c r="ETX241" s="201"/>
      <c r="ETY241" s="201"/>
      <c r="ETZ241" s="201"/>
      <c r="EUA241" s="201"/>
      <c r="EUB241" s="201"/>
      <c r="EUC241" s="201"/>
      <c r="EUD241" s="201"/>
      <c r="EUE241" s="201"/>
      <c r="EUF241" s="201"/>
      <c r="EUG241" s="201"/>
      <c r="EUH241" s="201"/>
      <c r="EUI241" s="201"/>
      <c r="EUJ241" s="201"/>
      <c r="EUK241" s="201"/>
      <c r="EUL241" s="201"/>
      <c r="EUM241" s="201"/>
      <c r="EUN241" s="201"/>
      <c r="EUO241" s="201"/>
      <c r="EUP241" s="201"/>
      <c r="EUQ241" s="201"/>
      <c r="EUR241" s="201"/>
      <c r="EUS241" s="201"/>
      <c r="EUT241" s="201"/>
      <c r="EUU241" s="201"/>
      <c r="EUV241" s="201"/>
      <c r="EUW241" s="201"/>
      <c r="EUX241" s="201"/>
      <c r="EUY241" s="201"/>
      <c r="EUZ241" s="201"/>
      <c r="EVA241" s="201"/>
      <c r="EVB241" s="201"/>
      <c r="EVC241" s="201"/>
      <c r="EVD241" s="201"/>
      <c r="EVE241" s="201"/>
      <c r="EVF241" s="201"/>
      <c r="EVG241" s="201"/>
      <c r="EVH241" s="201"/>
      <c r="EVI241" s="201"/>
      <c r="EVJ241" s="201"/>
      <c r="EVK241" s="201"/>
      <c r="EVL241" s="201"/>
      <c r="EVM241" s="201"/>
      <c r="EVN241" s="201"/>
      <c r="EVO241" s="201"/>
      <c r="EVP241" s="201"/>
      <c r="EVQ241" s="201"/>
      <c r="EVR241" s="201"/>
      <c r="EVS241" s="201"/>
      <c r="EVT241" s="201"/>
      <c r="EVU241" s="201"/>
      <c r="EVV241" s="201"/>
      <c r="EVW241" s="201"/>
      <c r="EVX241" s="201"/>
      <c r="EVY241" s="201"/>
      <c r="EVZ241" s="201"/>
      <c r="EWA241" s="201"/>
      <c r="EWB241" s="201"/>
      <c r="EWC241" s="201"/>
      <c r="EWD241" s="201"/>
      <c r="EWE241" s="201"/>
      <c r="EWF241" s="201"/>
      <c r="EWG241" s="201"/>
      <c r="EWH241" s="201"/>
      <c r="EWI241" s="201"/>
      <c r="EWJ241" s="201"/>
      <c r="EWK241" s="201"/>
      <c r="EWL241" s="201"/>
      <c r="EWM241" s="201"/>
      <c r="EWN241" s="201"/>
      <c r="EWO241" s="201"/>
      <c r="EWP241" s="201"/>
      <c r="EWQ241" s="201"/>
      <c r="EWR241" s="201"/>
      <c r="EWS241" s="201"/>
      <c r="EWT241" s="201"/>
      <c r="EWU241" s="201"/>
      <c r="EWV241" s="201"/>
      <c r="EWW241" s="201"/>
      <c r="EWX241" s="201"/>
      <c r="EWY241" s="201"/>
      <c r="EWZ241" s="201"/>
      <c r="EXA241" s="201"/>
      <c r="EXB241" s="201"/>
      <c r="EXC241" s="201"/>
      <c r="EXD241" s="201"/>
      <c r="EXE241" s="201"/>
      <c r="EXF241" s="201"/>
      <c r="EXG241" s="201"/>
      <c r="EXH241" s="201"/>
      <c r="EXI241" s="201"/>
      <c r="EXJ241" s="201"/>
      <c r="EXK241" s="201"/>
      <c r="EXL241" s="201"/>
      <c r="EXM241" s="201"/>
      <c r="EXN241" s="201"/>
      <c r="EXO241" s="201"/>
      <c r="EXP241" s="201"/>
      <c r="EXQ241" s="201"/>
      <c r="EXR241" s="201"/>
      <c r="EXS241" s="201"/>
      <c r="EXT241" s="201"/>
      <c r="EXU241" s="201"/>
      <c r="EXV241" s="201"/>
      <c r="EXW241" s="201"/>
      <c r="EXX241" s="201"/>
      <c r="EXY241" s="201"/>
      <c r="EXZ241" s="201"/>
      <c r="EYA241" s="201"/>
      <c r="EYB241" s="201"/>
      <c r="EYC241" s="201"/>
      <c r="EYD241" s="201"/>
      <c r="EYE241" s="201"/>
      <c r="EYF241" s="201"/>
      <c r="EYG241" s="201"/>
      <c r="EYH241" s="201"/>
      <c r="EYI241" s="201"/>
      <c r="EYJ241" s="201"/>
      <c r="EYK241" s="201"/>
      <c r="EYL241" s="201"/>
      <c r="EYM241" s="201"/>
      <c r="EYN241" s="201"/>
      <c r="EYO241" s="201"/>
      <c r="EYP241" s="201"/>
      <c r="EYQ241" s="201"/>
      <c r="EYR241" s="201"/>
      <c r="EYS241" s="201"/>
      <c r="EYT241" s="201"/>
      <c r="EYU241" s="201"/>
      <c r="EYV241" s="201"/>
      <c r="EYW241" s="201"/>
      <c r="EYX241" s="201"/>
      <c r="EYY241" s="201"/>
      <c r="EYZ241" s="201"/>
      <c r="EZA241" s="201"/>
      <c r="EZB241" s="201"/>
      <c r="EZC241" s="201"/>
      <c r="EZD241" s="201"/>
      <c r="EZE241" s="201"/>
      <c r="EZF241" s="201"/>
      <c r="EZG241" s="201"/>
      <c r="EZH241" s="201"/>
      <c r="EZI241" s="201"/>
      <c r="EZJ241" s="201"/>
      <c r="EZK241" s="201"/>
      <c r="EZL241" s="201"/>
      <c r="EZM241" s="201"/>
      <c r="EZN241" s="201"/>
      <c r="EZO241" s="201"/>
      <c r="EZP241" s="201"/>
      <c r="EZQ241" s="201"/>
      <c r="EZR241" s="201"/>
      <c r="EZS241" s="201"/>
      <c r="EZT241" s="201"/>
      <c r="EZU241" s="201"/>
      <c r="EZV241" s="201"/>
      <c r="EZW241" s="201"/>
      <c r="EZX241" s="201"/>
      <c r="EZY241" s="201"/>
      <c r="EZZ241" s="201"/>
      <c r="FAA241" s="201"/>
      <c r="FAB241" s="201"/>
      <c r="FAC241" s="201"/>
      <c r="FAD241" s="201"/>
      <c r="FAE241" s="201"/>
      <c r="FAF241" s="201"/>
      <c r="FAG241" s="201"/>
      <c r="FAH241" s="201"/>
      <c r="FAI241" s="201"/>
      <c r="FAJ241" s="201"/>
      <c r="FAK241" s="201"/>
      <c r="FAL241" s="201"/>
      <c r="FAM241" s="201"/>
      <c r="FAN241" s="201"/>
      <c r="FAO241" s="201"/>
      <c r="FAP241" s="201"/>
      <c r="FAQ241" s="201"/>
      <c r="FAR241" s="201"/>
      <c r="FAS241" s="201"/>
      <c r="FAT241" s="201"/>
      <c r="FAU241" s="201"/>
      <c r="FAV241" s="201"/>
      <c r="FAW241" s="201"/>
      <c r="FAX241" s="201"/>
      <c r="FAY241" s="201"/>
      <c r="FAZ241" s="201"/>
      <c r="FBA241" s="201"/>
      <c r="FBB241" s="201"/>
      <c r="FBC241" s="201"/>
      <c r="FBD241" s="201"/>
      <c r="FBE241" s="201"/>
      <c r="FBF241" s="201"/>
      <c r="FBG241" s="201"/>
      <c r="FBH241" s="201"/>
      <c r="FBI241" s="201"/>
      <c r="FBJ241" s="201"/>
      <c r="FBK241" s="201"/>
      <c r="FBL241" s="201"/>
      <c r="FBM241" s="201"/>
      <c r="FBN241" s="201"/>
      <c r="FBO241" s="201"/>
      <c r="FBP241" s="201"/>
      <c r="FBQ241" s="201"/>
      <c r="FBR241" s="201"/>
      <c r="FBS241" s="201"/>
      <c r="FBT241" s="201"/>
      <c r="FBU241" s="201"/>
      <c r="FBV241" s="201"/>
      <c r="FBW241" s="201"/>
      <c r="FBX241" s="201"/>
      <c r="FBY241" s="201"/>
      <c r="FBZ241" s="201"/>
      <c r="FCA241" s="201"/>
      <c r="FCB241" s="201"/>
      <c r="FCC241" s="201"/>
      <c r="FCD241" s="201"/>
      <c r="FCE241" s="201"/>
      <c r="FCF241" s="201"/>
      <c r="FCG241" s="201"/>
      <c r="FCH241" s="201"/>
      <c r="FCI241" s="201"/>
      <c r="FCJ241" s="201"/>
      <c r="FCK241" s="201"/>
      <c r="FCL241" s="201"/>
      <c r="FCM241" s="201"/>
      <c r="FCN241" s="201"/>
      <c r="FCO241" s="201"/>
      <c r="FCP241" s="201"/>
      <c r="FCQ241" s="201"/>
      <c r="FCR241" s="201"/>
      <c r="FCS241" s="201"/>
      <c r="FCT241" s="201"/>
      <c r="FCU241" s="201"/>
      <c r="FCV241" s="201"/>
      <c r="FCW241" s="201"/>
      <c r="FCX241" s="201"/>
      <c r="FCY241" s="201"/>
      <c r="FCZ241" s="201"/>
      <c r="FDA241" s="201"/>
      <c r="FDB241" s="201"/>
      <c r="FDC241" s="201"/>
      <c r="FDD241" s="201"/>
      <c r="FDE241" s="201"/>
      <c r="FDF241" s="201"/>
      <c r="FDG241" s="201"/>
      <c r="FDH241" s="201"/>
      <c r="FDI241" s="201"/>
      <c r="FDJ241" s="201"/>
      <c r="FDK241" s="201"/>
      <c r="FDL241" s="201"/>
      <c r="FDM241" s="201"/>
      <c r="FDN241" s="201"/>
      <c r="FDO241" s="201"/>
      <c r="FDP241" s="201"/>
      <c r="FDQ241" s="201"/>
      <c r="FDR241" s="201"/>
      <c r="FDS241" s="201"/>
      <c r="FDT241" s="201"/>
      <c r="FDU241" s="201"/>
      <c r="FDV241" s="201"/>
      <c r="FDW241" s="201"/>
      <c r="FDX241" s="201"/>
      <c r="FDY241" s="201"/>
      <c r="FDZ241" s="201"/>
      <c r="FEA241" s="201"/>
      <c r="FEB241" s="201"/>
      <c r="FEC241" s="201"/>
      <c r="FED241" s="201"/>
      <c r="FEE241" s="201"/>
      <c r="FEF241" s="201"/>
      <c r="FEG241" s="201"/>
      <c r="FEH241" s="201"/>
      <c r="FEI241" s="201"/>
      <c r="FEJ241" s="201"/>
      <c r="FEK241" s="201"/>
      <c r="FEL241" s="201"/>
      <c r="FEM241" s="201"/>
      <c r="FEN241" s="201"/>
      <c r="FEO241" s="201"/>
      <c r="FEP241" s="201"/>
      <c r="FEQ241" s="201"/>
      <c r="FER241" s="201"/>
      <c r="FES241" s="201"/>
      <c r="FET241" s="201"/>
      <c r="FEU241" s="201"/>
      <c r="FEV241" s="201"/>
      <c r="FEW241" s="201"/>
      <c r="FEX241" s="201"/>
      <c r="FEY241" s="201"/>
      <c r="FEZ241" s="201"/>
      <c r="FFA241" s="201"/>
      <c r="FFB241" s="201"/>
      <c r="FFC241" s="201"/>
      <c r="FFD241" s="201"/>
      <c r="FFE241" s="201"/>
      <c r="FFF241" s="201"/>
      <c r="FFG241" s="201"/>
      <c r="FFH241" s="201"/>
      <c r="FFI241" s="201"/>
      <c r="FFJ241" s="201"/>
      <c r="FFK241" s="201"/>
      <c r="FFL241" s="201"/>
      <c r="FFM241" s="201"/>
      <c r="FFN241" s="201"/>
      <c r="FFO241" s="201"/>
      <c r="FFP241" s="201"/>
      <c r="FFQ241" s="201"/>
      <c r="FFR241" s="201"/>
      <c r="FFS241" s="201"/>
      <c r="FFT241" s="201"/>
      <c r="FFU241" s="201"/>
      <c r="FFV241" s="201"/>
      <c r="FFW241" s="201"/>
      <c r="FFX241" s="201"/>
      <c r="FFY241" s="201"/>
      <c r="FFZ241" s="201"/>
      <c r="FGA241" s="201"/>
      <c r="FGB241" s="201"/>
      <c r="FGC241" s="201"/>
      <c r="FGD241" s="201"/>
      <c r="FGE241" s="201"/>
      <c r="FGF241" s="201"/>
      <c r="FGG241" s="201"/>
      <c r="FGH241" s="201"/>
      <c r="FGI241" s="201"/>
      <c r="FGJ241" s="201"/>
      <c r="FGK241" s="201"/>
      <c r="FGL241" s="201"/>
      <c r="FGM241" s="201"/>
      <c r="FGN241" s="201"/>
      <c r="FGO241" s="201"/>
      <c r="FGP241" s="201"/>
      <c r="FGQ241" s="201"/>
      <c r="FGR241" s="201"/>
      <c r="FGS241" s="201"/>
      <c r="FGT241" s="201"/>
      <c r="FGU241" s="201"/>
      <c r="FGV241" s="201"/>
      <c r="FGW241" s="201"/>
      <c r="FGX241" s="201"/>
      <c r="FGY241" s="201"/>
      <c r="FGZ241" s="201"/>
      <c r="FHA241" s="201"/>
      <c r="FHB241" s="201"/>
      <c r="FHC241" s="201"/>
      <c r="FHD241" s="201"/>
      <c r="FHE241" s="201"/>
      <c r="FHF241" s="201"/>
      <c r="FHG241" s="201"/>
      <c r="FHH241" s="201"/>
      <c r="FHI241" s="201"/>
      <c r="FHJ241" s="201"/>
      <c r="FHK241" s="201"/>
      <c r="FHL241" s="201"/>
      <c r="FHM241" s="201"/>
      <c r="FHN241" s="201"/>
      <c r="FHO241" s="201"/>
      <c r="FHP241" s="201"/>
      <c r="FHQ241" s="201"/>
      <c r="FHR241" s="201"/>
      <c r="FHS241" s="201"/>
      <c r="FHT241" s="201"/>
      <c r="FHU241" s="201"/>
      <c r="FHV241" s="201"/>
      <c r="FHW241" s="201"/>
      <c r="FHX241" s="201"/>
      <c r="FHY241" s="201"/>
      <c r="FHZ241" s="201"/>
      <c r="FIA241" s="201"/>
      <c r="FIB241" s="201"/>
      <c r="FIC241" s="201"/>
      <c r="FID241" s="201"/>
      <c r="FIE241" s="201"/>
      <c r="FIF241" s="201"/>
      <c r="FIG241" s="201"/>
      <c r="FIH241" s="201"/>
      <c r="FII241" s="201"/>
      <c r="FIJ241" s="201"/>
      <c r="FIK241" s="201"/>
      <c r="FIL241" s="201"/>
      <c r="FIM241" s="201"/>
      <c r="FIN241" s="201"/>
      <c r="FIO241" s="201"/>
      <c r="FIP241" s="201"/>
      <c r="FIQ241" s="201"/>
      <c r="FIR241" s="201"/>
      <c r="FIS241" s="201"/>
      <c r="FIT241" s="201"/>
      <c r="FIU241" s="201"/>
      <c r="FIV241" s="201"/>
      <c r="FIW241" s="201"/>
      <c r="FIX241" s="201"/>
      <c r="FIY241" s="201"/>
      <c r="FIZ241" s="201"/>
      <c r="FJA241" s="201"/>
      <c r="FJB241" s="201"/>
      <c r="FJC241" s="201"/>
      <c r="FJD241" s="201"/>
      <c r="FJE241" s="201"/>
      <c r="FJF241" s="201"/>
      <c r="FJG241" s="201"/>
      <c r="FJH241" s="201"/>
      <c r="FJI241" s="201"/>
      <c r="FJJ241" s="201"/>
      <c r="FJK241" s="201"/>
      <c r="FJL241" s="201"/>
      <c r="FJM241" s="201"/>
      <c r="FJN241" s="201"/>
      <c r="FJO241" s="201"/>
      <c r="FJP241" s="201"/>
      <c r="FJQ241" s="201"/>
      <c r="FJR241" s="201"/>
      <c r="FJS241" s="201"/>
      <c r="FJT241" s="201"/>
      <c r="FJU241" s="201"/>
      <c r="FJV241" s="201"/>
      <c r="FJW241" s="201"/>
      <c r="FJX241" s="201"/>
      <c r="FJY241" s="201"/>
      <c r="FJZ241" s="201"/>
      <c r="FKA241" s="201"/>
      <c r="FKB241" s="201"/>
      <c r="FKC241" s="201"/>
      <c r="FKD241" s="201"/>
      <c r="FKE241" s="201"/>
      <c r="FKF241" s="201"/>
      <c r="FKG241" s="201"/>
      <c r="FKH241" s="201"/>
      <c r="FKI241" s="201"/>
      <c r="FKJ241" s="201"/>
      <c r="FKK241" s="201"/>
      <c r="FKL241" s="201"/>
      <c r="FKM241" s="201"/>
      <c r="FKN241" s="201"/>
      <c r="FKO241" s="201"/>
      <c r="FKP241" s="201"/>
      <c r="FKQ241" s="201"/>
      <c r="FKR241" s="201"/>
      <c r="FKS241" s="201"/>
      <c r="FKT241" s="201"/>
      <c r="FKU241" s="201"/>
      <c r="FKV241" s="201"/>
      <c r="FKW241" s="201"/>
      <c r="FKX241" s="201"/>
      <c r="FKY241" s="201"/>
      <c r="FKZ241" s="201"/>
      <c r="FLA241" s="201"/>
      <c r="FLB241" s="201"/>
      <c r="FLC241" s="201"/>
      <c r="FLD241" s="201"/>
      <c r="FLE241" s="201"/>
      <c r="FLF241" s="201"/>
      <c r="FLG241" s="201"/>
      <c r="FLH241" s="201"/>
      <c r="FLI241" s="201"/>
      <c r="FLJ241" s="201"/>
      <c r="FLK241" s="201"/>
      <c r="FLL241" s="201"/>
      <c r="FLM241" s="201"/>
      <c r="FLN241" s="201"/>
      <c r="FLO241" s="201"/>
      <c r="FLP241" s="201"/>
      <c r="FLQ241" s="201"/>
      <c r="FLR241" s="201"/>
      <c r="FLS241" s="201"/>
      <c r="FLT241" s="201"/>
      <c r="FLU241" s="201"/>
      <c r="FLV241" s="201"/>
      <c r="FLW241" s="201"/>
      <c r="FLX241" s="201"/>
      <c r="FLY241" s="201"/>
      <c r="FLZ241" s="201"/>
      <c r="FMA241" s="201"/>
      <c r="FMB241" s="201"/>
      <c r="FMC241" s="201"/>
      <c r="FMD241" s="201"/>
      <c r="FME241" s="201"/>
      <c r="FMF241" s="201"/>
      <c r="FMG241" s="201"/>
      <c r="FMH241" s="201"/>
      <c r="FMI241" s="201"/>
      <c r="FMJ241" s="201"/>
      <c r="FMK241" s="201"/>
      <c r="FML241" s="201"/>
      <c r="FMM241" s="201"/>
      <c r="FMN241" s="201"/>
      <c r="FMO241" s="201"/>
      <c r="FMP241" s="201"/>
      <c r="FMQ241" s="201"/>
      <c r="FMR241" s="201"/>
      <c r="FMS241" s="201"/>
      <c r="FMT241" s="201"/>
      <c r="FMU241" s="201"/>
      <c r="FMV241" s="201"/>
      <c r="FMW241" s="201"/>
      <c r="FMX241" s="201"/>
      <c r="FMY241" s="201"/>
      <c r="FMZ241" s="201"/>
      <c r="FNA241" s="201"/>
      <c r="FNB241" s="201"/>
      <c r="FNC241" s="201"/>
      <c r="FND241" s="201"/>
      <c r="FNE241" s="201"/>
      <c r="FNF241" s="201"/>
      <c r="FNG241" s="201"/>
      <c r="FNH241" s="201"/>
      <c r="FNI241" s="201"/>
      <c r="FNJ241" s="201"/>
      <c r="FNK241" s="201"/>
      <c r="FNL241" s="201"/>
      <c r="FNM241" s="201"/>
      <c r="FNN241" s="201"/>
      <c r="FNO241" s="201"/>
      <c r="FNP241" s="201"/>
      <c r="FNQ241" s="201"/>
      <c r="FNR241" s="201"/>
      <c r="FNS241" s="201"/>
      <c r="FNT241" s="201"/>
      <c r="FNU241" s="201"/>
      <c r="FNV241" s="201"/>
      <c r="FNW241" s="201"/>
      <c r="FNX241" s="201"/>
      <c r="FNY241" s="201"/>
      <c r="FNZ241" s="201"/>
      <c r="FOA241" s="201"/>
      <c r="FOB241" s="201"/>
      <c r="FOC241" s="201"/>
      <c r="FOD241" s="201"/>
      <c r="FOE241" s="201"/>
      <c r="FOF241" s="201"/>
      <c r="FOG241" s="201"/>
      <c r="FOH241" s="201"/>
      <c r="FOI241" s="201"/>
      <c r="FOJ241" s="201"/>
      <c r="FOK241" s="201"/>
      <c r="FOL241" s="201"/>
      <c r="FOM241" s="201"/>
      <c r="FON241" s="201"/>
      <c r="FOO241" s="201"/>
      <c r="FOP241" s="201"/>
      <c r="FOQ241" s="201"/>
      <c r="FOR241" s="201"/>
      <c r="FOS241" s="201"/>
      <c r="FOT241" s="201"/>
      <c r="FOU241" s="201"/>
      <c r="FOV241" s="201"/>
      <c r="FOW241" s="201"/>
      <c r="FOX241" s="201"/>
      <c r="FOY241" s="201"/>
      <c r="FOZ241" s="201"/>
      <c r="FPA241" s="201"/>
      <c r="FPB241" s="201"/>
      <c r="FPC241" s="201"/>
      <c r="FPD241" s="201"/>
      <c r="FPE241" s="201"/>
      <c r="FPF241" s="201"/>
      <c r="FPG241" s="201"/>
      <c r="FPH241" s="201"/>
      <c r="FPI241" s="201"/>
      <c r="FPJ241" s="201"/>
      <c r="FPK241" s="201"/>
      <c r="FPL241" s="201"/>
      <c r="FPM241" s="201"/>
      <c r="FPN241" s="201"/>
      <c r="FPO241" s="201"/>
      <c r="FPP241" s="201"/>
      <c r="FPQ241" s="201"/>
      <c r="FPR241" s="201"/>
      <c r="FPS241" s="201"/>
      <c r="FPT241" s="201"/>
      <c r="FPU241" s="201"/>
      <c r="FPV241" s="201"/>
      <c r="FPW241" s="201"/>
      <c r="FPX241" s="201"/>
      <c r="FPY241" s="201"/>
      <c r="FPZ241" s="201"/>
      <c r="FQA241" s="201"/>
      <c r="FQB241" s="201"/>
      <c r="FQC241" s="201"/>
      <c r="FQD241" s="201"/>
      <c r="FQE241" s="201"/>
      <c r="FQF241" s="201"/>
      <c r="FQG241" s="201"/>
      <c r="FQH241" s="201"/>
      <c r="FQI241" s="201"/>
      <c r="FQJ241" s="201"/>
      <c r="FQK241" s="201"/>
      <c r="FQL241" s="201"/>
      <c r="FQM241" s="201"/>
      <c r="FQN241" s="201"/>
      <c r="FQO241" s="201"/>
      <c r="FQP241" s="201"/>
      <c r="FQQ241" s="201"/>
      <c r="FQR241" s="201"/>
      <c r="FQS241" s="201"/>
      <c r="FQT241" s="201"/>
      <c r="FQU241" s="201"/>
      <c r="FQV241" s="201"/>
      <c r="FQW241" s="201"/>
      <c r="FQX241" s="201"/>
      <c r="FQY241" s="201"/>
      <c r="FQZ241" s="201"/>
      <c r="FRA241" s="201"/>
      <c r="FRB241" s="201"/>
      <c r="FRC241" s="201"/>
      <c r="FRD241" s="201"/>
      <c r="FRE241" s="201"/>
      <c r="FRF241" s="201"/>
      <c r="FRG241" s="201"/>
      <c r="FRH241" s="201"/>
      <c r="FRI241" s="201"/>
      <c r="FRJ241" s="201"/>
      <c r="FRK241" s="201"/>
      <c r="FRL241" s="201"/>
      <c r="FRM241" s="201"/>
      <c r="FRN241" s="201"/>
      <c r="FRO241" s="201"/>
      <c r="FRP241" s="201"/>
      <c r="FRQ241" s="201"/>
      <c r="FRR241" s="201"/>
      <c r="FRS241" s="201"/>
      <c r="FRT241" s="201"/>
      <c r="FRU241" s="201"/>
      <c r="FRV241" s="201"/>
      <c r="FRW241" s="201"/>
      <c r="FRX241" s="201"/>
      <c r="FRY241" s="201"/>
      <c r="FRZ241" s="201"/>
      <c r="FSA241" s="201"/>
      <c r="FSB241" s="201"/>
      <c r="FSC241" s="201"/>
      <c r="FSD241" s="201"/>
      <c r="FSE241" s="201"/>
      <c r="FSF241" s="201"/>
      <c r="FSG241" s="201"/>
      <c r="FSH241" s="201"/>
      <c r="FSI241" s="201"/>
      <c r="FSJ241" s="201"/>
      <c r="FSK241" s="201"/>
      <c r="FSL241" s="201"/>
      <c r="FSM241" s="201"/>
      <c r="FSN241" s="201"/>
      <c r="FSO241" s="201"/>
      <c r="FSP241" s="201"/>
      <c r="FSQ241" s="201"/>
      <c r="FSR241" s="201"/>
      <c r="FSS241" s="201"/>
      <c r="FST241" s="201"/>
      <c r="FSU241" s="201"/>
      <c r="FSV241" s="201"/>
      <c r="FSW241" s="201"/>
      <c r="FSX241" s="201"/>
      <c r="FSY241" s="201"/>
      <c r="FSZ241" s="201"/>
      <c r="FTA241" s="201"/>
      <c r="FTB241" s="201"/>
      <c r="FTC241" s="201"/>
      <c r="FTD241" s="201"/>
      <c r="FTE241" s="201"/>
      <c r="FTF241" s="201"/>
      <c r="FTG241" s="201"/>
      <c r="FTH241" s="201"/>
      <c r="FTI241" s="201"/>
      <c r="FTJ241" s="201"/>
      <c r="FTK241" s="201"/>
      <c r="FTL241" s="201"/>
      <c r="FTM241" s="201"/>
      <c r="FTN241" s="201"/>
      <c r="FTO241" s="201"/>
      <c r="FTP241" s="201"/>
      <c r="FTQ241" s="201"/>
      <c r="FTR241" s="201"/>
      <c r="FTS241" s="201"/>
      <c r="FTT241" s="201"/>
      <c r="FTU241" s="201"/>
      <c r="FTV241" s="201"/>
      <c r="FTW241" s="201"/>
      <c r="FTX241" s="201"/>
      <c r="FTY241" s="201"/>
      <c r="FTZ241" s="201"/>
      <c r="FUA241" s="201"/>
      <c r="FUB241" s="201"/>
      <c r="FUC241" s="201"/>
      <c r="FUD241" s="201"/>
      <c r="FUE241" s="201"/>
      <c r="FUF241" s="201"/>
      <c r="FUG241" s="201"/>
      <c r="FUH241" s="201"/>
      <c r="FUI241" s="201"/>
      <c r="FUJ241" s="201"/>
      <c r="FUK241" s="201"/>
      <c r="FUL241" s="201"/>
      <c r="FUM241" s="201"/>
      <c r="FUN241" s="201"/>
      <c r="FUO241" s="201"/>
      <c r="FUP241" s="201"/>
      <c r="FUQ241" s="201"/>
      <c r="FUR241" s="201"/>
      <c r="FUS241" s="201"/>
      <c r="FUT241" s="201"/>
      <c r="FUU241" s="201"/>
      <c r="FUV241" s="201"/>
      <c r="FUW241" s="201"/>
      <c r="FUX241" s="201"/>
      <c r="FUY241" s="201"/>
      <c r="FUZ241" s="201"/>
      <c r="FVA241" s="201"/>
      <c r="FVB241" s="201"/>
      <c r="FVC241" s="201"/>
      <c r="FVD241" s="201"/>
      <c r="FVE241" s="201"/>
      <c r="FVF241" s="201"/>
      <c r="FVG241" s="201"/>
      <c r="FVH241" s="201"/>
      <c r="FVI241" s="201"/>
      <c r="FVJ241" s="201"/>
      <c r="FVK241" s="201"/>
      <c r="FVL241" s="201"/>
      <c r="FVM241" s="201"/>
      <c r="FVN241" s="201"/>
      <c r="FVO241" s="201"/>
      <c r="FVP241" s="201"/>
      <c r="FVQ241" s="201"/>
      <c r="FVR241" s="201"/>
      <c r="FVS241" s="201"/>
      <c r="FVT241" s="201"/>
      <c r="FVU241" s="201"/>
      <c r="FVV241" s="201"/>
      <c r="FVW241" s="201"/>
      <c r="FVX241" s="201"/>
      <c r="FVY241" s="201"/>
      <c r="FVZ241" s="201"/>
      <c r="FWA241" s="201"/>
      <c r="FWB241" s="201"/>
      <c r="FWC241" s="201"/>
      <c r="FWD241" s="201"/>
      <c r="FWE241" s="201"/>
      <c r="FWF241" s="201"/>
      <c r="FWG241" s="201"/>
      <c r="FWH241" s="201"/>
      <c r="FWI241" s="201"/>
      <c r="FWJ241" s="201"/>
      <c r="FWK241" s="201"/>
      <c r="FWL241" s="201"/>
      <c r="FWM241" s="201"/>
      <c r="FWN241" s="201"/>
      <c r="FWO241" s="201"/>
      <c r="FWP241" s="201"/>
      <c r="FWQ241" s="201"/>
      <c r="FWR241" s="201"/>
      <c r="FWS241" s="201"/>
      <c r="FWT241" s="201"/>
      <c r="FWU241" s="201"/>
      <c r="FWV241" s="201"/>
      <c r="FWW241" s="201"/>
      <c r="FWX241" s="201"/>
      <c r="FWY241" s="201"/>
      <c r="FWZ241" s="201"/>
      <c r="FXA241" s="201"/>
      <c r="FXB241" s="201"/>
      <c r="FXC241" s="201"/>
      <c r="FXD241" s="201"/>
      <c r="FXE241" s="201"/>
      <c r="FXF241" s="201"/>
      <c r="FXG241" s="201"/>
      <c r="FXH241" s="201"/>
      <c r="FXI241" s="201"/>
      <c r="FXJ241" s="201"/>
      <c r="FXK241" s="201"/>
      <c r="FXL241" s="201"/>
      <c r="FXM241" s="201"/>
      <c r="FXN241" s="201"/>
      <c r="FXO241" s="201"/>
      <c r="FXP241" s="201"/>
      <c r="FXQ241" s="201"/>
      <c r="FXR241" s="201"/>
      <c r="FXS241" s="201"/>
      <c r="FXT241" s="201"/>
      <c r="FXU241" s="201"/>
      <c r="FXV241" s="201"/>
      <c r="FXW241" s="201"/>
      <c r="FXX241" s="201"/>
      <c r="FXY241" s="201"/>
      <c r="FXZ241" s="201"/>
      <c r="FYA241" s="201"/>
      <c r="FYB241" s="201"/>
      <c r="FYC241" s="201"/>
      <c r="FYD241" s="201"/>
      <c r="FYE241" s="201"/>
      <c r="FYF241" s="201"/>
      <c r="FYG241" s="201"/>
      <c r="FYH241" s="201"/>
      <c r="FYI241" s="201"/>
      <c r="FYJ241" s="201"/>
      <c r="FYK241" s="201"/>
      <c r="FYL241" s="201"/>
      <c r="FYM241" s="201"/>
      <c r="FYN241" s="201"/>
      <c r="FYO241" s="201"/>
      <c r="FYP241" s="201"/>
      <c r="FYQ241" s="201"/>
      <c r="FYR241" s="201"/>
      <c r="FYS241" s="201"/>
      <c r="FYT241" s="201"/>
      <c r="FYU241" s="201"/>
      <c r="FYV241" s="201"/>
      <c r="FYW241" s="201"/>
      <c r="FYX241" s="201"/>
      <c r="FYY241" s="201"/>
      <c r="FYZ241" s="201"/>
      <c r="FZA241" s="201"/>
      <c r="FZB241" s="201"/>
      <c r="FZC241" s="201"/>
      <c r="FZD241" s="201"/>
      <c r="FZE241" s="201"/>
      <c r="FZF241" s="201"/>
      <c r="FZG241" s="201"/>
      <c r="FZH241" s="201"/>
      <c r="FZI241" s="201"/>
      <c r="FZJ241" s="201"/>
      <c r="FZK241" s="201"/>
      <c r="FZL241" s="201"/>
      <c r="FZM241" s="201"/>
      <c r="FZN241" s="201"/>
      <c r="FZO241" s="201"/>
      <c r="FZP241" s="201"/>
      <c r="FZQ241" s="201"/>
      <c r="FZR241" s="201"/>
      <c r="FZS241" s="201"/>
      <c r="FZT241" s="201"/>
      <c r="FZU241" s="201"/>
      <c r="FZV241" s="201"/>
      <c r="FZW241" s="201"/>
      <c r="FZX241" s="201"/>
      <c r="FZY241" s="201"/>
      <c r="FZZ241" s="201"/>
      <c r="GAA241" s="201"/>
      <c r="GAB241" s="201"/>
      <c r="GAC241" s="201"/>
      <c r="GAD241" s="201"/>
      <c r="GAE241" s="201"/>
      <c r="GAF241" s="201"/>
      <c r="GAG241" s="201"/>
      <c r="GAH241" s="201"/>
      <c r="GAI241" s="201"/>
      <c r="GAJ241" s="201"/>
      <c r="GAK241" s="201"/>
      <c r="GAL241" s="201"/>
      <c r="GAM241" s="201"/>
      <c r="GAN241" s="201"/>
      <c r="GAO241" s="201"/>
      <c r="GAP241" s="201"/>
      <c r="GAQ241" s="201"/>
      <c r="GAR241" s="201"/>
      <c r="GAS241" s="201"/>
      <c r="GAT241" s="201"/>
      <c r="GAU241" s="201"/>
      <c r="GAV241" s="201"/>
      <c r="GAW241" s="201"/>
      <c r="GAX241" s="201"/>
      <c r="GAY241" s="201"/>
      <c r="GAZ241" s="201"/>
      <c r="GBA241" s="201"/>
      <c r="GBB241" s="201"/>
      <c r="GBC241" s="201"/>
      <c r="GBD241" s="201"/>
      <c r="GBE241" s="201"/>
      <c r="GBF241" s="201"/>
      <c r="GBG241" s="201"/>
      <c r="GBH241" s="201"/>
      <c r="GBI241" s="201"/>
      <c r="GBJ241" s="201"/>
      <c r="GBK241" s="201"/>
      <c r="GBL241" s="201"/>
      <c r="GBM241" s="201"/>
      <c r="GBN241" s="201"/>
      <c r="GBO241" s="201"/>
      <c r="GBP241" s="201"/>
      <c r="GBQ241" s="201"/>
      <c r="GBR241" s="201"/>
      <c r="GBS241" s="201"/>
      <c r="GBT241" s="201"/>
      <c r="GBU241" s="201"/>
      <c r="GBV241" s="201"/>
      <c r="GBW241" s="201"/>
      <c r="GBX241" s="201"/>
      <c r="GBY241" s="201"/>
      <c r="GBZ241" s="201"/>
      <c r="GCA241" s="201"/>
      <c r="GCB241" s="201"/>
      <c r="GCC241" s="201"/>
      <c r="GCD241" s="201"/>
      <c r="GCE241" s="201"/>
      <c r="GCF241" s="201"/>
      <c r="GCG241" s="201"/>
      <c r="GCH241" s="201"/>
      <c r="GCI241" s="201"/>
      <c r="GCJ241" s="201"/>
      <c r="GCK241" s="201"/>
      <c r="GCL241" s="201"/>
      <c r="GCM241" s="201"/>
      <c r="GCN241" s="201"/>
      <c r="GCO241" s="201"/>
      <c r="GCP241" s="201"/>
      <c r="GCQ241" s="201"/>
      <c r="GCR241" s="201"/>
      <c r="GCS241" s="201"/>
      <c r="GCT241" s="201"/>
      <c r="GCU241" s="201"/>
      <c r="GCV241" s="201"/>
      <c r="GCW241" s="201"/>
      <c r="GCX241" s="201"/>
      <c r="GCY241" s="201"/>
      <c r="GCZ241" s="201"/>
      <c r="GDA241" s="201"/>
      <c r="GDB241" s="201"/>
      <c r="GDC241" s="201"/>
      <c r="GDD241" s="201"/>
      <c r="GDE241" s="201"/>
      <c r="GDF241" s="201"/>
      <c r="GDG241" s="201"/>
      <c r="GDH241" s="201"/>
      <c r="GDI241" s="201"/>
      <c r="GDJ241" s="201"/>
      <c r="GDK241" s="201"/>
      <c r="GDL241" s="201"/>
      <c r="GDM241" s="201"/>
      <c r="GDN241" s="201"/>
      <c r="GDO241" s="201"/>
      <c r="GDP241" s="201"/>
      <c r="GDQ241" s="201"/>
      <c r="GDR241" s="201"/>
      <c r="GDS241" s="201"/>
      <c r="GDT241" s="201"/>
      <c r="GDU241" s="201"/>
      <c r="GDV241" s="201"/>
      <c r="GDW241" s="201"/>
      <c r="GDX241" s="201"/>
      <c r="GDY241" s="201"/>
      <c r="GDZ241" s="201"/>
      <c r="GEA241" s="201"/>
      <c r="GEB241" s="201"/>
      <c r="GEC241" s="201"/>
      <c r="GED241" s="201"/>
      <c r="GEE241" s="201"/>
      <c r="GEF241" s="201"/>
      <c r="GEG241" s="201"/>
      <c r="GEH241" s="201"/>
      <c r="GEI241" s="201"/>
      <c r="GEJ241" s="201"/>
      <c r="GEK241" s="201"/>
      <c r="GEL241" s="201"/>
      <c r="GEM241" s="201"/>
      <c r="GEN241" s="201"/>
      <c r="GEO241" s="201"/>
      <c r="GEP241" s="201"/>
      <c r="GEQ241" s="201"/>
      <c r="GER241" s="201"/>
      <c r="GES241" s="201"/>
      <c r="GET241" s="201"/>
      <c r="GEU241" s="201"/>
      <c r="GEV241" s="201"/>
      <c r="GEW241" s="201"/>
      <c r="GEX241" s="201"/>
      <c r="GEY241" s="201"/>
      <c r="GEZ241" s="201"/>
      <c r="GFA241" s="201"/>
      <c r="GFB241" s="201"/>
      <c r="GFC241" s="201"/>
      <c r="GFD241" s="201"/>
      <c r="GFE241" s="201"/>
      <c r="GFF241" s="201"/>
      <c r="GFG241" s="201"/>
      <c r="GFH241" s="201"/>
      <c r="GFI241" s="201"/>
      <c r="GFJ241" s="201"/>
      <c r="GFK241" s="201"/>
      <c r="GFL241" s="201"/>
      <c r="GFM241" s="201"/>
      <c r="GFN241" s="201"/>
      <c r="GFO241" s="201"/>
      <c r="GFP241" s="201"/>
      <c r="GFQ241" s="201"/>
      <c r="GFR241" s="201"/>
      <c r="GFS241" s="201"/>
      <c r="GFT241" s="201"/>
      <c r="GFU241" s="201"/>
      <c r="GFV241" s="201"/>
      <c r="GFW241" s="201"/>
      <c r="GFX241" s="201"/>
      <c r="GFY241" s="201"/>
      <c r="GFZ241" s="201"/>
      <c r="GGA241" s="201"/>
      <c r="GGB241" s="201"/>
      <c r="GGC241" s="201"/>
      <c r="GGD241" s="201"/>
      <c r="GGE241" s="201"/>
      <c r="GGF241" s="201"/>
      <c r="GGG241" s="201"/>
      <c r="GGH241" s="201"/>
      <c r="GGI241" s="201"/>
      <c r="GGJ241" s="201"/>
      <c r="GGK241" s="201"/>
      <c r="GGL241" s="201"/>
      <c r="GGM241" s="201"/>
      <c r="GGN241" s="201"/>
      <c r="GGO241" s="201"/>
      <c r="GGP241" s="201"/>
      <c r="GGQ241" s="201"/>
      <c r="GGR241" s="201"/>
      <c r="GGS241" s="201"/>
      <c r="GGT241" s="201"/>
      <c r="GGU241" s="201"/>
      <c r="GGV241" s="201"/>
      <c r="GGW241" s="201"/>
      <c r="GGX241" s="201"/>
      <c r="GGY241" s="201"/>
      <c r="GGZ241" s="201"/>
      <c r="GHA241" s="201"/>
      <c r="GHB241" s="201"/>
      <c r="GHC241" s="201"/>
      <c r="GHD241" s="201"/>
      <c r="GHE241" s="201"/>
      <c r="GHF241" s="201"/>
      <c r="GHG241" s="201"/>
      <c r="GHH241" s="201"/>
      <c r="GHI241" s="201"/>
      <c r="GHJ241" s="201"/>
      <c r="GHK241" s="201"/>
      <c r="GHL241" s="201"/>
      <c r="GHM241" s="201"/>
      <c r="GHN241" s="201"/>
      <c r="GHO241" s="201"/>
      <c r="GHP241" s="201"/>
      <c r="GHQ241" s="201"/>
      <c r="GHR241" s="201"/>
      <c r="GHS241" s="201"/>
      <c r="GHT241" s="201"/>
      <c r="GHU241" s="201"/>
      <c r="GHV241" s="201"/>
      <c r="GHW241" s="201"/>
      <c r="GHX241" s="201"/>
      <c r="GHY241" s="201"/>
      <c r="GHZ241" s="201"/>
      <c r="GIA241" s="201"/>
      <c r="GIB241" s="201"/>
      <c r="GIC241" s="201"/>
      <c r="GID241" s="201"/>
      <c r="GIE241" s="201"/>
      <c r="GIF241" s="201"/>
      <c r="GIG241" s="201"/>
      <c r="GIH241" s="201"/>
      <c r="GII241" s="201"/>
      <c r="GIJ241" s="201"/>
      <c r="GIK241" s="201"/>
      <c r="GIL241" s="201"/>
      <c r="GIM241" s="201"/>
      <c r="GIN241" s="201"/>
      <c r="GIO241" s="201"/>
      <c r="GIP241" s="201"/>
      <c r="GIQ241" s="201"/>
      <c r="GIR241" s="201"/>
      <c r="GIS241" s="201"/>
      <c r="GIT241" s="201"/>
      <c r="GIU241" s="201"/>
      <c r="GIV241" s="201"/>
      <c r="GIW241" s="201"/>
      <c r="GIX241" s="201"/>
      <c r="GIY241" s="201"/>
      <c r="GIZ241" s="201"/>
      <c r="GJA241" s="201"/>
      <c r="GJB241" s="201"/>
      <c r="GJC241" s="201"/>
      <c r="GJD241" s="201"/>
      <c r="GJE241" s="201"/>
      <c r="GJF241" s="201"/>
      <c r="GJG241" s="201"/>
      <c r="GJH241" s="201"/>
      <c r="GJI241" s="201"/>
      <c r="GJJ241" s="201"/>
      <c r="GJK241" s="201"/>
      <c r="GJL241" s="201"/>
      <c r="GJM241" s="201"/>
      <c r="GJN241" s="201"/>
      <c r="GJO241" s="201"/>
      <c r="GJP241" s="201"/>
      <c r="GJQ241" s="201"/>
      <c r="GJR241" s="201"/>
      <c r="GJS241" s="201"/>
      <c r="GJT241" s="201"/>
      <c r="GJU241" s="201"/>
      <c r="GJV241" s="201"/>
      <c r="GJW241" s="201"/>
      <c r="GJX241" s="201"/>
      <c r="GJY241" s="201"/>
      <c r="GJZ241" s="201"/>
      <c r="GKA241" s="201"/>
      <c r="GKB241" s="201"/>
      <c r="GKC241" s="201"/>
      <c r="GKD241" s="201"/>
      <c r="GKE241" s="201"/>
      <c r="GKF241" s="201"/>
      <c r="GKG241" s="201"/>
      <c r="GKH241" s="201"/>
      <c r="GKI241" s="201"/>
      <c r="GKJ241" s="201"/>
      <c r="GKK241" s="201"/>
      <c r="GKL241" s="201"/>
      <c r="GKM241" s="201"/>
      <c r="GKN241" s="201"/>
      <c r="GKO241" s="201"/>
      <c r="GKP241" s="201"/>
      <c r="GKQ241" s="201"/>
      <c r="GKR241" s="201"/>
      <c r="GKS241" s="201"/>
      <c r="GKT241" s="201"/>
      <c r="GKU241" s="201"/>
      <c r="GKV241" s="201"/>
      <c r="GKW241" s="201"/>
      <c r="GKX241" s="201"/>
      <c r="GKY241" s="201"/>
      <c r="GKZ241" s="201"/>
      <c r="GLA241" s="201"/>
      <c r="GLB241" s="201"/>
      <c r="GLC241" s="201"/>
      <c r="GLD241" s="201"/>
      <c r="GLE241" s="201"/>
      <c r="GLF241" s="201"/>
      <c r="GLG241" s="201"/>
      <c r="GLH241" s="201"/>
      <c r="GLI241" s="201"/>
      <c r="GLJ241" s="201"/>
      <c r="GLK241" s="201"/>
      <c r="GLL241" s="201"/>
      <c r="GLM241" s="201"/>
      <c r="GLN241" s="201"/>
      <c r="GLO241" s="201"/>
      <c r="GLP241" s="201"/>
      <c r="GLQ241" s="201"/>
      <c r="GLR241" s="201"/>
      <c r="GLS241" s="201"/>
      <c r="GLT241" s="201"/>
      <c r="GLU241" s="201"/>
      <c r="GLV241" s="201"/>
      <c r="GLW241" s="201"/>
      <c r="GLX241" s="201"/>
      <c r="GLY241" s="201"/>
      <c r="GLZ241" s="201"/>
      <c r="GMA241" s="201"/>
      <c r="GMB241" s="201"/>
      <c r="GMC241" s="201"/>
      <c r="GMD241" s="201"/>
      <c r="GME241" s="201"/>
      <c r="GMF241" s="201"/>
      <c r="GMG241" s="201"/>
      <c r="GMH241" s="201"/>
      <c r="GMI241" s="201"/>
      <c r="GMJ241" s="201"/>
      <c r="GMK241" s="201"/>
      <c r="GML241" s="201"/>
      <c r="GMM241" s="201"/>
      <c r="GMN241" s="201"/>
      <c r="GMO241" s="201"/>
      <c r="GMP241" s="201"/>
      <c r="GMQ241" s="201"/>
      <c r="GMR241" s="201"/>
      <c r="GMS241" s="201"/>
      <c r="GMT241" s="201"/>
      <c r="GMU241" s="201"/>
      <c r="GMV241" s="201"/>
      <c r="GMW241" s="201"/>
      <c r="GMX241" s="201"/>
      <c r="GMY241" s="201"/>
      <c r="GMZ241" s="201"/>
      <c r="GNA241" s="201"/>
      <c r="GNB241" s="201"/>
      <c r="GNC241" s="201"/>
      <c r="GND241" s="201"/>
      <c r="GNE241" s="201"/>
      <c r="GNF241" s="201"/>
      <c r="GNG241" s="201"/>
      <c r="GNH241" s="201"/>
      <c r="GNI241" s="201"/>
      <c r="GNJ241" s="201"/>
      <c r="GNK241" s="201"/>
      <c r="GNL241" s="201"/>
      <c r="GNM241" s="201"/>
      <c r="GNN241" s="201"/>
      <c r="GNO241" s="201"/>
      <c r="GNP241" s="201"/>
      <c r="GNQ241" s="201"/>
      <c r="GNR241" s="201"/>
      <c r="GNS241" s="201"/>
      <c r="GNT241" s="201"/>
      <c r="GNU241" s="201"/>
      <c r="GNV241" s="201"/>
      <c r="GNW241" s="201"/>
      <c r="GNX241" s="201"/>
      <c r="GNY241" s="201"/>
      <c r="GNZ241" s="201"/>
      <c r="GOA241" s="201"/>
      <c r="GOB241" s="201"/>
      <c r="GOC241" s="201"/>
      <c r="GOD241" s="201"/>
      <c r="GOE241" s="201"/>
      <c r="GOF241" s="201"/>
      <c r="GOG241" s="201"/>
      <c r="GOH241" s="201"/>
      <c r="GOI241" s="201"/>
      <c r="GOJ241" s="201"/>
      <c r="GOK241" s="201"/>
      <c r="GOL241" s="201"/>
      <c r="GOM241" s="201"/>
      <c r="GON241" s="201"/>
      <c r="GOO241" s="201"/>
      <c r="GOP241" s="201"/>
      <c r="GOQ241" s="201"/>
      <c r="GOR241" s="201"/>
      <c r="GOS241" s="201"/>
      <c r="GOT241" s="201"/>
      <c r="GOU241" s="201"/>
      <c r="GOV241" s="201"/>
      <c r="GOW241" s="201"/>
      <c r="GOX241" s="201"/>
      <c r="GOY241" s="201"/>
      <c r="GOZ241" s="201"/>
      <c r="GPA241" s="201"/>
      <c r="GPB241" s="201"/>
      <c r="GPC241" s="201"/>
      <c r="GPD241" s="201"/>
      <c r="GPE241" s="201"/>
      <c r="GPF241" s="201"/>
      <c r="GPG241" s="201"/>
      <c r="GPH241" s="201"/>
      <c r="GPI241" s="201"/>
      <c r="GPJ241" s="201"/>
      <c r="GPK241" s="201"/>
      <c r="GPL241" s="201"/>
      <c r="GPM241" s="201"/>
      <c r="GPN241" s="201"/>
      <c r="GPO241" s="201"/>
      <c r="GPP241" s="201"/>
      <c r="GPQ241" s="201"/>
      <c r="GPR241" s="201"/>
      <c r="GPS241" s="201"/>
      <c r="GPT241" s="201"/>
      <c r="GPU241" s="201"/>
      <c r="GPV241" s="201"/>
      <c r="GPW241" s="201"/>
      <c r="GPX241" s="201"/>
      <c r="GPY241" s="201"/>
      <c r="GPZ241" s="201"/>
      <c r="GQA241" s="201"/>
      <c r="GQB241" s="201"/>
      <c r="GQC241" s="201"/>
      <c r="GQD241" s="201"/>
      <c r="GQE241" s="201"/>
      <c r="GQF241" s="201"/>
      <c r="GQG241" s="201"/>
      <c r="GQH241" s="201"/>
      <c r="GQI241" s="201"/>
      <c r="GQJ241" s="201"/>
      <c r="GQK241" s="201"/>
      <c r="GQL241" s="201"/>
      <c r="GQM241" s="201"/>
      <c r="GQN241" s="201"/>
      <c r="GQO241" s="201"/>
      <c r="GQP241" s="201"/>
      <c r="GQQ241" s="201"/>
      <c r="GQR241" s="201"/>
      <c r="GQS241" s="201"/>
      <c r="GQT241" s="201"/>
      <c r="GQU241" s="201"/>
      <c r="GQV241" s="201"/>
      <c r="GQW241" s="201"/>
      <c r="GQX241" s="201"/>
      <c r="GQY241" s="201"/>
      <c r="GQZ241" s="201"/>
      <c r="GRA241" s="201"/>
      <c r="GRB241" s="201"/>
      <c r="GRC241" s="201"/>
      <c r="GRD241" s="201"/>
      <c r="GRE241" s="201"/>
      <c r="GRF241" s="201"/>
      <c r="GRG241" s="201"/>
      <c r="GRH241" s="201"/>
      <c r="GRI241" s="201"/>
      <c r="GRJ241" s="201"/>
      <c r="GRK241" s="201"/>
      <c r="GRL241" s="201"/>
      <c r="GRM241" s="201"/>
      <c r="GRN241" s="201"/>
      <c r="GRO241" s="201"/>
      <c r="GRP241" s="201"/>
      <c r="GRQ241" s="201"/>
      <c r="GRR241" s="201"/>
      <c r="GRS241" s="201"/>
      <c r="GRT241" s="201"/>
      <c r="GRU241" s="201"/>
      <c r="GRV241" s="201"/>
      <c r="GRW241" s="201"/>
      <c r="GRX241" s="201"/>
      <c r="GRY241" s="201"/>
      <c r="GRZ241" s="201"/>
      <c r="GSA241" s="201"/>
      <c r="GSB241" s="201"/>
      <c r="GSC241" s="201"/>
      <c r="GSD241" s="201"/>
      <c r="GSE241" s="201"/>
      <c r="GSF241" s="201"/>
      <c r="GSG241" s="201"/>
      <c r="GSH241" s="201"/>
      <c r="GSI241" s="201"/>
      <c r="GSJ241" s="201"/>
      <c r="GSK241" s="201"/>
      <c r="GSL241" s="201"/>
      <c r="GSM241" s="201"/>
      <c r="GSN241" s="201"/>
      <c r="GSO241" s="201"/>
      <c r="GSP241" s="201"/>
      <c r="GSQ241" s="201"/>
      <c r="GSR241" s="201"/>
      <c r="GSS241" s="201"/>
      <c r="GST241" s="201"/>
      <c r="GSU241" s="201"/>
      <c r="GSV241" s="201"/>
      <c r="GSW241" s="201"/>
      <c r="GSX241" s="201"/>
      <c r="GSY241" s="201"/>
      <c r="GSZ241" s="201"/>
      <c r="GTA241" s="201"/>
      <c r="GTB241" s="201"/>
      <c r="GTC241" s="201"/>
      <c r="GTD241" s="201"/>
      <c r="GTE241" s="201"/>
      <c r="GTF241" s="201"/>
      <c r="GTG241" s="201"/>
      <c r="GTH241" s="201"/>
      <c r="GTI241" s="201"/>
      <c r="GTJ241" s="201"/>
      <c r="GTK241" s="201"/>
      <c r="GTL241" s="201"/>
      <c r="GTM241" s="201"/>
      <c r="GTN241" s="201"/>
      <c r="GTO241" s="201"/>
      <c r="GTP241" s="201"/>
      <c r="GTQ241" s="201"/>
      <c r="GTR241" s="201"/>
      <c r="GTS241" s="201"/>
      <c r="GTT241" s="201"/>
      <c r="GTU241" s="201"/>
      <c r="GTV241" s="201"/>
      <c r="GTW241" s="201"/>
      <c r="GTX241" s="201"/>
      <c r="GTY241" s="201"/>
      <c r="GTZ241" s="201"/>
      <c r="GUA241" s="201"/>
      <c r="GUB241" s="201"/>
      <c r="GUC241" s="201"/>
      <c r="GUD241" s="201"/>
      <c r="GUE241" s="201"/>
      <c r="GUF241" s="201"/>
      <c r="GUG241" s="201"/>
      <c r="GUH241" s="201"/>
      <c r="GUI241" s="201"/>
      <c r="GUJ241" s="201"/>
      <c r="GUK241" s="201"/>
      <c r="GUL241" s="201"/>
      <c r="GUM241" s="201"/>
      <c r="GUN241" s="201"/>
      <c r="GUO241" s="201"/>
      <c r="GUP241" s="201"/>
      <c r="GUQ241" s="201"/>
      <c r="GUR241" s="201"/>
      <c r="GUS241" s="201"/>
      <c r="GUT241" s="201"/>
      <c r="GUU241" s="201"/>
      <c r="GUV241" s="201"/>
      <c r="GUW241" s="201"/>
      <c r="GUX241" s="201"/>
      <c r="GUY241" s="201"/>
      <c r="GUZ241" s="201"/>
      <c r="GVA241" s="201"/>
      <c r="GVB241" s="201"/>
      <c r="GVC241" s="201"/>
      <c r="GVD241" s="201"/>
      <c r="GVE241" s="201"/>
      <c r="GVF241" s="201"/>
      <c r="GVG241" s="201"/>
      <c r="GVH241" s="201"/>
      <c r="GVI241" s="201"/>
      <c r="GVJ241" s="201"/>
      <c r="GVK241" s="201"/>
      <c r="GVL241" s="201"/>
      <c r="GVM241" s="201"/>
      <c r="GVN241" s="201"/>
      <c r="GVO241" s="201"/>
      <c r="GVP241" s="201"/>
      <c r="GVQ241" s="201"/>
      <c r="GVR241" s="201"/>
      <c r="GVS241" s="201"/>
      <c r="GVT241" s="201"/>
      <c r="GVU241" s="201"/>
      <c r="GVV241" s="201"/>
      <c r="GVW241" s="201"/>
      <c r="GVX241" s="201"/>
      <c r="GVY241" s="201"/>
      <c r="GVZ241" s="201"/>
      <c r="GWA241" s="201"/>
      <c r="GWB241" s="201"/>
      <c r="GWC241" s="201"/>
      <c r="GWD241" s="201"/>
      <c r="GWE241" s="201"/>
      <c r="GWF241" s="201"/>
      <c r="GWG241" s="201"/>
      <c r="GWH241" s="201"/>
      <c r="GWI241" s="201"/>
      <c r="GWJ241" s="201"/>
      <c r="GWK241" s="201"/>
      <c r="GWL241" s="201"/>
      <c r="GWM241" s="201"/>
      <c r="GWN241" s="201"/>
      <c r="GWO241" s="201"/>
      <c r="GWP241" s="201"/>
      <c r="GWQ241" s="201"/>
      <c r="GWR241" s="201"/>
      <c r="GWS241" s="201"/>
      <c r="GWT241" s="201"/>
      <c r="GWU241" s="201"/>
      <c r="GWV241" s="201"/>
      <c r="GWW241" s="201"/>
      <c r="GWX241" s="201"/>
      <c r="GWY241" s="201"/>
      <c r="GWZ241" s="201"/>
      <c r="GXA241" s="201"/>
      <c r="GXB241" s="201"/>
      <c r="GXC241" s="201"/>
      <c r="GXD241" s="201"/>
      <c r="GXE241" s="201"/>
      <c r="GXF241" s="201"/>
      <c r="GXG241" s="201"/>
      <c r="GXH241" s="201"/>
      <c r="GXI241" s="201"/>
      <c r="GXJ241" s="201"/>
      <c r="GXK241" s="201"/>
      <c r="GXL241" s="201"/>
      <c r="GXM241" s="201"/>
      <c r="GXN241" s="201"/>
      <c r="GXO241" s="201"/>
      <c r="GXP241" s="201"/>
      <c r="GXQ241" s="201"/>
      <c r="GXR241" s="201"/>
      <c r="GXS241" s="201"/>
      <c r="GXT241" s="201"/>
      <c r="GXU241" s="201"/>
      <c r="GXV241" s="201"/>
      <c r="GXW241" s="201"/>
      <c r="GXX241" s="201"/>
      <c r="GXY241" s="201"/>
      <c r="GXZ241" s="201"/>
      <c r="GYA241" s="201"/>
      <c r="GYB241" s="201"/>
      <c r="GYC241" s="201"/>
      <c r="GYD241" s="201"/>
      <c r="GYE241" s="201"/>
      <c r="GYF241" s="201"/>
      <c r="GYG241" s="201"/>
      <c r="GYH241" s="201"/>
      <c r="GYI241" s="201"/>
      <c r="GYJ241" s="201"/>
      <c r="GYK241" s="201"/>
      <c r="GYL241" s="201"/>
      <c r="GYM241" s="201"/>
      <c r="GYN241" s="201"/>
      <c r="GYO241" s="201"/>
      <c r="GYP241" s="201"/>
      <c r="GYQ241" s="201"/>
      <c r="GYR241" s="201"/>
      <c r="GYS241" s="201"/>
      <c r="GYT241" s="201"/>
      <c r="GYU241" s="201"/>
      <c r="GYV241" s="201"/>
      <c r="GYW241" s="201"/>
      <c r="GYX241" s="201"/>
      <c r="GYY241" s="201"/>
      <c r="GYZ241" s="201"/>
      <c r="GZA241" s="201"/>
      <c r="GZB241" s="201"/>
      <c r="GZC241" s="201"/>
      <c r="GZD241" s="201"/>
      <c r="GZE241" s="201"/>
      <c r="GZF241" s="201"/>
      <c r="GZG241" s="201"/>
      <c r="GZH241" s="201"/>
      <c r="GZI241" s="201"/>
      <c r="GZJ241" s="201"/>
      <c r="GZK241" s="201"/>
      <c r="GZL241" s="201"/>
      <c r="GZM241" s="201"/>
      <c r="GZN241" s="201"/>
      <c r="GZO241" s="201"/>
      <c r="GZP241" s="201"/>
      <c r="GZQ241" s="201"/>
      <c r="GZR241" s="201"/>
      <c r="GZS241" s="201"/>
      <c r="GZT241" s="201"/>
      <c r="GZU241" s="201"/>
      <c r="GZV241" s="201"/>
      <c r="GZW241" s="201"/>
      <c r="GZX241" s="201"/>
      <c r="GZY241" s="201"/>
      <c r="GZZ241" s="201"/>
      <c r="HAA241" s="201"/>
      <c r="HAB241" s="201"/>
      <c r="HAC241" s="201"/>
      <c r="HAD241" s="201"/>
      <c r="HAE241" s="201"/>
      <c r="HAF241" s="201"/>
      <c r="HAG241" s="201"/>
      <c r="HAH241" s="201"/>
      <c r="HAI241" s="201"/>
      <c r="HAJ241" s="201"/>
      <c r="HAK241" s="201"/>
      <c r="HAL241" s="201"/>
      <c r="HAM241" s="201"/>
      <c r="HAN241" s="201"/>
      <c r="HAO241" s="201"/>
      <c r="HAP241" s="201"/>
      <c r="HAQ241" s="201"/>
      <c r="HAR241" s="201"/>
      <c r="HAS241" s="201"/>
      <c r="HAT241" s="201"/>
      <c r="HAU241" s="201"/>
      <c r="HAV241" s="201"/>
      <c r="HAW241" s="201"/>
      <c r="HAX241" s="201"/>
      <c r="HAY241" s="201"/>
      <c r="HAZ241" s="201"/>
      <c r="HBA241" s="201"/>
      <c r="HBB241" s="201"/>
      <c r="HBC241" s="201"/>
      <c r="HBD241" s="201"/>
      <c r="HBE241" s="201"/>
      <c r="HBF241" s="201"/>
      <c r="HBG241" s="201"/>
      <c r="HBH241" s="201"/>
      <c r="HBI241" s="201"/>
      <c r="HBJ241" s="201"/>
      <c r="HBK241" s="201"/>
      <c r="HBL241" s="201"/>
      <c r="HBM241" s="201"/>
      <c r="HBN241" s="201"/>
      <c r="HBO241" s="201"/>
      <c r="HBP241" s="201"/>
      <c r="HBQ241" s="201"/>
      <c r="HBR241" s="201"/>
      <c r="HBS241" s="201"/>
      <c r="HBT241" s="201"/>
      <c r="HBU241" s="201"/>
      <c r="HBV241" s="201"/>
      <c r="HBW241" s="201"/>
      <c r="HBX241" s="201"/>
      <c r="HBY241" s="201"/>
      <c r="HBZ241" s="201"/>
      <c r="HCA241" s="201"/>
      <c r="HCB241" s="201"/>
      <c r="HCC241" s="201"/>
      <c r="HCD241" s="201"/>
      <c r="HCE241" s="201"/>
      <c r="HCF241" s="201"/>
      <c r="HCG241" s="201"/>
      <c r="HCH241" s="201"/>
      <c r="HCI241" s="201"/>
      <c r="HCJ241" s="201"/>
      <c r="HCK241" s="201"/>
      <c r="HCL241" s="201"/>
      <c r="HCM241" s="201"/>
      <c r="HCN241" s="201"/>
      <c r="HCO241" s="201"/>
      <c r="HCP241" s="201"/>
      <c r="HCQ241" s="201"/>
      <c r="HCR241" s="201"/>
      <c r="HCS241" s="201"/>
      <c r="HCT241" s="201"/>
      <c r="HCU241" s="201"/>
      <c r="HCV241" s="201"/>
      <c r="HCW241" s="201"/>
      <c r="HCX241" s="201"/>
      <c r="HCY241" s="201"/>
      <c r="HCZ241" s="201"/>
      <c r="HDA241" s="201"/>
      <c r="HDB241" s="201"/>
      <c r="HDC241" s="201"/>
      <c r="HDD241" s="201"/>
      <c r="HDE241" s="201"/>
      <c r="HDF241" s="201"/>
      <c r="HDG241" s="201"/>
      <c r="HDH241" s="201"/>
      <c r="HDI241" s="201"/>
      <c r="HDJ241" s="201"/>
      <c r="HDK241" s="201"/>
      <c r="HDL241" s="201"/>
      <c r="HDM241" s="201"/>
      <c r="HDN241" s="201"/>
      <c r="HDO241" s="201"/>
      <c r="HDP241" s="201"/>
      <c r="HDQ241" s="201"/>
      <c r="HDR241" s="201"/>
      <c r="HDS241" s="201"/>
      <c r="HDT241" s="201"/>
      <c r="HDU241" s="201"/>
      <c r="HDV241" s="201"/>
      <c r="HDW241" s="201"/>
      <c r="HDX241" s="201"/>
      <c r="HDY241" s="201"/>
      <c r="HDZ241" s="201"/>
      <c r="HEA241" s="201"/>
      <c r="HEB241" s="201"/>
      <c r="HEC241" s="201"/>
      <c r="HED241" s="201"/>
      <c r="HEE241" s="201"/>
      <c r="HEF241" s="201"/>
      <c r="HEG241" s="201"/>
      <c r="HEH241" s="201"/>
      <c r="HEI241" s="201"/>
      <c r="HEJ241" s="201"/>
      <c r="HEK241" s="201"/>
      <c r="HEL241" s="201"/>
      <c r="HEM241" s="201"/>
      <c r="HEN241" s="201"/>
      <c r="HEO241" s="201"/>
      <c r="HEP241" s="201"/>
      <c r="HEQ241" s="201"/>
      <c r="HER241" s="201"/>
      <c r="HES241" s="201"/>
      <c r="HET241" s="201"/>
      <c r="HEU241" s="201"/>
      <c r="HEV241" s="201"/>
      <c r="HEW241" s="201"/>
      <c r="HEX241" s="201"/>
      <c r="HEY241" s="201"/>
      <c r="HEZ241" s="201"/>
      <c r="HFA241" s="201"/>
      <c r="HFB241" s="201"/>
      <c r="HFC241" s="201"/>
      <c r="HFD241" s="201"/>
      <c r="HFE241" s="201"/>
      <c r="HFF241" s="201"/>
      <c r="HFG241" s="201"/>
      <c r="HFH241" s="201"/>
      <c r="HFI241" s="201"/>
      <c r="HFJ241" s="201"/>
      <c r="HFK241" s="201"/>
      <c r="HFL241" s="201"/>
      <c r="HFM241" s="201"/>
      <c r="HFN241" s="201"/>
      <c r="HFO241" s="201"/>
      <c r="HFP241" s="201"/>
      <c r="HFQ241" s="201"/>
      <c r="HFR241" s="201"/>
      <c r="HFS241" s="201"/>
      <c r="HFT241" s="201"/>
      <c r="HFU241" s="201"/>
      <c r="HFV241" s="201"/>
      <c r="HFW241" s="201"/>
      <c r="HFX241" s="201"/>
      <c r="HFY241" s="201"/>
      <c r="HFZ241" s="201"/>
      <c r="HGA241" s="201"/>
      <c r="HGB241" s="201"/>
      <c r="HGC241" s="201"/>
      <c r="HGD241" s="201"/>
      <c r="HGE241" s="201"/>
      <c r="HGF241" s="201"/>
      <c r="HGG241" s="201"/>
      <c r="HGH241" s="201"/>
      <c r="HGI241" s="201"/>
      <c r="HGJ241" s="201"/>
      <c r="HGK241" s="201"/>
      <c r="HGL241" s="201"/>
      <c r="HGM241" s="201"/>
      <c r="HGN241" s="201"/>
      <c r="HGO241" s="201"/>
      <c r="HGP241" s="201"/>
      <c r="HGQ241" s="201"/>
      <c r="HGR241" s="201"/>
      <c r="HGS241" s="201"/>
      <c r="HGT241" s="201"/>
      <c r="HGU241" s="201"/>
      <c r="HGV241" s="201"/>
      <c r="HGW241" s="201"/>
      <c r="HGX241" s="201"/>
      <c r="HGY241" s="201"/>
      <c r="HGZ241" s="201"/>
      <c r="HHA241" s="201"/>
      <c r="HHB241" s="201"/>
      <c r="HHC241" s="201"/>
      <c r="HHD241" s="201"/>
      <c r="HHE241" s="201"/>
      <c r="HHF241" s="201"/>
      <c r="HHG241" s="201"/>
      <c r="HHH241" s="201"/>
      <c r="HHI241" s="201"/>
      <c r="HHJ241" s="201"/>
      <c r="HHK241" s="201"/>
      <c r="HHL241" s="201"/>
      <c r="HHM241" s="201"/>
      <c r="HHN241" s="201"/>
      <c r="HHO241" s="201"/>
      <c r="HHP241" s="201"/>
      <c r="HHQ241" s="201"/>
      <c r="HHR241" s="201"/>
      <c r="HHS241" s="201"/>
      <c r="HHT241" s="201"/>
      <c r="HHU241" s="201"/>
      <c r="HHV241" s="201"/>
      <c r="HHW241" s="201"/>
      <c r="HHX241" s="201"/>
      <c r="HHY241" s="201"/>
      <c r="HHZ241" s="201"/>
      <c r="HIA241" s="201"/>
      <c r="HIB241" s="201"/>
      <c r="HIC241" s="201"/>
      <c r="HID241" s="201"/>
      <c r="HIE241" s="201"/>
      <c r="HIF241" s="201"/>
      <c r="HIG241" s="201"/>
      <c r="HIH241" s="201"/>
      <c r="HII241" s="201"/>
      <c r="HIJ241" s="201"/>
      <c r="HIK241" s="201"/>
      <c r="HIL241" s="201"/>
      <c r="HIM241" s="201"/>
      <c r="HIN241" s="201"/>
      <c r="HIO241" s="201"/>
      <c r="HIP241" s="201"/>
      <c r="HIQ241" s="201"/>
      <c r="HIR241" s="201"/>
      <c r="HIS241" s="201"/>
      <c r="HIT241" s="201"/>
      <c r="HIU241" s="201"/>
      <c r="HIV241" s="201"/>
      <c r="HIW241" s="201"/>
      <c r="HIX241" s="201"/>
      <c r="HIY241" s="201"/>
      <c r="HIZ241" s="201"/>
      <c r="HJA241" s="201"/>
      <c r="HJB241" s="201"/>
      <c r="HJC241" s="201"/>
      <c r="HJD241" s="201"/>
      <c r="HJE241" s="201"/>
      <c r="HJF241" s="201"/>
      <c r="HJG241" s="201"/>
      <c r="HJH241" s="201"/>
      <c r="HJI241" s="201"/>
      <c r="HJJ241" s="201"/>
      <c r="HJK241" s="201"/>
      <c r="HJL241" s="201"/>
      <c r="HJM241" s="201"/>
      <c r="HJN241" s="201"/>
      <c r="HJO241" s="201"/>
      <c r="HJP241" s="201"/>
      <c r="HJQ241" s="201"/>
      <c r="HJR241" s="201"/>
      <c r="HJS241" s="201"/>
      <c r="HJT241" s="201"/>
      <c r="HJU241" s="201"/>
      <c r="HJV241" s="201"/>
      <c r="HJW241" s="201"/>
      <c r="HJX241" s="201"/>
      <c r="HJY241" s="201"/>
      <c r="HJZ241" s="201"/>
      <c r="HKA241" s="201"/>
      <c r="HKB241" s="201"/>
      <c r="HKC241" s="201"/>
      <c r="HKD241" s="201"/>
      <c r="HKE241" s="201"/>
      <c r="HKF241" s="201"/>
      <c r="HKG241" s="201"/>
      <c r="HKH241" s="201"/>
      <c r="HKI241" s="201"/>
      <c r="HKJ241" s="201"/>
      <c r="HKK241" s="201"/>
      <c r="HKL241" s="201"/>
      <c r="HKM241" s="201"/>
      <c r="HKN241" s="201"/>
      <c r="HKO241" s="201"/>
      <c r="HKP241" s="201"/>
      <c r="HKQ241" s="201"/>
      <c r="HKR241" s="201"/>
      <c r="HKS241" s="201"/>
      <c r="HKT241" s="201"/>
      <c r="HKU241" s="201"/>
      <c r="HKV241" s="201"/>
      <c r="HKW241" s="201"/>
      <c r="HKX241" s="201"/>
      <c r="HKY241" s="201"/>
      <c r="HKZ241" s="201"/>
      <c r="HLA241" s="201"/>
      <c r="HLB241" s="201"/>
      <c r="HLC241" s="201"/>
      <c r="HLD241" s="201"/>
      <c r="HLE241" s="201"/>
      <c r="HLF241" s="201"/>
      <c r="HLG241" s="201"/>
      <c r="HLH241" s="201"/>
      <c r="HLI241" s="201"/>
      <c r="HLJ241" s="201"/>
      <c r="HLK241" s="201"/>
      <c r="HLL241" s="201"/>
      <c r="HLM241" s="201"/>
      <c r="HLN241" s="201"/>
      <c r="HLO241" s="201"/>
      <c r="HLP241" s="201"/>
      <c r="HLQ241" s="201"/>
      <c r="HLR241" s="201"/>
      <c r="HLS241" s="201"/>
      <c r="HLT241" s="201"/>
      <c r="HLU241" s="201"/>
      <c r="HLV241" s="201"/>
      <c r="HLW241" s="201"/>
      <c r="HLX241" s="201"/>
      <c r="HLY241" s="201"/>
      <c r="HLZ241" s="201"/>
      <c r="HMA241" s="201"/>
      <c r="HMB241" s="201"/>
      <c r="HMC241" s="201"/>
      <c r="HMD241" s="201"/>
      <c r="HME241" s="201"/>
      <c r="HMF241" s="201"/>
      <c r="HMG241" s="201"/>
      <c r="HMH241" s="201"/>
      <c r="HMI241" s="201"/>
      <c r="HMJ241" s="201"/>
      <c r="HMK241" s="201"/>
      <c r="HML241" s="201"/>
      <c r="HMM241" s="201"/>
      <c r="HMN241" s="201"/>
      <c r="HMO241" s="201"/>
      <c r="HMP241" s="201"/>
      <c r="HMQ241" s="201"/>
      <c r="HMR241" s="201"/>
      <c r="HMS241" s="201"/>
      <c r="HMT241" s="201"/>
      <c r="HMU241" s="201"/>
      <c r="HMV241" s="201"/>
      <c r="HMW241" s="201"/>
      <c r="HMX241" s="201"/>
      <c r="HMY241" s="201"/>
      <c r="HMZ241" s="201"/>
      <c r="HNA241" s="201"/>
      <c r="HNB241" s="201"/>
      <c r="HNC241" s="201"/>
      <c r="HND241" s="201"/>
      <c r="HNE241" s="201"/>
      <c r="HNF241" s="201"/>
      <c r="HNG241" s="201"/>
      <c r="HNH241" s="201"/>
      <c r="HNI241" s="201"/>
      <c r="HNJ241" s="201"/>
      <c r="HNK241" s="201"/>
      <c r="HNL241" s="201"/>
      <c r="HNM241" s="201"/>
      <c r="HNN241" s="201"/>
      <c r="HNO241" s="201"/>
      <c r="HNP241" s="201"/>
      <c r="HNQ241" s="201"/>
      <c r="HNR241" s="201"/>
      <c r="HNS241" s="201"/>
      <c r="HNT241" s="201"/>
      <c r="HNU241" s="201"/>
      <c r="HNV241" s="201"/>
      <c r="HNW241" s="201"/>
      <c r="HNX241" s="201"/>
      <c r="HNY241" s="201"/>
      <c r="HNZ241" s="201"/>
      <c r="HOA241" s="201"/>
      <c r="HOB241" s="201"/>
      <c r="HOC241" s="201"/>
      <c r="HOD241" s="201"/>
      <c r="HOE241" s="201"/>
      <c r="HOF241" s="201"/>
      <c r="HOG241" s="201"/>
      <c r="HOH241" s="201"/>
      <c r="HOI241" s="201"/>
      <c r="HOJ241" s="201"/>
      <c r="HOK241" s="201"/>
      <c r="HOL241" s="201"/>
      <c r="HOM241" s="201"/>
      <c r="HON241" s="201"/>
      <c r="HOO241" s="201"/>
      <c r="HOP241" s="201"/>
      <c r="HOQ241" s="201"/>
      <c r="HOR241" s="201"/>
      <c r="HOS241" s="201"/>
      <c r="HOT241" s="201"/>
      <c r="HOU241" s="201"/>
      <c r="HOV241" s="201"/>
      <c r="HOW241" s="201"/>
      <c r="HOX241" s="201"/>
      <c r="HOY241" s="201"/>
      <c r="HOZ241" s="201"/>
      <c r="HPA241" s="201"/>
      <c r="HPB241" s="201"/>
      <c r="HPC241" s="201"/>
      <c r="HPD241" s="201"/>
      <c r="HPE241" s="201"/>
      <c r="HPF241" s="201"/>
      <c r="HPG241" s="201"/>
      <c r="HPH241" s="201"/>
      <c r="HPI241" s="201"/>
      <c r="HPJ241" s="201"/>
      <c r="HPK241" s="201"/>
      <c r="HPL241" s="201"/>
      <c r="HPM241" s="201"/>
      <c r="HPN241" s="201"/>
      <c r="HPO241" s="201"/>
      <c r="HPP241" s="201"/>
      <c r="HPQ241" s="201"/>
      <c r="HPR241" s="201"/>
      <c r="HPS241" s="201"/>
      <c r="HPT241" s="201"/>
      <c r="HPU241" s="201"/>
      <c r="HPV241" s="201"/>
      <c r="HPW241" s="201"/>
      <c r="HPX241" s="201"/>
      <c r="HPY241" s="201"/>
      <c r="HPZ241" s="201"/>
      <c r="HQA241" s="201"/>
      <c r="HQB241" s="201"/>
      <c r="HQC241" s="201"/>
      <c r="HQD241" s="201"/>
      <c r="HQE241" s="201"/>
      <c r="HQF241" s="201"/>
      <c r="HQG241" s="201"/>
      <c r="HQH241" s="201"/>
      <c r="HQI241" s="201"/>
      <c r="HQJ241" s="201"/>
      <c r="HQK241" s="201"/>
      <c r="HQL241" s="201"/>
      <c r="HQM241" s="201"/>
      <c r="HQN241" s="201"/>
      <c r="HQO241" s="201"/>
      <c r="HQP241" s="201"/>
      <c r="HQQ241" s="201"/>
      <c r="HQR241" s="201"/>
      <c r="HQS241" s="201"/>
      <c r="HQT241" s="201"/>
      <c r="HQU241" s="201"/>
      <c r="HQV241" s="201"/>
      <c r="HQW241" s="201"/>
      <c r="HQX241" s="201"/>
      <c r="HQY241" s="201"/>
      <c r="HQZ241" s="201"/>
      <c r="HRA241" s="201"/>
      <c r="HRB241" s="201"/>
      <c r="HRC241" s="201"/>
      <c r="HRD241" s="201"/>
      <c r="HRE241" s="201"/>
      <c r="HRF241" s="201"/>
      <c r="HRG241" s="201"/>
      <c r="HRH241" s="201"/>
      <c r="HRI241" s="201"/>
      <c r="HRJ241" s="201"/>
      <c r="HRK241" s="201"/>
      <c r="HRL241" s="201"/>
      <c r="HRM241" s="201"/>
      <c r="HRN241" s="201"/>
      <c r="HRO241" s="201"/>
      <c r="HRP241" s="201"/>
      <c r="HRQ241" s="201"/>
      <c r="HRR241" s="201"/>
      <c r="HRS241" s="201"/>
      <c r="HRT241" s="201"/>
      <c r="HRU241" s="201"/>
      <c r="HRV241" s="201"/>
      <c r="HRW241" s="201"/>
      <c r="HRX241" s="201"/>
      <c r="HRY241" s="201"/>
      <c r="HRZ241" s="201"/>
      <c r="HSA241" s="201"/>
      <c r="HSB241" s="201"/>
      <c r="HSC241" s="201"/>
      <c r="HSD241" s="201"/>
      <c r="HSE241" s="201"/>
      <c r="HSF241" s="201"/>
      <c r="HSG241" s="201"/>
      <c r="HSH241" s="201"/>
      <c r="HSI241" s="201"/>
      <c r="HSJ241" s="201"/>
      <c r="HSK241" s="201"/>
      <c r="HSL241" s="201"/>
      <c r="HSM241" s="201"/>
      <c r="HSN241" s="201"/>
      <c r="HSO241" s="201"/>
      <c r="HSP241" s="201"/>
      <c r="HSQ241" s="201"/>
      <c r="HSR241" s="201"/>
      <c r="HSS241" s="201"/>
      <c r="HST241" s="201"/>
      <c r="HSU241" s="201"/>
      <c r="HSV241" s="201"/>
      <c r="HSW241" s="201"/>
      <c r="HSX241" s="201"/>
      <c r="HSY241" s="201"/>
      <c r="HSZ241" s="201"/>
      <c r="HTA241" s="201"/>
      <c r="HTB241" s="201"/>
      <c r="HTC241" s="201"/>
      <c r="HTD241" s="201"/>
      <c r="HTE241" s="201"/>
      <c r="HTF241" s="201"/>
      <c r="HTG241" s="201"/>
      <c r="HTH241" s="201"/>
      <c r="HTI241" s="201"/>
      <c r="HTJ241" s="201"/>
      <c r="HTK241" s="201"/>
      <c r="HTL241" s="201"/>
      <c r="HTM241" s="201"/>
      <c r="HTN241" s="201"/>
      <c r="HTO241" s="201"/>
      <c r="HTP241" s="201"/>
      <c r="HTQ241" s="201"/>
      <c r="HTR241" s="201"/>
      <c r="HTS241" s="201"/>
      <c r="HTT241" s="201"/>
      <c r="HTU241" s="201"/>
      <c r="HTV241" s="201"/>
      <c r="HTW241" s="201"/>
      <c r="HTX241" s="201"/>
      <c r="HTY241" s="201"/>
      <c r="HTZ241" s="201"/>
      <c r="HUA241" s="201"/>
      <c r="HUB241" s="201"/>
      <c r="HUC241" s="201"/>
      <c r="HUD241" s="201"/>
      <c r="HUE241" s="201"/>
      <c r="HUF241" s="201"/>
      <c r="HUG241" s="201"/>
      <c r="HUH241" s="201"/>
      <c r="HUI241" s="201"/>
      <c r="HUJ241" s="201"/>
      <c r="HUK241" s="201"/>
      <c r="HUL241" s="201"/>
      <c r="HUM241" s="201"/>
      <c r="HUN241" s="201"/>
      <c r="HUO241" s="201"/>
      <c r="HUP241" s="201"/>
      <c r="HUQ241" s="201"/>
      <c r="HUR241" s="201"/>
      <c r="HUS241" s="201"/>
      <c r="HUT241" s="201"/>
      <c r="HUU241" s="201"/>
      <c r="HUV241" s="201"/>
      <c r="HUW241" s="201"/>
      <c r="HUX241" s="201"/>
      <c r="HUY241" s="201"/>
      <c r="HUZ241" s="201"/>
      <c r="HVA241" s="201"/>
      <c r="HVB241" s="201"/>
      <c r="HVC241" s="201"/>
      <c r="HVD241" s="201"/>
      <c r="HVE241" s="201"/>
      <c r="HVF241" s="201"/>
      <c r="HVG241" s="201"/>
      <c r="HVH241" s="201"/>
      <c r="HVI241" s="201"/>
      <c r="HVJ241" s="201"/>
      <c r="HVK241" s="201"/>
      <c r="HVL241" s="201"/>
      <c r="HVM241" s="201"/>
      <c r="HVN241" s="201"/>
      <c r="HVO241" s="201"/>
      <c r="HVP241" s="201"/>
      <c r="HVQ241" s="201"/>
      <c r="HVR241" s="201"/>
      <c r="HVS241" s="201"/>
      <c r="HVT241" s="201"/>
      <c r="HVU241" s="201"/>
      <c r="HVV241" s="201"/>
      <c r="HVW241" s="201"/>
      <c r="HVX241" s="201"/>
      <c r="HVY241" s="201"/>
      <c r="HVZ241" s="201"/>
      <c r="HWA241" s="201"/>
      <c r="HWB241" s="201"/>
      <c r="HWC241" s="201"/>
      <c r="HWD241" s="201"/>
      <c r="HWE241" s="201"/>
      <c r="HWF241" s="201"/>
      <c r="HWG241" s="201"/>
      <c r="HWH241" s="201"/>
      <c r="HWI241" s="201"/>
      <c r="HWJ241" s="201"/>
      <c r="HWK241" s="201"/>
      <c r="HWL241" s="201"/>
      <c r="HWM241" s="201"/>
      <c r="HWN241" s="201"/>
      <c r="HWO241" s="201"/>
      <c r="HWP241" s="201"/>
      <c r="HWQ241" s="201"/>
      <c r="HWR241" s="201"/>
      <c r="HWS241" s="201"/>
      <c r="HWT241" s="201"/>
      <c r="HWU241" s="201"/>
      <c r="HWV241" s="201"/>
      <c r="HWW241" s="201"/>
      <c r="HWX241" s="201"/>
      <c r="HWY241" s="201"/>
      <c r="HWZ241" s="201"/>
      <c r="HXA241" s="201"/>
      <c r="HXB241" s="201"/>
      <c r="HXC241" s="201"/>
      <c r="HXD241" s="201"/>
      <c r="HXE241" s="201"/>
      <c r="HXF241" s="201"/>
      <c r="HXG241" s="201"/>
      <c r="HXH241" s="201"/>
      <c r="HXI241" s="201"/>
      <c r="HXJ241" s="201"/>
      <c r="HXK241" s="201"/>
      <c r="HXL241" s="201"/>
      <c r="HXM241" s="201"/>
      <c r="HXN241" s="201"/>
      <c r="HXO241" s="201"/>
      <c r="HXP241" s="201"/>
      <c r="HXQ241" s="201"/>
      <c r="HXR241" s="201"/>
      <c r="HXS241" s="201"/>
      <c r="HXT241" s="201"/>
      <c r="HXU241" s="201"/>
      <c r="HXV241" s="201"/>
      <c r="HXW241" s="201"/>
      <c r="HXX241" s="201"/>
      <c r="HXY241" s="201"/>
      <c r="HXZ241" s="201"/>
      <c r="HYA241" s="201"/>
      <c r="HYB241" s="201"/>
      <c r="HYC241" s="201"/>
      <c r="HYD241" s="201"/>
      <c r="HYE241" s="201"/>
      <c r="HYF241" s="201"/>
      <c r="HYG241" s="201"/>
      <c r="HYH241" s="201"/>
      <c r="HYI241" s="201"/>
      <c r="HYJ241" s="201"/>
      <c r="HYK241" s="201"/>
      <c r="HYL241" s="201"/>
      <c r="HYM241" s="201"/>
      <c r="HYN241" s="201"/>
      <c r="HYO241" s="201"/>
      <c r="HYP241" s="201"/>
      <c r="HYQ241" s="201"/>
      <c r="HYR241" s="201"/>
      <c r="HYS241" s="201"/>
      <c r="HYT241" s="201"/>
      <c r="HYU241" s="201"/>
      <c r="HYV241" s="201"/>
      <c r="HYW241" s="201"/>
      <c r="HYX241" s="201"/>
      <c r="HYY241" s="201"/>
      <c r="HYZ241" s="201"/>
      <c r="HZA241" s="201"/>
      <c r="HZB241" s="201"/>
      <c r="HZC241" s="201"/>
      <c r="HZD241" s="201"/>
      <c r="HZE241" s="201"/>
      <c r="HZF241" s="201"/>
      <c r="HZG241" s="201"/>
      <c r="HZH241" s="201"/>
      <c r="HZI241" s="201"/>
      <c r="HZJ241" s="201"/>
      <c r="HZK241" s="201"/>
      <c r="HZL241" s="201"/>
      <c r="HZM241" s="201"/>
      <c r="HZN241" s="201"/>
      <c r="HZO241" s="201"/>
      <c r="HZP241" s="201"/>
      <c r="HZQ241" s="201"/>
      <c r="HZR241" s="201"/>
      <c r="HZS241" s="201"/>
      <c r="HZT241" s="201"/>
      <c r="HZU241" s="201"/>
      <c r="HZV241" s="201"/>
      <c r="HZW241" s="201"/>
      <c r="HZX241" s="201"/>
      <c r="HZY241" s="201"/>
      <c r="HZZ241" s="201"/>
      <c r="IAA241" s="201"/>
      <c r="IAB241" s="201"/>
      <c r="IAC241" s="201"/>
      <c r="IAD241" s="201"/>
      <c r="IAE241" s="201"/>
      <c r="IAF241" s="201"/>
      <c r="IAG241" s="201"/>
      <c r="IAH241" s="201"/>
      <c r="IAI241" s="201"/>
      <c r="IAJ241" s="201"/>
      <c r="IAK241" s="201"/>
      <c r="IAL241" s="201"/>
      <c r="IAM241" s="201"/>
      <c r="IAN241" s="201"/>
      <c r="IAO241" s="201"/>
      <c r="IAP241" s="201"/>
      <c r="IAQ241" s="201"/>
      <c r="IAR241" s="201"/>
      <c r="IAS241" s="201"/>
      <c r="IAT241" s="201"/>
      <c r="IAU241" s="201"/>
      <c r="IAV241" s="201"/>
      <c r="IAW241" s="201"/>
      <c r="IAX241" s="201"/>
      <c r="IAY241" s="201"/>
      <c r="IAZ241" s="201"/>
      <c r="IBA241" s="201"/>
      <c r="IBB241" s="201"/>
      <c r="IBC241" s="201"/>
      <c r="IBD241" s="201"/>
      <c r="IBE241" s="201"/>
      <c r="IBF241" s="201"/>
      <c r="IBG241" s="201"/>
      <c r="IBH241" s="201"/>
      <c r="IBI241" s="201"/>
      <c r="IBJ241" s="201"/>
      <c r="IBK241" s="201"/>
      <c r="IBL241" s="201"/>
      <c r="IBM241" s="201"/>
      <c r="IBN241" s="201"/>
      <c r="IBO241" s="201"/>
      <c r="IBP241" s="201"/>
      <c r="IBQ241" s="201"/>
      <c r="IBR241" s="201"/>
      <c r="IBS241" s="201"/>
      <c r="IBT241" s="201"/>
      <c r="IBU241" s="201"/>
      <c r="IBV241" s="201"/>
      <c r="IBW241" s="201"/>
      <c r="IBX241" s="201"/>
      <c r="IBY241" s="201"/>
      <c r="IBZ241" s="201"/>
      <c r="ICA241" s="201"/>
      <c r="ICB241" s="201"/>
      <c r="ICC241" s="201"/>
      <c r="ICD241" s="201"/>
      <c r="ICE241" s="201"/>
      <c r="ICF241" s="201"/>
      <c r="ICG241" s="201"/>
      <c r="ICH241" s="201"/>
      <c r="ICI241" s="201"/>
      <c r="ICJ241" s="201"/>
      <c r="ICK241" s="201"/>
      <c r="ICL241" s="201"/>
      <c r="ICM241" s="201"/>
      <c r="ICN241" s="201"/>
      <c r="ICO241" s="201"/>
      <c r="ICP241" s="201"/>
      <c r="ICQ241" s="201"/>
      <c r="ICR241" s="201"/>
      <c r="ICS241" s="201"/>
      <c r="ICT241" s="201"/>
      <c r="ICU241" s="201"/>
      <c r="ICV241" s="201"/>
      <c r="ICW241" s="201"/>
      <c r="ICX241" s="201"/>
      <c r="ICY241" s="201"/>
      <c r="ICZ241" s="201"/>
      <c r="IDA241" s="201"/>
      <c r="IDB241" s="201"/>
      <c r="IDC241" s="201"/>
      <c r="IDD241" s="201"/>
      <c r="IDE241" s="201"/>
      <c r="IDF241" s="201"/>
      <c r="IDG241" s="201"/>
      <c r="IDH241" s="201"/>
      <c r="IDI241" s="201"/>
      <c r="IDJ241" s="201"/>
      <c r="IDK241" s="201"/>
      <c r="IDL241" s="201"/>
      <c r="IDM241" s="201"/>
      <c r="IDN241" s="201"/>
      <c r="IDO241" s="201"/>
      <c r="IDP241" s="201"/>
      <c r="IDQ241" s="201"/>
      <c r="IDR241" s="201"/>
      <c r="IDS241" s="201"/>
      <c r="IDT241" s="201"/>
      <c r="IDU241" s="201"/>
      <c r="IDV241" s="201"/>
      <c r="IDW241" s="201"/>
      <c r="IDX241" s="201"/>
      <c r="IDY241" s="201"/>
      <c r="IDZ241" s="201"/>
      <c r="IEA241" s="201"/>
      <c r="IEB241" s="201"/>
      <c r="IEC241" s="201"/>
      <c r="IED241" s="201"/>
      <c r="IEE241" s="201"/>
      <c r="IEF241" s="201"/>
      <c r="IEG241" s="201"/>
      <c r="IEH241" s="201"/>
      <c r="IEI241" s="201"/>
      <c r="IEJ241" s="201"/>
      <c r="IEK241" s="201"/>
      <c r="IEL241" s="201"/>
      <c r="IEM241" s="201"/>
      <c r="IEN241" s="201"/>
      <c r="IEO241" s="201"/>
      <c r="IEP241" s="201"/>
      <c r="IEQ241" s="201"/>
      <c r="IER241" s="201"/>
      <c r="IES241" s="201"/>
      <c r="IET241" s="201"/>
      <c r="IEU241" s="201"/>
      <c r="IEV241" s="201"/>
      <c r="IEW241" s="201"/>
      <c r="IEX241" s="201"/>
      <c r="IEY241" s="201"/>
      <c r="IEZ241" s="201"/>
      <c r="IFA241" s="201"/>
      <c r="IFB241" s="201"/>
      <c r="IFC241" s="201"/>
      <c r="IFD241" s="201"/>
      <c r="IFE241" s="201"/>
      <c r="IFF241" s="201"/>
      <c r="IFG241" s="201"/>
      <c r="IFH241" s="201"/>
      <c r="IFI241" s="201"/>
      <c r="IFJ241" s="201"/>
      <c r="IFK241" s="201"/>
      <c r="IFL241" s="201"/>
      <c r="IFM241" s="201"/>
      <c r="IFN241" s="201"/>
      <c r="IFO241" s="201"/>
      <c r="IFP241" s="201"/>
      <c r="IFQ241" s="201"/>
      <c r="IFR241" s="201"/>
      <c r="IFS241" s="201"/>
      <c r="IFT241" s="201"/>
      <c r="IFU241" s="201"/>
      <c r="IFV241" s="201"/>
      <c r="IFW241" s="201"/>
      <c r="IFX241" s="201"/>
      <c r="IFY241" s="201"/>
      <c r="IFZ241" s="201"/>
      <c r="IGA241" s="201"/>
      <c r="IGB241" s="201"/>
      <c r="IGC241" s="201"/>
      <c r="IGD241" s="201"/>
      <c r="IGE241" s="201"/>
      <c r="IGF241" s="201"/>
      <c r="IGG241" s="201"/>
      <c r="IGH241" s="201"/>
      <c r="IGI241" s="201"/>
      <c r="IGJ241" s="201"/>
      <c r="IGK241" s="201"/>
      <c r="IGL241" s="201"/>
      <c r="IGM241" s="201"/>
      <c r="IGN241" s="201"/>
      <c r="IGO241" s="201"/>
      <c r="IGP241" s="201"/>
      <c r="IGQ241" s="201"/>
      <c r="IGR241" s="201"/>
      <c r="IGS241" s="201"/>
      <c r="IGT241" s="201"/>
      <c r="IGU241" s="201"/>
      <c r="IGV241" s="201"/>
      <c r="IGW241" s="201"/>
      <c r="IGX241" s="201"/>
      <c r="IGY241" s="201"/>
      <c r="IGZ241" s="201"/>
      <c r="IHA241" s="201"/>
      <c r="IHB241" s="201"/>
      <c r="IHC241" s="201"/>
      <c r="IHD241" s="201"/>
      <c r="IHE241" s="201"/>
      <c r="IHF241" s="201"/>
      <c r="IHG241" s="201"/>
      <c r="IHH241" s="201"/>
      <c r="IHI241" s="201"/>
      <c r="IHJ241" s="201"/>
      <c r="IHK241" s="201"/>
      <c r="IHL241" s="201"/>
      <c r="IHM241" s="201"/>
      <c r="IHN241" s="201"/>
      <c r="IHO241" s="201"/>
      <c r="IHP241" s="201"/>
      <c r="IHQ241" s="201"/>
      <c r="IHR241" s="201"/>
      <c r="IHS241" s="201"/>
      <c r="IHT241" s="201"/>
      <c r="IHU241" s="201"/>
      <c r="IHV241" s="201"/>
      <c r="IHW241" s="201"/>
      <c r="IHX241" s="201"/>
      <c r="IHY241" s="201"/>
      <c r="IHZ241" s="201"/>
      <c r="IIA241" s="201"/>
      <c r="IIB241" s="201"/>
      <c r="IIC241" s="201"/>
      <c r="IID241" s="201"/>
      <c r="IIE241" s="201"/>
      <c r="IIF241" s="201"/>
      <c r="IIG241" s="201"/>
      <c r="IIH241" s="201"/>
      <c r="III241" s="201"/>
      <c r="IIJ241" s="201"/>
      <c r="IIK241" s="201"/>
      <c r="IIL241" s="201"/>
      <c r="IIM241" s="201"/>
      <c r="IIN241" s="201"/>
      <c r="IIO241" s="201"/>
      <c r="IIP241" s="201"/>
      <c r="IIQ241" s="201"/>
      <c r="IIR241" s="201"/>
      <c r="IIS241" s="201"/>
      <c r="IIT241" s="201"/>
      <c r="IIU241" s="201"/>
      <c r="IIV241" s="201"/>
      <c r="IIW241" s="201"/>
      <c r="IIX241" s="201"/>
      <c r="IIY241" s="201"/>
      <c r="IIZ241" s="201"/>
      <c r="IJA241" s="201"/>
      <c r="IJB241" s="201"/>
      <c r="IJC241" s="201"/>
      <c r="IJD241" s="201"/>
      <c r="IJE241" s="201"/>
      <c r="IJF241" s="201"/>
      <c r="IJG241" s="201"/>
      <c r="IJH241" s="201"/>
      <c r="IJI241" s="201"/>
      <c r="IJJ241" s="201"/>
      <c r="IJK241" s="201"/>
      <c r="IJL241" s="201"/>
      <c r="IJM241" s="201"/>
      <c r="IJN241" s="201"/>
      <c r="IJO241" s="201"/>
      <c r="IJP241" s="201"/>
      <c r="IJQ241" s="201"/>
      <c r="IJR241" s="201"/>
      <c r="IJS241" s="201"/>
      <c r="IJT241" s="201"/>
      <c r="IJU241" s="201"/>
      <c r="IJV241" s="201"/>
      <c r="IJW241" s="201"/>
      <c r="IJX241" s="201"/>
      <c r="IJY241" s="201"/>
      <c r="IJZ241" s="201"/>
      <c r="IKA241" s="201"/>
      <c r="IKB241" s="201"/>
      <c r="IKC241" s="201"/>
      <c r="IKD241" s="201"/>
      <c r="IKE241" s="201"/>
      <c r="IKF241" s="201"/>
      <c r="IKG241" s="201"/>
      <c r="IKH241" s="201"/>
      <c r="IKI241" s="201"/>
      <c r="IKJ241" s="201"/>
      <c r="IKK241" s="201"/>
      <c r="IKL241" s="201"/>
      <c r="IKM241" s="201"/>
      <c r="IKN241" s="201"/>
      <c r="IKO241" s="201"/>
      <c r="IKP241" s="201"/>
      <c r="IKQ241" s="201"/>
      <c r="IKR241" s="201"/>
      <c r="IKS241" s="201"/>
      <c r="IKT241" s="201"/>
      <c r="IKU241" s="201"/>
      <c r="IKV241" s="201"/>
      <c r="IKW241" s="201"/>
      <c r="IKX241" s="201"/>
      <c r="IKY241" s="201"/>
      <c r="IKZ241" s="201"/>
      <c r="ILA241" s="201"/>
      <c r="ILB241" s="201"/>
      <c r="ILC241" s="201"/>
      <c r="ILD241" s="201"/>
      <c r="ILE241" s="201"/>
      <c r="ILF241" s="201"/>
      <c r="ILG241" s="201"/>
      <c r="ILH241" s="201"/>
      <c r="ILI241" s="201"/>
      <c r="ILJ241" s="201"/>
      <c r="ILK241" s="201"/>
      <c r="ILL241" s="201"/>
      <c r="ILM241" s="201"/>
      <c r="ILN241" s="201"/>
      <c r="ILO241" s="201"/>
      <c r="ILP241" s="201"/>
      <c r="ILQ241" s="201"/>
      <c r="ILR241" s="201"/>
      <c r="ILS241" s="201"/>
      <c r="ILT241" s="201"/>
      <c r="ILU241" s="201"/>
      <c r="ILV241" s="201"/>
      <c r="ILW241" s="201"/>
      <c r="ILX241" s="201"/>
      <c r="ILY241" s="201"/>
      <c r="ILZ241" s="201"/>
      <c r="IMA241" s="201"/>
      <c r="IMB241" s="201"/>
      <c r="IMC241" s="201"/>
      <c r="IMD241" s="201"/>
      <c r="IME241" s="201"/>
      <c r="IMF241" s="201"/>
      <c r="IMG241" s="201"/>
      <c r="IMH241" s="201"/>
      <c r="IMI241" s="201"/>
      <c r="IMJ241" s="201"/>
      <c r="IMK241" s="201"/>
      <c r="IML241" s="201"/>
      <c r="IMM241" s="201"/>
      <c r="IMN241" s="201"/>
      <c r="IMO241" s="201"/>
      <c r="IMP241" s="201"/>
      <c r="IMQ241" s="201"/>
      <c r="IMR241" s="201"/>
      <c r="IMS241" s="201"/>
      <c r="IMT241" s="201"/>
      <c r="IMU241" s="201"/>
      <c r="IMV241" s="201"/>
      <c r="IMW241" s="201"/>
      <c r="IMX241" s="201"/>
      <c r="IMY241" s="201"/>
      <c r="IMZ241" s="201"/>
      <c r="INA241" s="201"/>
      <c r="INB241" s="201"/>
      <c r="INC241" s="201"/>
      <c r="IND241" s="201"/>
      <c r="INE241" s="201"/>
      <c r="INF241" s="201"/>
      <c r="ING241" s="201"/>
      <c r="INH241" s="201"/>
      <c r="INI241" s="201"/>
      <c r="INJ241" s="201"/>
      <c r="INK241" s="201"/>
      <c r="INL241" s="201"/>
      <c r="INM241" s="201"/>
      <c r="INN241" s="201"/>
      <c r="INO241" s="201"/>
      <c r="INP241" s="201"/>
      <c r="INQ241" s="201"/>
      <c r="INR241" s="201"/>
      <c r="INS241" s="201"/>
      <c r="INT241" s="201"/>
      <c r="INU241" s="201"/>
      <c r="INV241" s="201"/>
      <c r="INW241" s="201"/>
      <c r="INX241" s="201"/>
      <c r="INY241" s="201"/>
      <c r="INZ241" s="201"/>
      <c r="IOA241" s="201"/>
      <c r="IOB241" s="201"/>
      <c r="IOC241" s="201"/>
      <c r="IOD241" s="201"/>
      <c r="IOE241" s="201"/>
      <c r="IOF241" s="201"/>
      <c r="IOG241" s="201"/>
      <c r="IOH241" s="201"/>
      <c r="IOI241" s="201"/>
      <c r="IOJ241" s="201"/>
      <c r="IOK241" s="201"/>
      <c r="IOL241" s="201"/>
      <c r="IOM241" s="201"/>
      <c r="ION241" s="201"/>
      <c r="IOO241" s="201"/>
      <c r="IOP241" s="201"/>
      <c r="IOQ241" s="201"/>
      <c r="IOR241" s="201"/>
      <c r="IOS241" s="201"/>
      <c r="IOT241" s="201"/>
      <c r="IOU241" s="201"/>
      <c r="IOV241" s="201"/>
      <c r="IOW241" s="201"/>
      <c r="IOX241" s="201"/>
      <c r="IOY241" s="201"/>
      <c r="IOZ241" s="201"/>
      <c r="IPA241" s="201"/>
      <c r="IPB241" s="201"/>
      <c r="IPC241" s="201"/>
      <c r="IPD241" s="201"/>
      <c r="IPE241" s="201"/>
      <c r="IPF241" s="201"/>
      <c r="IPG241" s="201"/>
      <c r="IPH241" s="201"/>
      <c r="IPI241" s="201"/>
      <c r="IPJ241" s="201"/>
      <c r="IPK241" s="201"/>
      <c r="IPL241" s="201"/>
      <c r="IPM241" s="201"/>
      <c r="IPN241" s="201"/>
      <c r="IPO241" s="201"/>
      <c r="IPP241" s="201"/>
      <c r="IPQ241" s="201"/>
      <c r="IPR241" s="201"/>
      <c r="IPS241" s="201"/>
      <c r="IPT241" s="201"/>
      <c r="IPU241" s="201"/>
      <c r="IPV241" s="201"/>
      <c r="IPW241" s="201"/>
      <c r="IPX241" s="201"/>
      <c r="IPY241" s="201"/>
      <c r="IPZ241" s="201"/>
      <c r="IQA241" s="201"/>
      <c r="IQB241" s="201"/>
      <c r="IQC241" s="201"/>
      <c r="IQD241" s="201"/>
      <c r="IQE241" s="201"/>
      <c r="IQF241" s="201"/>
      <c r="IQG241" s="201"/>
      <c r="IQH241" s="201"/>
      <c r="IQI241" s="201"/>
      <c r="IQJ241" s="201"/>
      <c r="IQK241" s="201"/>
      <c r="IQL241" s="201"/>
      <c r="IQM241" s="201"/>
      <c r="IQN241" s="201"/>
      <c r="IQO241" s="201"/>
      <c r="IQP241" s="201"/>
      <c r="IQQ241" s="201"/>
      <c r="IQR241" s="201"/>
      <c r="IQS241" s="201"/>
      <c r="IQT241" s="201"/>
      <c r="IQU241" s="201"/>
      <c r="IQV241" s="201"/>
      <c r="IQW241" s="201"/>
      <c r="IQX241" s="201"/>
      <c r="IQY241" s="201"/>
      <c r="IQZ241" s="201"/>
      <c r="IRA241" s="201"/>
      <c r="IRB241" s="201"/>
      <c r="IRC241" s="201"/>
      <c r="IRD241" s="201"/>
      <c r="IRE241" s="201"/>
      <c r="IRF241" s="201"/>
      <c r="IRG241" s="201"/>
      <c r="IRH241" s="201"/>
      <c r="IRI241" s="201"/>
      <c r="IRJ241" s="201"/>
      <c r="IRK241" s="201"/>
      <c r="IRL241" s="201"/>
      <c r="IRM241" s="201"/>
      <c r="IRN241" s="201"/>
      <c r="IRO241" s="201"/>
      <c r="IRP241" s="201"/>
      <c r="IRQ241" s="201"/>
      <c r="IRR241" s="201"/>
      <c r="IRS241" s="201"/>
      <c r="IRT241" s="201"/>
      <c r="IRU241" s="201"/>
      <c r="IRV241" s="201"/>
      <c r="IRW241" s="201"/>
      <c r="IRX241" s="201"/>
      <c r="IRY241" s="201"/>
      <c r="IRZ241" s="201"/>
      <c r="ISA241" s="201"/>
      <c r="ISB241" s="201"/>
      <c r="ISC241" s="201"/>
      <c r="ISD241" s="201"/>
      <c r="ISE241" s="201"/>
      <c r="ISF241" s="201"/>
      <c r="ISG241" s="201"/>
      <c r="ISH241" s="201"/>
      <c r="ISI241" s="201"/>
      <c r="ISJ241" s="201"/>
      <c r="ISK241" s="201"/>
      <c r="ISL241" s="201"/>
      <c r="ISM241" s="201"/>
      <c r="ISN241" s="201"/>
      <c r="ISO241" s="201"/>
      <c r="ISP241" s="201"/>
      <c r="ISQ241" s="201"/>
      <c r="ISR241" s="201"/>
      <c r="ISS241" s="201"/>
      <c r="IST241" s="201"/>
      <c r="ISU241" s="201"/>
      <c r="ISV241" s="201"/>
      <c r="ISW241" s="201"/>
      <c r="ISX241" s="201"/>
      <c r="ISY241" s="201"/>
      <c r="ISZ241" s="201"/>
      <c r="ITA241" s="201"/>
      <c r="ITB241" s="201"/>
      <c r="ITC241" s="201"/>
      <c r="ITD241" s="201"/>
      <c r="ITE241" s="201"/>
      <c r="ITF241" s="201"/>
      <c r="ITG241" s="201"/>
      <c r="ITH241" s="201"/>
      <c r="ITI241" s="201"/>
      <c r="ITJ241" s="201"/>
      <c r="ITK241" s="201"/>
      <c r="ITL241" s="201"/>
      <c r="ITM241" s="201"/>
      <c r="ITN241" s="201"/>
      <c r="ITO241" s="201"/>
      <c r="ITP241" s="201"/>
      <c r="ITQ241" s="201"/>
      <c r="ITR241" s="201"/>
      <c r="ITS241" s="201"/>
      <c r="ITT241" s="201"/>
      <c r="ITU241" s="201"/>
      <c r="ITV241" s="201"/>
      <c r="ITW241" s="201"/>
      <c r="ITX241" s="201"/>
      <c r="ITY241" s="201"/>
      <c r="ITZ241" s="201"/>
      <c r="IUA241" s="201"/>
      <c r="IUB241" s="201"/>
      <c r="IUC241" s="201"/>
      <c r="IUD241" s="201"/>
      <c r="IUE241" s="201"/>
      <c r="IUF241" s="201"/>
      <c r="IUG241" s="201"/>
      <c r="IUH241" s="201"/>
      <c r="IUI241" s="201"/>
      <c r="IUJ241" s="201"/>
      <c r="IUK241" s="201"/>
      <c r="IUL241" s="201"/>
      <c r="IUM241" s="201"/>
      <c r="IUN241" s="201"/>
      <c r="IUO241" s="201"/>
      <c r="IUP241" s="201"/>
      <c r="IUQ241" s="201"/>
      <c r="IUR241" s="201"/>
      <c r="IUS241" s="201"/>
      <c r="IUT241" s="201"/>
      <c r="IUU241" s="201"/>
      <c r="IUV241" s="201"/>
      <c r="IUW241" s="201"/>
      <c r="IUX241" s="201"/>
      <c r="IUY241" s="201"/>
      <c r="IUZ241" s="201"/>
      <c r="IVA241" s="201"/>
      <c r="IVB241" s="201"/>
      <c r="IVC241" s="201"/>
      <c r="IVD241" s="201"/>
      <c r="IVE241" s="201"/>
      <c r="IVF241" s="201"/>
      <c r="IVG241" s="201"/>
      <c r="IVH241" s="201"/>
      <c r="IVI241" s="201"/>
      <c r="IVJ241" s="201"/>
      <c r="IVK241" s="201"/>
      <c r="IVL241" s="201"/>
      <c r="IVM241" s="201"/>
      <c r="IVN241" s="201"/>
      <c r="IVO241" s="201"/>
      <c r="IVP241" s="201"/>
      <c r="IVQ241" s="201"/>
      <c r="IVR241" s="201"/>
      <c r="IVS241" s="201"/>
      <c r="IVT241" s="201"/>
      <c r="IVU241" s="201"/>
      <c r="IVV241" s="201"/>
      <c r="IVW241" s="201"/>
      <c r="IVX241" s="201"/>
      <c r="IVY241" s="201"/>
      <c r="IVZ241" s="201"/>
      <c r="IWA241" s="201"/>
      <c r="IWB241" s="201"/>
      <c r="IWC241" s="201"/>
      <c r="IWD241" s="201"/>
      <c r="IWE241" s="201"/>
      <c r="IWF241" s="201"/>
      <c r="IWG241" s="201"/>
      <c r="IWH241" s="201"/>
      <c r="IWI241" s="201"/>
      <c r="IWJ241" s="201"/>
      <c r="IWK241" s="201"/>
      <c r="IWL241" s="201"/>
      <c r="IWM241" s="201"/>
      <c r="IWN241" s="201"/>
      <c r="IWO241" s="201"/>
      <c r="IWP241" s="201"/>
      <c r="IWQ241" s="201"/>
      <c r="IWR241" s="201"/>
      <c r="IWS241" s="201"/>
      <c r="IWT241" s="201"/>
      <c r="IWU241" s="201"/>
      <c r="IWV241" s="201"/>
      <c r="IWW241" s="201"/>
      <c r="IWX241" s="201"/>
      <c r="IWY241" s="201"/>
      <c r="IWZ241" s="201"/>
      <c r="IXA241" s="201"/>
      <c r="IXB241" s="201"/>
      <c r="IXC241" s="201"/>
      <c r="IXD241" s="201"/>
      <c r="IXE241" s="201"/>
      <c r="IXF241" s="201"/>
      <c r="IXG241" s="201"/>
      <c r="IXH241" s="201"/>
      <c r="IXI241" s="201"/>
      <c r="IXJ241" s="201"/>
      <c r="IXK241" s="201"/>
      <c r="IXL241" s="201"/>
      <c r="IXM241" s="201"/>
      <c r="IXN241" s="201"/>
      <c r="IXO241" s="201"/>
      <c r="IXP241" s="201"/>
      <c r="IXQ241" s="201"/>
      <c r="IXR241" s="201"/>
      <c r="IXS241" s="201"/>
      <c r="IXT241" s="201"/>
      <c r="IXU241" s="201"/>
      <c r="IXV241" s="201"/>
      <c r="IXW241" s="201"/>
      <c r="IXX241" s="201"/>
      <c r="IXY241" s="201"/>
      <c r="IXZ241" s="201"/>
      <c r="IYA241" s="201"/>
      <c r="IYB241" s="201"/>
      <c r="IYC241" s="201"/>
      <c r="IYD241" s="201"/>
      <c r="IYE241" s="201"/>
      <c r="IYF241" s="201"/>
      <c r="IYG241" s="201"/>
      <c r="IYH241" s="201"/>
      <c r="IYI241" s="201"/>
      <c r="IYJ241" s="201"/>
      <c r="IYK241" s="201"/>
      <c r="IYL241" s="201"/>
      <c r="IYM241" s="201"/>
      <c r="IYN241" s="201"/>
      <c r="IYO241" s="201"/>
      <c r="IYP241" s="201"/>
      <c r="IYQ241" s="201"/>
      <c r="IYR241" s="201"/>
      <c r="IYS241" s="201"/>
      <c r="IYT241" s="201"/>
      <c r="IYU241" s="201"/>
      <c r="IYV241" s="201"/>
      <c r="IYW241" s="201"/>
      <c r="IYX241" s="201"/>
      <c r="IYY241" s="201"/>
      <c r="IYZ241" s="201"/>
      <c r="IZA241" s="201"/>
      <c r="IZB241" s="201"/>
      <c r="IZC241" s="201"/>
      <c r="IZD241" s="201"/>
      <c r="IZE241" s="201"/>
      <c r="IZF241" s="201"/>
      <c r="IZG241" s="201"/>
      <c r="IZH241" s="201"/>
      <c r="IZI241" s="201"/>
      <c r="IZJ241" s="201"/>
      <c r="IZK241" s="201"/>
      <c r="IZL241" s="201"/>
      <c r="IZM241" s="201"/>
      <c r="IZN241" s="201"/>
      <c r="IZO241" s="201"/>
      <c r="IZP241" s="201"/>
      <c r="IZQ241" s="201"/>
      <c r="IZR241" s="201"/>
      <c r="IZS241" s="201"/>
      <c r="IZT241" s="201"/>
      <c r="IZU241" s="201"/>
      <c r="IZV241" s="201"/>
      <c r="IZW241" s="201"/>
      <c r="IZX241" s="201"/>
      <c r="IZY241" s="201"/>
      <c r="IZZ241" s="201"/>
      <c r="JAA241" s="201"/>
      <c r="JAB241" s="201"/>
      <c r="JAC241" s="201"/>
      <c r="JAD241" s="201"/>
      <c r="JAE241" s="201"/>
      <c r="JAF241" s="201"/>
      <c r="JAG241" s="201"/>
      <c r="JAH241" s="201"/>
      <c r="JAI241" s="201"/>
      <c r="JAJ241" s="201"/>
      <c r="JAK241" s="201"/>
      <c r="JAL241" s="201"/>
      <c r="JAM241" s="201"/>
      <c r="JAN241" s="201"/>
      <c r="JAO241" s="201"/>
      <c r="JAP241" s="201"/>
      <c r="JAQ241" s="201"/>
      <c r="JAR241" s="201"/>
      <c r="JAS241" s="201"/>
      <c r="JAT241" s="201"/>
      <c r="JAU241" s="201"/>
      <c r="JAV241" s="201"/>
      <c r="JAW241" s="201"/>
      <c r="JAX241" s="201"/>
      <c r="JAY241" s="201"/>
      <c r="JAZ241" s="201"/>
      <c r="JBA241" s="201"/>
      <c r="JBB241" s="201"/>
      <c r="JBC241" s="201"/>
      <c r="JBD241" s="201"/>
      <c r="JBE241" s="201"/>
      <c r="JBF241" s="201"/>
      <c r="JBG241" s="201"/>
      <c r="JBH241" s="201"/>
      <c r="JBI241" s="201"/>
      <c r="JBJ241" s="201"/>
      <c r="JBK241" s="201"/>
      <c r="JBL241" s="201"/>
      <c r="JBM241" s="201"/>
      <c r="JBN241" s="201"/>
      <c r="JBO241" s="201"/>
      <c r="JBP241" s="201"/>
      <c r="JBQ241" s="201"/>
      <c r="JBR241" s="201"/>
      <c r="JBS241" s="201"/>
      <c r="JBT241" s="201"/>
      <c r="JBU241" s="201"/>
      <c r="JBV241" s="201"/>
      <c r="JBW241" s="201"/>
      <c r="JBX241" s="201"/>
      <c r="JBY241" s="201"/>
      <c r="JBZ241" s="201"/>
      <c r="JCA241" s="201"/>
      <c r="JCB241" s="201"/>
      <c r="JCC241" s="201"/>
      <c r="JCD241" s="201"/>
      <c r="JCE241" s="201"/>
      <c r="JCF241" s="201"/>
      <c r="JCG241" s="201"/>
      <c r="JCH241" s="201"/>
      <c r="JCI241" s="201"/>
      <c r="JCJ241" s="201"/>
      <c r="JCK241" s="201"/>
      <c r="JCL241" s="201"/>
      <c r="JCM241" s="201"/>
      <c r="JCN241" s="201"/>
      <c r="JCO241" s="201"/>
      <c r="JCP241" s="201"/>
      <c r="JCQ241" s="201"/>
      <c r="JCR241" s="201"/>
      <c r="JCS241" s="201"/>
      <c r="JCT241" s="201"/>
      <c r="JCU241" s="201"/>
      <c r="JCV241" s="201"/>
      <c r="JCW241" s="201"/>
      <c r="JCX241" s="201"/>
      <c r="JCY241" s="201"/>
      <c r="JCZ241" s="201"/>
      <c r="JDA241" s="201"/>
      <c r="JDB241" s="201"/>
      <c r="JDC241" s="201"/>
      <c r="JDD241" s="201"/>
      <c r="JDE241" s="201"/>
      <c r="JDF241" s="201"/>
      <c r="JDG241" s="201"/>
      <c r="JDH241" s="201"/>
      <c r="JDI241" s="201"/>
      <c r="JDJ241" s="201"/>
      <c r="JDK241" s="201"/>
      <c r="JDL241" s="201"/>
      <c r="JDM241" s="201"/>
      <c r="JDN241" s="201"/>
      <c r="JDO241" s="201"/>
      <c r="JDP241" s="201"/>
      <c r="JDQ241" s="201"/>
      <c r="JDR241" s="201"/>
      <c r="JDS241" s="201"/>
      <c r="JDT241" s="201"/>
      <c r="JDU241" s="201"/>
      <c r="JDV241" s="201"/>
      <c r="JDW241" s="201"/>
      <c r="JDX241" s="201"/>
      <c r="JDY241" s="201"/>
      <c r="JDZ241" s="201"/>
      <c r="JEA241" s="201"/>
      <c r="JEB241" s="201"/>
      <c r="JEC241" s="201"/>
      <c r="JED241" s="201"/>
      <c r="JEE241" s="201"/>
      <c r="JEF241" s="201"/>
      <c r="JEG241" s="201"/>
      <c r="JEH241" s="201"/>
      <c r="JEI241" s="201"/>
      <c r="JEJ241" s="201"/>
      <c r="JEK241" s="201"/>
      <c r="JEL241" s="201"/>
      <c r="JEM241" s="201"/>
      <c r="JEN241" s="201"/>
      <c r="JEO241" s="201"/>
      <c r="JEP241" s="201"/>
      <c r="JEQ241" s="201"/>
      <c r="JER241" s="201"/>
      <c r="JES241" s="201"/>
      <c r="JET241" s="201"/>
      <c r="JEU241" s="201"/>
      <c r="JEV241" s="201"/>
      <c r="JEW241" s="201"/>
      <c r="JEX241" s="201"/>
      <c r="JEY241" s="201"/>
      <c r="JEZ241" s="201"/>
      <c r="JFA241" s="201"/>
      <c r="JFB241" s="201"/>
      <c r="JFC241" s="201"/>
      <c r="JFD241" s="201"/>
      <c r="JFE241" s="201"/>
      <c r="JFF241" s="201"/>
      <c r="JFG241" s="201"/>
      <c r="JFH241" s="201"/>
      <c r="JFI241" s="201"/>
      <c r="JFJ241" s="201"/>
      <c r="JFK241" s="201"/>
      <c r="JFL241" s="201"/>
      <c r="JFM241" s="201"/>
      <c r="JFN241" s="201"/>
      <c r="JFO241" s="201"/>
      <c r="JFP241" s="201"/>
      <c r="JFQ241" s="201"/>
      <c r="JFR241" s="201"/>
      <c r="JFS241" s="201"/>
      <c r="JFT241" s="201"/>
      <c r="JFU241" s="201"/>
      <c r="JFV241" s="201"/>
      <c r="JFW241" s="201"/>
      <c r="JFX241" s="201"/>
      <c r="JFY241" s="201"/>
      <c r="JFZ241" s="201"/>
      <c r="JGA241" s="201"/>
      <c r="JGB241" s="201"/>
      <c r="JGC241" s="201"/>
      <c r="JGD241" s="201"/>
      <c r="JGE241" s="201"/>
      <c r="JGF241" s="201"/>
      <c r="JGG241" s="201"/>
      <c r="JGH241" s="201"/>
      <c r="JGI241" s="201"/>
      <c r="JGJ241" s="201"/>
      <c r="JGK241" s="201"/>
      <c r="JGL241" s="201"/>
      <c r="JGM241" s="201"/>
      <c r="JGN241" s="201"/>
      <c r="JGO241" s="201"/>
      <c r="JGP241" s="201"/>
      <c r="JGQ241" s="201"/>
      <c r="JGR241" s="201"/>
      <c r="JGS241" s="201"/>
      <c r="JGT241" s="201"/>
      <c r="JGU241" s="201"/>
      <c r="JGV241" s="201"/>
      <c r="JGW241" s="201"/>
      <c r="JGX241" s="201"/>
      <c r="JGY241" s="201"/>
      <c r="JGZ241" s="201"/>
      <c r="JHA241" s="201"/>
      <c r="JHB241" s="201"/>
      <c r="JHC241" s="201"/>
      <c r="JHD241" s="201"/>
      <c r="JHE241" s="201"/>
      <c r="JHF241" s="201"/>
      <c r="JHG241" s="201"/>
      <c r="JHH241" s="201"/>
      <c r="JHI241" s="201"/>
      <c r="JHJ241" s="201"/>
      <c r="JHK241" s="201"/>
      <c r="JHL241" s="201"/>
      <c r="JHM241" s="201"/>
      <c r="JHN241" s="201"/>
      <c r="JHO241" s="201"/>
      <c r="JHP241" s="201"/>
      <c r="JHQ241" s="201"/>
      <c r="JHR241" s="201"/>
      <c r="JHS241" s="201"/>
      <c r="JHT241" s="201"/>
      <c r="JHU241" s="201"/>
      <c r="JHV241" s="201"/>
      <c r="JHW241" s="201"/>
      <c r="JHX241" s="201"/>
      <c r="JHY241" s="201"/>
      <c r="JHZ241" s="201"/>
      <c r="JIA241" s="201"/>
      <c r="JIB241" s="201"/>
      <c r="JIC241" s="201"/>
      <c r="JID241" s="201"/>
      <c r="JIE241" s="201"/>
      <c r="JIF241" s="201"/>
      <c r="JIG241" s="201"/>
      <c r="JIH241" s="201"/>
      <c r="JII241" s="201"/>
      <c r="JIJ241" s="201"/>
      <c r="JIK241" s="201"/>
      <c r="JIL241" s="201"/>
      <c r="JIM241" s="201"/>
      <c r="JIN241" s="201"/>
      <c r="JIO241" s="201"/>
      <c r="JIP241" s="201"/>
      <c r="JIQ241" s="201"/>
      <c r="JIR241" s="201"/>
      <c r="JIS241" s="201"/>
      <c r="JIT241" s="201"/>
      <c r="JIU241" s="201"/>
      <c r="JIV241" s="201"/>
      <c r="JIW241" s="201"/>
      <c r="JIX241" s="201"/>
      <c r="JIY241" s="201"/>
      <c r="JIZ241" s="201"/>
      <c r="JJA241" s="201"/>
      <c r="JJB241" s="201"/>
      <c r="JJC241" s="201"/>
      <c r="JJD241" s="201"/>
      <c r="JJE241" s="201"/>
      <c r="JJF241" s="201"/>
      <c r="JJG241" s="201"/>
      <c r="JJH241" s="201"/>
      <c r="JJI241" s="201"/>
      <c r="JJJ241" s="201"/>
      <c r="JJK241" s="201"/>
      <c r="JJL241" s="201"/>
      <c r="JJM241" s="201"/>
      <c r="JJN241" s="201"/>
      <c r="JJO241" s="201"/>
      <c r="JJP241" s="201"/>
      <c r="JJQ241" s="201"/>
      <c r="JJR241" s="201"/>
      <c r="JJS241" s="201"/>
      <c r="JJT241" s="201"/>
      <c r="JJU241" s="201"/>
      <c r="JJV241" s="201"/>
      <c r="JJW241" s="201"/>
      <c r="JJX241" s="201"/>
      <c r="JJY241" s="201"/>
      <c r="JJZ241" s="201"/>
      <c r="JKA241" s="201"/>
      <c r="JKB241" s="201"/>
      <c r="JKC241" s="201"/>
      <c r="JKD241" s="201"/>
      <c r="JKE241" s="201"/>
      <c r="JKF241" s="201"/>
      <c r="JKG241" s="201"/>
      <c r="JKH241" s="201"/>
      <c r="JKI241" s="201"/>
      <c r="JKJ241" s="201"/>
      <c r="JKK241" s="201"/>
      <c r="JKL241" s="201"/>
      <c r="JKM241" s="201"/>
      <c r="JKN241" s="201"/>
      <c r="JKO241" s="201"/>
      <c r="JKP241" s="201"/>
      <c r="JKQ241" s="201"/>
      <c r="JKR241" s="201"/>
      <c r="JKS241" s="201"/>
      <c r="JKT241" s="201"/>
      <c r="JKU241" s="201"/>
      <c r="JKV241" s="201"/>
      <c r="JKW241" s="201"/>
      <c r="JKX241" s="201"/>
      <c r="JKY241" s="201"/>
      <c r="JKZ241" s="201"/>
      <c r="JLA241" s="201"/>
      <c r="JLB241" s="201"/>
      <c r="JLC241" s="201"/>
      <c r="JLD241" s="201"/>
      <c r="JLE241" s="201"/>
      <c r="JLF241" s="201"/>
      <c r="JLG241" s="201"/>
      <c r="JLH241" s="201"/>
      <c r="JLI241" s="201"/>
      <c r="JLJ241" s="201"/>
      <c r="JLK241" s="201"/>
      <c r="JLL241" s="201"/>
      <c r="JLM241" s="201"/>
      <c r="JLN241" s="201"/>
      <c r="JLO241" s="201"/>
      <c r="JLP241" s="201"/>
      <c r="JLQ241" s="201"/>
      <c r="JLR241" s="201"/>
      <c r="JLS241" s="201"/>
      <c r="JLT241" s="201"/>
      <c r="JLU241" s="201"/>
      <c r="JLV241" s="201"/>
      <c r="JLW241" s="201"/>
      <c r="JLX241" s="201"/>
      <c r="JLY241" s="201"/>
      <c r="JLZ241" s="201"/>
      <c r="JMA241" s="201"/>
      <c r="JMB241" s="201"/>
      <c r="JMC241" s="201"/>
      <c r="JMD241" s="201"/>
      <c r="JME241" s="201"/>
      <c r="JMF241" s="201"/>
      <c r="JMG241" s="201"/>
      <c r="JMH241" s="201"/>
      <c r="JMI241" s="201"/>
      <c r="JMJ241" s="201"/>
      <c r="JMK241" s="201"/>
      <c r="JML241" s="201"/>
      <c r="JMM241" s="201"/>
      <c r="JMN241" s="201"/>
      <c r="JMO241" s="201"/>
      <c r="JMP241" s="201"/>
      <c r="JMQ241" s="201"/>
      <c r="JMR241" s="201"/>
      <c r="JMS241" s="201"/>
      <c r="JMT241" s="201"/>
      <c r="JMU241" s="201"/>
      <c r="JMV241" s="201"/>
      <c r="JMW241" s="201"/>
      <c r="JMX241" s="201"/>
      <c r="JMY241" s="201"/>
      <c r="JMZ241" s="201"/>
      <c r="JNA241" s="201"/>
      <c r="JNB241" s="201"/>
      <c r="JNC241" s="201"/>
      <c r="JND241" s="201"/>
      <c r="JNE241" s="201"/>
      <c r="JNF241" s="201"/>
      <c r="JNG241" s="201"/>
      <c r="JNH241" s="201"/>
      <c r="JNI241" s="201"/>
      <c r="JNJ241" s="201"/>
      <c r="JNK241" s="201"/>
      <c r="JNL241" s="201"/>
      <c r="JNM241" s="201"/>
      <c r="JNN241" s="201"/>
      <c r="JNO241" s="201"/>
      <c r="JNP241" s="201"/>
      <c r="JNQ241" s="201"/>
      <c r="JNR241" s="201"/>
      <c r="JNS241" s="201"/>
      <c r="JNT241" s="201"/>
      <c r="JNU241" s="201"/>
      <c r="JNV241" s="201"/>
      <c r="JNW241" s="201"/>
      <c r="JNX241" s="201"/>
      <c r="JNY241" s="201"/>
      <c r="JNZ241" s="201"/>
      <c r="JOA241" s="201"/>
      <c r="JOB241" s="201"/>
      <c r="JOC241" s="201"/>
      <c r="JOD241" s="201"/>
      <c r="JOE241" s="201"/>
      <c r="JOF241" s="201"/>
      <c r="JOG241" s="201"/>
      <c r="JOH241" s="201"/>
      <c r="JOI241" s="201"/>
      <c r="JOJ241" s="201"/>
      <c r="JOK241" s="201"/>
      <c r="JOL241" s="201"/>
      <c r="JOM241" s="201"/>
      <c r="JON241" s="201"/>
      <c r="JOO241" s="201"/>
      <c r="JOP241" s="201"/>
      <c r="JOQ241" s="201"/>
      <c r="JOR241" s="201"/>
      <c r="JOS241" s="201"/>
      <c r="JOT241" s="201"/>
      <c r="JOU241" s="201"/>
      <c r="JOV241" s="201"/>
      <c r="JOW241" s="201"/>
      <c r="JOX241" s="201"/>
      <c r="JOY241" s="201"/>
      <c r="JOZ241" s="201"/>
      <c r="JPA241" s="201"/>
      <c r="JPB241" s="201"/>
      <c r="JPC241" s="201"/>
      <c r="JPD241" s="201"/>
      <c r="JPE241" s="201"/>
      <c r="JPF241" s="201"/>
      <c r="JPG241" s="201"/>
      <c r="JPH241" s="201"/>
      <c r="JPI241" s="201"/>
      <c r="JPJ241" s="201"/>
      <c r="JPK241" s="201"/>
      <c r="JPL241" s="201"/>
      <c r="JPM241" s="201"/>
      <c r="JPN241" s="201"/>
      <c r="JPO241" s="201"/>
      <c r="JPP241" s="201"/>
      <c r="JPQ241" s="201"/>
      <c r="JPR241" s="201"/>
      <c r="JPS241" s="201"/>
      <c r="JPT241" s="201"/>
      <c r="JPU241" s="201"/>
      <c r="JPV241" s="201"/>
      <c r="JPW241" s="201"/>
      <c r="JPX241" s="201"/>
      <c r="JPY241" s="201"/>
      <c r="JPZ241" s="201"/>
      <c r="JQA241" s="201"/>
      <c r="JQB241" s="201"/>
      <c r="JQC241" s="201"/>
      <c r="JQD241" s="201"/>
      <c r="JQE241" s="201"/>
      <c r="JQF241" s="201"/>
      <c r="JQG241" s="201"/>
      <c r="JQH241" s="201"/>
      <c r="JQI241" s="201"/>
      <c r="JQJ241" s="201"/>
      <c r="JQK241" s="201"/>
      <c r="JQL241" s="201"/>
      <c r="JQM241" s="201"/>
      <c r="JQN241" s="201"/>
      <c r="JQO241" s="201"/>
      <c r="JQP241" s="201"/>
      <c r="JQQ241" s="201"/>
      <c r="JQR241" s="201"/>
      <c r="JQS241" s="201"/>
      <c r="JQT241" s="201"/>
      <c r="JQU241" s="201"/>
      <c r="JQV241" s="201"/>
      <c r="JQW241" s="201"/>
      <c r="JQX241" s="201"/>
      <c r="JQY241" s="201"/>
      <c r="JQZ241" s="201"/>
      <c r="JRA241" s="201"/>
      <c r="JRB241" s="201"/>
      <c r="JRC241" s="201"/>
      <c r="JRD241" s="201"/>
      <c r="JRE241" s="201"/>
      <c r="JRF241" s="201"/>
      <c r="JRG241" s="201"/>
      <c r="JRH241" s="201"/>
      <c r="JRI241" s="201"/>
      <c r="JRJ241" s="201"/>
      <c r="JRK241" s="201"/>
      <c r="JRL241" s="201"/>
      <c r="JRM241" s="201"/>
      <c r="JRN241" s="201"/>
      <c r="JRO241" s="201"/>
      <c r="JRP241" s="201"/>
      <c r="JRQ241" s="201"/>
      <c r="JRR241" s="201"/>
      <c r="JRS241" s="201"/>
      <c r="JRT241" s="201"/>
      <c r="JRU241" s="201"/>
      <c r="JRV241" s="201"/>
      <c r="JRW241" s="201"/>
      <c r="JRX241" s="201"/>
      <c r="JRY241" s="201"/>
      <c r="JRZ241" s="201"/>
      <c r="JSA241" s="201"/>
      <c r="JSB241" s="201"/>
      <c r="JSC241" s="201"/>
      <c r="JSD241" s="201"/>
      <c r="JSE241" s="201"/>
      <c r="JSF241" s="201"/>
      <c r="JSG241" s="201"/>
      <c r="JSH241" s="201"/>
      <c r="JSI241" s="201"/>
      <c r="JSJ241" s="201"/>
      <c r="JSK241" s="201"/>
      <c r="JSL241" s="201"/>
      <c r="JSM241" s="201"/>
      <c r="JSN241" s="201"/>
      <c r="JSO241" s="201"/>
      <c r="JSP241" s="201"/>
      <c r="JSQ241" s="201"/>
      <c r="JSR241" s="201"/>
      <c r="JSS241" s="201"/>
      <c r="JST241" s="201"/>
      <c r="JSU241" s="201"/>
      <c r="JSV241" s="201"/>
      <c r="JSW241" s="201"/>
      <c r="JSX241" s="201"/>
      <c r="JSY241" s="201"/>
      <c r="JSZ241" s="201"/>
      <c r="JTA241" s="201"/>
      <c r="JTB241" s="201"/>
      <c r="JTC241" s="201"/>
      <c r="JTD241" s="201"/>
      <c r="JTE241" s="201"/>
      <c r="JTF241" s="201"/>
      <c r="JTG241" s="201"/>
      <c r="JTH241" s="201"/>
      <c r="JTI241" s="201"/>
      <c r="JTJ241" s="201"/>
      <c r="JTK241" s="201"/>
      <c r="JTL241" s="201"/>
      <c r="JTM241" s="201"/>
      <c r="JTN241" s="201"/>
      <c r="JTO241" s="201"/>
      <c r="JTP241" s="201"/>
      <c r="JTQ241" s="201"/>
      <c r="JTR241" s="201"/>
      <c r="JTS241" s="201"/>
      <c r="JTT241" s="201"/>
      <c r="JTU241" s="201"/>
      <c r="JTV241" s="201"/>
      <c r="JTW241" s="201"/>
      <c r="JTX241" s="201"/>
      <c r="JTY241" s="201"/>
      <c r="JTZ241" s="201"/>
      <c r="JUA241" s="201"/>
      <c r="JUB241" s="201"/>
      <c r="JUC241" s="201"/>
      <c r="JUD241" s="201"/>
      <c r="JUE241" s="201"/>
      <c r="JUF241" s="201"/>
      <c r="JUG241" s="201"/>
      <c r="JUH241" s="201"/>
      <c r="JUI241" s="201"/>
      <c r="JUJ241" s="201"/>
      <c r="JUK241" s="201"/>
      <c r="JUL241" s="201"/>
      <c r="JUM241" s="201"/>
      <c r="JUN241" s="201"/>
      <c r="JUO241" s="201"/>
      <c r="JUP241" s="201"/>
      <c r="JUQ241" s="201"/>
      <c r="JUR241" s="201"/>
      <c r="JUS241" s="201"/>
      <c r="JUT241" s="201"/>
      <c r="JUU241" s="201"/>
      <c r="JUV241" s="201"/>
      <c r="JUW241" s="201"/>
      <c r="JUX241" s="201"/>
      <c r="JUY241" s="201"/>
      <c r="JUZ241" s="201"/>
      <c r="JVA241" s="201"/>
      <c r="JVB241" s="201"/>
      <c r="JVC241" s="201"/>
      <c r="JVD241" s="201"/>
      <c r="JVE241" s="201"/>
      <c r="JVF241" s="201"/>
      <c r="JVG241" s="201"/>
      <c r="JVH241" s="201"/>
      <c r="JVI241" s="201"/>
      <c r="JVJ241" s="201"/>
      <c r="JVK241" s="201"/>
      <c r="JVL241" s="201"/>
      <c r="JVM241" s="201"/>
      <c r="JVN241" s="201"/>
      <c r="JVO241" s="201"/>
      <c r="JVP241" s="201"/>
      <c r="JVQ241" s="201"/>
      <c r="JVR241" s="201"/>
      <c r="JVS241" s="201"/>
      <c r="JVT241" s="201"/>
      <c r="JVU241" s="201"/>
      <c r="JVV241" s="201"/>
      <c r="JVW241" s="201"/>
      <c r="JVX241" s="201"/>
      <c r="JVY241" s="201"/>
      <c r="JVZ241" s="201"/>
      <c r="JWA241" s="201"/>
      <c r="JWB241" s="201"/>
      <c r="JWC241" s="201"/>
      <c r="JWD241" s="201"/>
      <c r="JWE241" s="201"/>
      <c r="JWF241" s="201"/>
      <c r="JWG241" s="201"/>
      <c r="JWH241" s="201"/>
      <c r="JWI241" s="201"/>
      <c r="JWJ241" s="201"/>
      <c r="JWK241" s="201"/>
      <c r="JWL241" s="201"/>
      <c r="JWM241" s="201"/>
      <c r="JWN241" s="201"/>
      <c r="JWO241" s="201"/>
      <c r="JWP241" s="201"/>
      <c r="JWQ241" s="201"/>
      <c r="JWR241" s="201"/>
      <c r="JWS241" s="201"/>
      <c r="JWT241" s="201"/>
      <c r="JWU241" s="201"/>
      <c r="JWV241" s="201"/>
      <c r="JWW241" s="201"/>
      <c r="JWX241" s="201"/>
      <c r="JWY241" s="201"/>
      <c r="JWZ241" s="201"/>
      <c r="JXA241" s="201"/>
      <c r="JXB241" s="201"/>
      <c r="JXC241" s="201"/>
      <c r="JXD241" s="201"/>
      <c r="JXE241" s="201"/>
      <c r="JXF241" s="201"/>
      <c r="JXG241" s="201"/>
      <c r="JXH241" s="201"/>
      <c r="JXI241" s="201"/>
      <c r="JXJ241" s="201"/>
      <c r="JXK241" s="201"/>
      <c r="JXL241" s="201"/>
      <c r="JXM241" s="201"/>
      <c r="JXN241" s="201"/>
      <c r="JXO241" s="201"/>
      <c r="JXP241" s="201"/>
      <c r="JXQ241" s="201"/>
      <c r="JXR241" s="201"/>
      <c r="JXS241" s="201"/>
      <c r="JXT241" s="201"/>
      <c r="JXU241" s="201"/>
      <c r="JXV241" s="201"/>
      <c r="JXW241" s="201"/>
      <c r="JXX241" s="201"/>
      <c r="JXY241" s="201"/>
      <c r="JXZ241" s="201"/>
      <c r="JYA241" s="201"/>
      <c r="JYB241" s="201"/>
      <c r="JYC241" s="201"/>
      <c r="JYD241" s="201"/>
      <c r="JYE241" s="201"/>
      <c r="JYF241" s="201"/>
      <c r="JYG241" s="201"/>
      <c r="JYH241" s="201"/>
      <c r="JYI241" s="201"/>
      <c r="JYJ241" s="201"/>
      <c r="JYK241" s="201"/>
      <c r="JYL241" s="201"/>
      <c r="JYM241" s="201"/>
      <c r="JYN241" s="201"/>
      <c r="JYO241" s="201"/>
      <c r="JYP241" s="201"/>
      <c r="JYQ241" s="201"/>
      <c r="JYR241" s="201"/>
      <c r="JYS241" s="201"/>
      <c r="JYT241" s="201"/>
      <c r="JYU241" s="201"/>
      <c r="JYV241" s="201"/>
      <c r="JYW241" s="201"/>
      <c r="JYX241" s="201"/>
      <c r="JYY241" s="201"/>
      <c r="JYZ241" s="201"/>
      <c r="JZA241" s="201"/>
      <c r="JZB241" s="201"/>
      <c r="JZC241" s="201"/>
      <c r="JZD241" s="201"/>
      <c r="JZE241" s="201"/>
      <c r="JZF241" s="201"/>
      <c r="JZG241" s="201"/>
      <c r="JZH241" s="201"/>
      <c r="JZI241" s="201"/>
      <c r="JZJ241" s="201"/>
      <c r="JZK241" s="201"/>
      <c r="JZL241" s="201"/>
      <c r="JZM241" s="201"/>
      <c r="JZN241" s="201"/>
      <c r="JZO241" s="201"/>
      <c r="JZP241" s="201"/>
      <c r="JZQ241" s="201"/>
      <c r="JZR241" s="201"/>
      <c r="JZS241" s="201"/>
      <c r="JZT241" s="201"/>
      <c r="JZU241" s="201"/>
      <c r="JZV241" s="201"/>
      <c r="JZW241" s="201"/>
      <c r="JZX241" s="201"/>
      <c r="JZY241" s="201"/>
      <c r="JZZ241" s="201"/>
      <c r="KAA241" s="201"/>
      <c r="KAB241" s="201"/>
      <c r="KAC241" s="201"/>
      <c r="KAD241" s="201"/>
      <c r="KAE241" s="201"/>
      <c r="KAF241" s="201"/>
      <c r="KAG241" s="201"/>
      <c r="KAH241" s="201"/>
      <c r="KAI241" s="201"/>
      <c r="KAJ241" s="201"/>
      <c r="KAK241" s="201"/>
      <c r="KAL241" s="201"/>
      <c r="KAM241" s="201"/>
      <c r="KAN241" s="201"/>
      <c r="KAO241" s="201"/>
      <c r="KAP241" s="201"/>
      <c r="KAQ241" s="201"/>
      <c r="KAR241" s="201"/>
      <c r="KAS241" s="201"/>
      <c r="KAT241" s="201"/>
      <c r="KAU241" s="201"/>
      <c r="KAV241" s="201"/>
      <c r="KAW241" s="201"/>
      <c r="KAX241" s="201"/>
      <c r="KAY241" s="201"/>
      <c r="KAZ241" s="201"/>
      <c r="KBA241" s="201"/>
      <c r="KBB241" s="201"/>
      <c r="KBC241" s="201"/>
      <c r="KBD241" s="201"/>
      <c r="KBE241" s="201"/>
      <c r="KBF241" s="201"/>
      <c r="KBG241" s="201"/>
      <c r="KBH241" s="201"/>
      <c r="KBI241" s="201"/>
      <c r="KBJ241" s="201"/>
      <c r="KBK241" s="201"/>
      <c r="KBL241" s="201"/>
      <c r="KBM241" s="201"/>
      <c r="KBN241" s="201"/>
      <c r="KBO241" s="201"/>
      <c r="KBP241" s="201"/>
      <c r="KBQ241" s="201"/>
      <c r="KBR241" s="201"/>
      <c r="KBS241" s="201"/>
      <c r="KBT241" s="201"/>
      <c r="KBU241" s="201"/>
      <c r="KBV241" s="201"/>
      <c r="KBW241" s="201"/>
      <c r="KBX241" s="201"/>
      <c r="KBY241" s="201"/>
      <c r="KBZ241" s="201"/>
      <c r="KCA241" s="201"/>
      <c r="KCB241" s="201"/>
      <c r="KCC241" s="201"/>
      <c r="KCD241" s="201"/>
      <c r="KCE241" s="201"/>
      <c r="KCF241" s="201"/>
      <c r="KCG241" s="201"/>
      <c r="KCH241" s="201"/>
      <c r="KCI241" s="201"/>
      <c r="KCJ241" s="201"/>
      <c r="KCK241" s="201"/>
      <c r="KCL241" s="201"/>
      <c r="KCM241" s="201"/>
      <c r="KCN241" s="201"/>
      <c r="KCO241" s="201"/>
      <c r="KCP241" s="201"/>
      <c r="KCQ241" s="201"/>
      <c r="KCR241" s="201"/>
      <c r="KCS241" s="201"/>
      <c r="KCT241" s="201"/>
      <c r="KCU241" s="201"/>
      <c r="KCV241" s="201"/>
      <c r="KCW241" s="201"/>
      <c r="KCX241" s="201"/>
      <c r="KCY241" s="201"/>
      <c r="KCZ241" s="201"/>
      <c r="KDA241" s="201"/>
      <c r="KDB241" s="201"/>
      <c r="KDC241" s="201"/>
      <c r="KDD241" s="201"/>
      <c r="KDE241" s="201"/>
      <c r="KDF241" s="201"/>
      <c r="KDG241" s="201"/>
      <c r="KDH241" s="201"/>
      <c r="KDI241" s="201"/>
      <c r="KDJ241" s="201"/>
      <c r="KDK241" s="201"/>
      <c r="KDL241" s="201"/>
      <c r="KDM241" s="201"/>
      <c r="KDN241" s="201"/>
      <c r="KDO241" s="201"/>
      <c r="KDP241" s="201"/>
      <c r="KDQ241" s="201"/>
      <c r="KDR241" s="201"/>
      <c r="KDS241" s="201"/>
      <c r="KDT241" s="201"/>
      <c r="KDU241" s="201"/>
      <c r="KDV241" s="201"/>
      <c r="KDW241" s="201"/>
      <c r="KDX241" s="201"/>
      <c r="KDY241" s="201"/>
      <c r="KDZ241" s="201"/>
      <c r="KEA241" s="201"/>
      <c r="KEB241" s="201"/>
      <c r="KEC241" s="201"/>
      <c r="KED241" s="201"/>
      <c r="KEE241" s="201"/>
      <c r="KEF241" s="201"/>
      <c r="KEG241" s="201"/>
      <c r="KEH241" s="201"/>
      <c r="KEI241" s="201"/>
      <c r="KEJ241" s="201"/>
      <c r="KEK241" s="201"/>
      <c r="KEL241" s="201"/>
      <c r="KEM241" s="201"/>
      <c r="KEN241" s="201"/>
      <c r="KEO241" s="201"/>
      <c r="KEP241" s="201"/>
      <c r="KEQ241" s="201"/>
      <c r="KER241" s="201"/>
      <c r="KES241" s="201"/>
      <c r="KET241" s="201"/>
      <c r="KEU241" s="201"/>
      <c r="KEV241" s="201"/>
      <c r="KEW241" s="201"/>
      <c r="KEX241" s="201"/>
      <c r="KEY241" s="201"/>
      <c r="KEZ241" s="201"/>
      <c r="KFA241" s="201"/>
      <c r="KFB241" s="201"/>
      <c r="KFC241" s="201"/>
      <c r="KFD241" s="201"/>
      <c r="KFE241" s="201"/>
      <c r="KFF241" s="201"/>
      <c r="KFG241" s="201"/>
      <c r="KFH241" s="201"/>
      <c r="KFI241" s="201"/>
      <c r="KFJ241" s="201"/>
      <c r="KFK241" s="201"/>
      <c r="KFL241" s="201"/>
      <c r="KFM241" s="201"/>
      <c r="KFN241" s="201"/>
      <c r="KFO241" s="201"/>
      <c r="KFP241" s="201"/>
      <c r="KFQ241" s="201"/>
      <c r="KFR241" s="201"/>
      <c r="KFS241" s="201"/>
      <c r="KFT241" s="201"/>
      <c r="KFU241" s="201"/>
      <c r="KFV241" s="201"/>
      <c r="KFW241" s="201"/>
      <c r="KFX241" s="201"/>
      <c r="KFY241" s="201"/>
      <c r="KFZ241" s="201"/>
      <c r="KGA241" s="201"/>
      <c r="KGB241" s="201"/>
      <c r="KGC241" s="201"/>
      <c r="KGD241" s="201"/>
      <c r="KGE241" s="201"/>
      <c r="KGF241" s="201"/>
      <c r="KGG241" s="201"/>
      <c r="KGH241" s="201"/>
      <c r="KGI241" s="201"/>
      <c r="KGJ241" s="201"/>
      <c r="KGK241" s="201"/>
      <c r="KGL241" s="201"/>
      <c r="KGM241" s="201"/>
      <c r="KGN241" s="201"/>
      <c r="KGO241" s="201"/>
      <c r="KGP241" s="201"/>
      <c r="KGQ241" s="201"/>
      <c r="KGR241" s="201"/>
      <c r="KGS241" s="201"/>
      <c r="KGT241" s="201"/>
      <c r="KGU241" s="201"/>
      <c r="KGV241" s="201"/>
      <c r="KGW241" s="201"/>
      <c r="KGX241" s="201"/>
      <c r="KGY241" s="201"/>
      <c r="KGZ241" s="201"/>
      <c r="KHA241" s="201"/>
      <c r="KHB241" s="201"/>
      <c r="KHC241" s="201"/>
      <c r="KHD241" s="201"/>
      <c r="KHE241" s="201"/>
      <c r="KHF241" s="201"/>
      <c r="KHG241" s="201"/>
      <c r="KHH241" s="201"/>
      <c r="KHI241" s="201"/>
      <c r="KHJ241" s="201"/>
      <c r="KHK241" s="201"/>
      <c r="KHL241" s="201"/>
      <c r="KHM241" s="201"/>
      <c r="KHN241" s="201"/>
      <c r="KHO241" s="201"/>
      <c r="KHP241" s="201"/>
      <c r="KHQ241" s="201"/>
      <c r="KHR241" s="201"/>
      <c r="KHS241" s="201"/>
      <c r="KHT241" s="201"/>
      <c r="KHU241" s="201"/>
      <c r="KHV241" s="201"/>
      <c r="KHW241" s="201"/>
      <c r="KHX241" s="201"/>
      <c r="KHY241" s="201"/>
      <c r="KHZ241" s="201"/>
      <c r="KIA241" s="201"/>
      <c r="KIB241" s="201"/>
      <c r="KIC241" s="201"/>
      <c r="KID241" s="201"/>
      <c r="KIE241" s="201"/>
      <c r="KIF241" s="201"/>
      <c r="KIG241" s="201"/>
      <c r="KIH241" s="201"/>
      <c r="KII241" s="201"/>
      <c r="KIJ241" s="201"/>
      <c r="KIK241" s="201"/>
      <c r="KIL241" s="201"/>
      <c r="KIM241" s="201"/>
      <c r="KIN241" s="201"/>
      <c r="KIO241" s="201"/>
      <c r="KIP241" s="201"/>
      <c r="KIQ241" s="201"/>
      <c r="KIR241" s="201"/>
      <c r="KIS241" s="201"/>
      <c r="KIT241" s="201"/>
      <c r="KIU241" s="201"/>
      <c r="KIV241" s="201"/>
      <c r="KIW241" s="201"/>
      <c r="KIX241" s="201"/>
      <c r="KIY241" s="201"/>
      <c r="KIZ241" s="201"/>
      <c r="KJA241" s="201"/>
      <c r="KJB241" s="201"/>
      <c r="KJC241" s="201"/>
      <c r="KJD241" s="201"/>
      <c r="KJE241" s="201"/>
      <c r="KJF241" s="201"/>
      <c r="KJG241" s="201"/>
      <c r="KJH241" s="201"/>
      <c r="KJI241" s="201"/>
      <c r="KJJ241" s="201"/>
      <c r="KJK241" s="201"/>
      <c r="KJL241" s="201"/>
      <c r="KJM241" s="201"/>
      <c r="KJN241" s="201"/>
      <c r="KJO241" s="201"/>
      <c r="KJP241" s="201"/>
      <c r="KJQ241" s="201"/>
      <c r="KJR241" s="201"/>
      <c r="KJS241" s="201"/>
      <c r="KJT241" s="201"/>
      <c r="KJU241" s="201"/>
      <c r="KJV241" s="201"/>
      <c r="KJW241" s="201"/>
      <c r="KJX241" s="201"/>
      <c r="KJY241" s="201"/>
      <c r="KJZ241" s="201"/>
      <c r="KKA241" s="201"/>
      <c r="KKB241" s="201"/>
      <c r="KKC241" s="201"/>
      <c r="KKD241" s="201"/>
      <c r="KKE241" s="201"/>
      <c r="KKF241" s="201"/>
      <c r="KKG241" s="201"/>
      <c r="KKH241" s="201"/>
      <c r="KKI241" s="201"/>
      <c r="KKJ241" s="201"/>
      <c r="KKK241" s="201"/>
      <c r="KKL241" s="201"/>
      <c r="KKM241" s="201"/>
      <c r="KKN241" s="201"/>
      <c r="KKO241" s="201"/>
      <c r="KKP241" s="201"/>
      <c r="KKQ241" s="201"/>
      <c r="KKR241" s="201"/>
      <c r="KKS241" s="201"/>
      <c r="KKT241" s="201"/>
      <c r="KKU241" s="201"/>
      <c r="KKV241" s="201"/>
      <c r="KKW241" s="201"/>
      <c r="KKX241" s="201"/>
      <c r="KKY241" s="201"/>
      <c r="KKZ241" s="201"/>
      <c r="KLA241" s="201"/>
      <c r="KLB241" s="201"/>
      <c r="KLC241" s="201"/>
      <c r="KLD241" s="201"/>
      <c r="KLE241" s="201"/>
      <c r="KLF241" s="201"/>
      <c r="KLG241" s="201"/>
      <c r="KLH241" s="201"/>
      <c r="KLI241" s="201"/>
      <c r="KLJ241" s="201"/>
      <c r="KLK241" s="201"/>
      <c r="KLL241" s="201"/>
      <c r="KLM241" s="201"/>
      <c r="KLN241" s="201"/>
      <c r="KLO241" s="201"/>
      <c r="KLP241" s="201"/>
      <c r="KLQ241" s="201"/>
      <c r="KLR241" s="201"/>
      <c r="KLS241" s="201"/>
      <c r="KLT241" s="201"/>
      <c r="KLU241" s="201"/>
      <c r="KLV241" s="201"/>
      <c r="KLW241" s="201"/>
      <c r="KLX241" s="201"/>
      <c r="KLY241" s="201"/>
      <c r="KLZ241" s="201"/>
      <c r="KMA241" s="201"/>
      <c r="KMB241" s="201"/>
      <c r="KMC241" s="201"/>
      <c r="KMD241" s="201"/>
      <c r="KME241" s="201"/>
      <c r="KMF241" s="201"/>
      <c r="KMG241" s="201"/>
      <c r="KMH241" s="201"/>
      <c r="KMI241" s="201"/>
      <c r="KMJ241" s="201"/>
      <c r="KMK241" s="201"/>
      <c r="KML241" s="201"/>
      <c r="KMM241" s="201"/>
      <c r="KMN241" s="201"/>
      <c r="KMO241" s="201"/>
      <c r="KMP241" s="201"/>
      <c r="KMQ241" s="201"/>
      <c r="KMR241" s="201"/>
      <c r="KMS241" s="201"/>
      <c r="KMT241" s="201"/>
      <c r="KMU241" s="201"/>
      <c r="KMV241" s="201"/>
      <c r="KMW241" s="201"/>
      <c r="KMX241" s="201"/>
      <c r="KMY241" s="201"/>
      <c r="KMZ241" s="201"/>
      <c r="KNA241" s="201"/>
      <c r="KNB241" s="201"/>
      <c r="KNC241" s="201"/>
      <c r="KND241" s="201"/>
      <c r="KNE241" s="201"/>
      <c r="KNF241" s="201"/>
      <c r="KNG241" s="201"/>
      <c r="KNH241" s="201"/>
      <c r="KNI241" s="201"/>
      <c r="KNJ241" s="201"/>
      <c r="KNK241" s="201"/>
      <c r="KNL241" s="201"/>
      <c r="KNM241" s="201"/>
      <c r="KNN241" s="201"/>
      <c r="KNO241" s="201"/>
      <c r="KNP241" s="201"/>
      <c r="KNQ241" s="201"/>
      <c r="KNR241" s="201"/>
      <c r="KNS241" s="201"/>
      <c r="KNT241" s="201"/>
      <c r="KNU241" s="201"/>
      <c r="KNV241" s="201"/>
      <c r="KNW241" s="201"/>
      <c r="KNX241" s="201"/>
      <c r="KNY241" s="201"/>
      <c r="KNZ241" s="201"/>
      <c r="KOA241" s="201"/>
      <c r="KOB241" s="201"/>
      <c r="KOC241" s="201"/>
      <c r="KOD241" s="201"/>
      <c r="KOE241" s="201"/>
      <c r="KOF241" s="201"/>
      <c r="KOG241" s="201"/>
      <c r="KOH241" s="201"/>
      <c r="KOI241" s="201"/>
      <c r="KOJ241" s="201"/>
      <c r="KOK241" s="201"/>
      <c r="KOL241" s="201"/>
      <c r="KOM241" s="201"/>
      <c r="KON241" s="201"/>
      <c r="KOO241" s="201"/>
      <c r="KOP241" s="201"/>
      <c r="KOQ241" s="201"/>
      <c r="KOR241" s="201"/>
      <c r="KOS241" s="201"/>
      <c r="KOT241" s="201"/>
      <c r="KOU241" s="201"/>
      <c r="KOV241" s="201"/>
      <c r="KOW241" s="201"/>
      <c r="KOX241" s="201"/>
      <c r="KOY241" s="201"/>
      <c r="KOZ241" s="201"/>
      <c r="KPA241" s="201"/>
      <c r="KPB241" s="201"/>
      <c r="KPC241" s="201"/>
      <c r="KPD241" s="201"/>
      <c r="KPE241" s="201"/>
      <c r="KPF241" s="201"/>
      <c r="KPG241" s="201"/>
      <c r="KPH241" s="201"/>
      <c r="KPI241" s="201"/>
      <c r="KPJ241" s="201"/>
      <c r="KPK241" s="201"/>
      <c r="KPL241" s="201"/>
      <c r="KPM241" s="201"/>
      <c r="KPN241" s="201"/>
      <c r="KPO241" s="201"/>
      <c r="KPP241" s="201"/>
      <c r="KPQ241" s="201"/>
      <c r="KPR241" s="201"/>
      <c r="KPS241" s="201"/>
      <c r="KPT241" s="201"/>
      <c r="KPU241" s="201"/>
      <c r="KPV241" s="201"/>
      <c r="KPW241" s="201"/>
      <c r="KPX241" s="201"/>
      <c r="KPY241" s="201"/>
      <c r="KPZ241" s="201"/>
      <c r="KQA241" s="201"/>
      <c r="KQB241" s="201"/>
      <c r="KQC241" s="201"/>
      <c r="KQD241" s="201"/>
      <c r="KQE241" s="201"/>
      <c r="KQF241" s="201"/>
      <c r="KQG241" s="201"/>
      <c r="KQH241" s="201"/>
      <c r="KQI241" s="201"/>
      <c r="KQJ241" s="201"/>
      <c r="KQK241" s="201"/>
      <c r="KQL241" s="201"/>
      <c r="KQM241" s="201"/>
      <c r="KQN241" s="201"/>
      <c r="KQO241" s="201"/>
      <c r="KQP241" s="201"/>
      <c r="KQQ241" s="201"/>
      <c r="KQR241" s="201"/>
      <c r="KQS241" s="201"/>
      <c r="KQT241" s="201"/>
      <c r="KQU241" s="201"/>
      <c r="KQV241" s="201"/>
      <c r="KQW241" s="201"/>
      <c r="KQX241" s="201"/>
      <c r="KQY241" s="201"/>
      <c r="KQZ241" s="201"/>
      <c r="KRA241" s="201"/>
      <c r="KRB241" s="201"/>
      <c r="KRC241" s="201"/>
      <c r="KRD241" s="201"/>
      <c r="KRE241" s="201"/>
      <c r="KRF241" s="201"/>
      <c r="KRG241" s="201"/>
      <c r="KRH241" s="201"/>
      <c r="KRI241" s="201"/>
      <c r="KRJ241" s="201"/>
      <c r="KRK241" s="201"/>
      <c r="KRL241" s="201"/>
      <c r="KRM241" s="201"/>
      <c r="KRN241" s="201"/>
      <c r="KRO241" s="201"/>
      <c r="KRP241" s="201"/>
      <c r="KRQ241" s="201"/>
      <c r="KRR241" s="201"/>
      <c r="KRS241" s="201"/>
      <c r="KRT241" s="201"/>
      <c r="KRU241" s="201"/>
      <c r="KRV241" s="201"/>
      <c r="KRW241" s="201"/>
      <c r="KRX241" s="201"/>
      <c r="KRY241" s="201"/>
      <c r="KRZ241" s="201"/>
      <c r="KSA241" s="201"/>
      <c r="KSB241" s="201"/>
      <c r="KSC241" s="201"/>
      <c r="KSD241" s="201"/>
      <c r="KSE241" s="201"/>
      <c r="KSF241" s="201"/>
      <c r="KSG241" s="201"/>
      <c r="KSH241" s="201"/>
      <c r="KSI241" s="201"/>
      <c r="KSJ241" s="201"/>
      <c r="KSK241" s="201"/>
      <c r="KSL241" s="201"/>
      <c r="KSM241" s="201"/>
      <c r="KSN241" s="201"/>
      <c r="KSO241" s="201"/>
      <c r="KSP241" s="201"/>
      <c r="KSQ241" s="201"/>
      <c r="KSR241" s="201"/>
      <c r="KSS241" s="201"/>
      <c r="KST241" s="201"/>
      <c r="KSU241" s="201"/>
      <c r="KSV241" s="201"/>
      <c r="KSW241" s="201"/>
      <c r="KSX241" s="201"/>
      <c r="KSY241" s="201"/>
      <c r="KSZ241" s="201"/>
      <c r="KTA241" s="201"/>
      <c r="KTB241" s="201"/>
      <c r="KTC241" s="201"/>
      <c r="KTD241" s="201"/>
      <c r="KTE241" s="201"/>
      <c r="KTF241" s="201"/>
      <c r="KTG241" s="201"/>
      <c r="KTH241" s="201"/>
      <c r="KTI241" s="201"/>
      <c r="KTJ241" s="201"/>
      <c r="KTK241" s="201"/>
      <c r="KTL241" s="201"/>
      <c r="KTM241" s="201"/>
      <c r="KTN241" s="201"/>
      <c r="KTO241" s="201"/>
      <c r="KTP241" s="201"/>
      <c r="KTQ241" s="201"/>
      <c r="KTR241" s="201"/>
      <c r="KTS241" s="201"/>
      <c r="KTT241" s="201"/>
      <c r="KTU241" s="201"/>
      <c r="KTV241" s="201"/>
      <c r="KTW241" s="201"/>
      <c r="KTX241" s="201"/>
      <c r="KTY241" s="201"/>
      <c r="KTZ241" s="201"/>
      <c r="KUA241" s="201"/>
      <c r="KUB241" s="201"/>
      <c r="KUC241" s="201"/>
      <c r="KUD241" s="201"/>
      <c r="KUE241" s="201"/>
      <c r="KUF241" s="201"/>
      <c r="KUG241" s="201"/>
      <c r="KUH241" s="201"/>
      <c r="KUI241" s="201"/>
      <c r="KUJ241" s="201"/>
      <c r="KUK241" s="201"/>
      <c r="KUL241" s="201"/>
      <c r="KUM241" s="201"/>
      <c r="KUN241" s="201"/>
      <c r="KUO241" s="201"/>
      <c r="KUP241" s="201"/>
      <c r="KUQ241" s="201"/>
      <c r="KUR241" s="201"/>
      <c r="KUS241" s="201"/>
      <c r="KUT241" s="201"/>
      <c r="KUU241" s="201"/>
      <c r="KUV241" s="201"/>
      <c r="KUW241" s="201"/>
      <c r="KUX241" s="201"/>
      <c r="KUY241" s="201"/>
      <c r="KUZ241" s="201"/>
      <c r="KVA241" s="201"/>
      <c r="KVB241" s="201"/>
      <c r="KVC241" s="201"/>
      <c r="KVD241" s="201"/>
      <c r="KVE241" s="201"/>
      <c r="KVF241" s="201"/>
      <c r="KVG241" s="201"/>
      <c r="KVH241" s="201"/>
      <c r="KVI241" s="201"/>
      <c r="KVJ241" s="201"/>
      <c r="KVK241" s="201"/>
      <c r="KVL241" s="201"/>
      <c r="KVM241" s="201"/>
      <c r="KVN241" s="201"/>
      <c r="KVO241" s="201"/>
      <c r="KVP241" s="201"/>
      <c r="KVQ241" s="201"/>
      <c r="KVR241" s="201"/>
      <c r="KVS241" s="201"/>
      <c r="KVT241" s="201"/>
      <c r="KVU241" s="201"/>
      <c r="KVV241" s="201"/>
      <c r="KVW241" s="201"/>
      <c r="KVX241" s="201"/>
      <c r="KVY241" s="201"/>
      <c r="KVZ241" s="201"/>
      <c r="KWA241" s="201"/>
      <c r="KWB241" s="201"/>
      <c r="KWC241" s="201"/>
      <c r="KWD241" s="201"/>
      <c r="KWE241" s="201"/>
      <c r="KWF241" s="201"/>
      <c r="KWG241" s="201"/>
      <c r="KWH241" s="201"/>
      <c r="KWI241" s="201"/>
      <c r="KWJ241" s="201"/>
      <c r="KWK241" s="201"/>
      <c r="KWL241" s="201"/>
      <c r="KWM241" s="201"/>
      <c r="KWN241" s="201"/>
      <c r="KWO241" s="201"/>
      <c r="KWP241" s="201"/>
      <c r="KWQ241" s="201"/>
      <c r="KWR241" s="201"/>
      <c r="KWS241" s="201"/>
      <c r="KWT241" s="201"/>
      <c r="KWU241" s="201"/>
      <c r="KWV241" s="201"/>
      <c r="KWW241" s="201"/>
      <c r="KWX241" s="201"/>
      <c r="KWY241" s="201"/>
      <c r="KWZ241" s="201"/>
      <c r="KXA241" s="201"/>
      <c r="KXB241" s="201"/>
      <c r="KXC241" s="201"/>
      <c r="KXD241" s="201"/>
      <c r="KXE241" s="201"/>
      <c r="KXF241" s="201"/>
      <c r="KXG241" s="201"/>
      <c r="KXH241" s="201"/>
      <c r="KXI241" s="201"/>
      <c r="KXJ241" s="201"/>
      <c r="KXK241" s="201"/>
      <c r="KXL241" s="201"/>
      <c r="KXM241" s="201"/>
      <c r="KXN241" s="201"/>
      <c r="KXO241" s="201"/>
      <c r="KXP241" s="201"/>
      <c r="KXQ241" s="201"/>
      <c r="KXR241" s="201"/>
      <c r="KXS241" s="201"/>
      <c r="KXT241" s="201"/>
      <c r="KXU241" s="201"/>
      <c r="KXV241" s="201"/>
      <c r="KXW241" s="201"/>
      <c r="KXX241" s="201"/>
      <c r="KXY241" s="201"/>
      <c r="KXZ241" s="201"/>
      <c r="KYA241" s="201"/>
      <c r="KYB241" s="201"/>
      <c r="KYC241" s="201"/>
      <c r="KYD241" s="201"/>
      <c r="KYE241" s="201"/>
      <c r="KYF241" s="201"/>
      <c r="KYG241" s="201"/>
      <c r="KYH241" s="201"/>
      <c r="KYI241" s="201"/>
      <c r="KYJ241" s="201"/>
      <c r="KYK241" s="201"/>
      <c r="KYL241" s="201"/>
      <c r="KYM241" s="201"/>
      <c r="KYN241" s="201"/>
      <c r="KYO241" s="201"/>
      <c r="KYP241" s="201"/>
      <c r="KYQ241" s="201"/>
      <c r="KYR241" s="201"/>
      <c r="KYS241" s="201"/>
      <c r="KYT241" s="201"/>
      <c r="KYU241" s="201"/>
      <c r="KYV241" s="201"/>
      <c r="KYW241" s="201"/>
      <c r="KYX241" s="201"/>
      <c r="KYY241" s="201"/>
      <c r="KYZ241" s="201"/>
      <c r="KZA241" s="201"/>
      <c r="KZB241" s="201"/>
      <c r="KZC241" s="201"/>
      <c r="KZD241" s="201"/>
      <c r="KZE241" s="201"/>
      <c r="KZF241" s="201"/>
      <c r="KZG241" s="201"/>
      <c r="KZH241" s="201"/>
      <c r="KZI241" s="201"/>
      <c r="KZJ241" s="201"/>
      <c r="KZK241" s="201"/>
      <c r="KZL241" s="201"/>
      <c r="KZM241" s="201"/>
      <c r="KZN241" s="201"/>
      <c r="KZO241" s="201"/>
      <c r="KZP241" s="201"/>
      <c r="KZQ241" s="201"/>
      <c r="KZR241" s="201"/>
      <c r="KZS241" s="201"/>
      <c r="KZT241" s="201"/>
      <c r="KZU241" s="201"/>
      <c r="KZV241" s="201"/>
      <c r="KZW241" s="201"/>
      <c r="KZX241" s="201"/>
      <c r="KZY241" s="201"/>
      <c r="KZZ241" s="201"/>
      <c r="LAA241" s="201"/>
      <c r="LAB241" s="201"/>
      <c r="LAC241" s="201"/>
      <c r="LAD241" s="201"/>
      <c r="LAE241" s="201"/>
      <c r="LAF241" s="201"/>
      <c r="LAG241" s="201"/>
      <c r="LAH241" s="201"/>
      <c r="LAI241" s="201"/>
      <c r="LAJ241" s="201"/>
      <c r="LAK241" s="201"/>
      <c r="LAL241" s="201"/>
      <c r="LAM241" s="201"/>
      <c r="LAN241" s="201"/>
      <c r="LAO241" s="201"/>
      <c r="LAP241" s="201"/>
      <c r="LAQ241" s="201"/>
      <c r="LAR241" s="201"/>
      <c r="LAS241" s="201"/>
      <c r="LAT241" s="201"/>
      <c r="LAU241" s="201"/>
      <c r="LAV241" s="201"/>
      <c r="LAW241" s="201"/>
      <c r="LAX241" s="201"/>
      <c r="LAY241" s="201"/>
      <c r="LAZ241" s="201"/>
      <c r="LBA241" s="201"/>
      <c r="LBB241" s="201"/>
      <c r="LBC241" s="201"/>
      <c r="LBD241" s="201"/>
      <c r="LBE241" s="201"/>
      <c r="LBF241" s="201"/>
      <c r="LBG241" s="201"/>
      <c r="LBH241" s="201"/>
      <c r="LBI241" s="201"/>
      <c r="LBJ241" s="201"/>
      <c r="LBK241" s="201"/>
      <c r="LBL241" s="201"/>
      <c r="LBM241" s="201"/>
      <c r="LBN241" s="201"/>
      <c r="LBO241" s="201"/>
      <c r="LBP241" s="201"/>
      <c r="LBQ241" s="201"/>
      <c r="LBR241" s="201"/>
      <c r="LBS241" s="201"/>
      <c r="LBT241" s="201"/>
      <c r="LBU241" s="201"/>
      <c r="LBV241" s="201"/>
      <c r="LBW241" s="201"/>
      <c r="LBX241" s="201"/>
      <c r="LBY241" s="201"/>
      <c r="LBZ241" s="201"/>
      <c r="LCA241" s="201"/>
      <c r="LCB241" s="201"/>
      <c r="LCC241" s="201"/>
      <c r="LCD241" s="201"/>
      <c r="LCE241" s="201"/>
      <c r="LCF241" s="201"/>
      <c r="LCG241" s="201"/>
      <c r="LCH241" s="201"/>
      <c r="LCI241" s="201"/>
      <c r="LCJ241" s="201"/>
      <c r="LCK241" s="201"/>
      <c r="LCL241" s="201"/>
      <c r="LCM241" s="201"/>
      <c r="LCN241" s="201"/>
      <c r="LCO241" s="201"/>
      <c r="LCP241" s="201"/>
      <c r="LCQ241" s="201"/>
      <c r="LCR241" s="201"/>
      <c r="LCS241" s="201"/>
      <c r="LCT241" s="201"/>
      <c r="LCU241" s="201"/>
      <c r="LCV241" s="201"/>
      <c r="LCW241" s="201"/>
      <c r="LCX241" s="201"/>
      <c r="LCY241" s="201"/>
      <c r="LCZ241" s="201"/>
      <c r="LDA241" s="201"/>
      <c r="LDB241" s="201"/>
      <c r="LDC241" s="201"/>
      <c r="LDD241" s="201"/>
      <c r="LDE241" s="201"/>
      <c r="LDF241" s="201"/>
      <c r="LDG241" s="201"/>
      <c r="LDH241" s="201"/>
      <c r="LDI241" s="201"/>
      <c r="LDJ241" s="201"/>
      <c r="LDK241" s="201"/>
      <c r="LDL241" s="201"/>
      <c r="LDM241" s="201"/>
      <c r="LDN241" s="201"/>
      <c r="LDO241" s="201"/>
      <c r="LDP241" s="201"/>
      <c r="LDQ241" s="201"/>
      <c r="LDR241" s="201"/>
      <c r="LDS241" s="201"/>
      <c r="LDT241" s="201"/>
      <c r="LDU241" s="201"/>
      <c r="LDV241" s="201"/>
      <c r="LDW241" s="201"/>
      <c r="LDX241" s="201"/>
      <c r="LDY241" s="201"/>
      <c r="LDZ241" s="201"/>
      <c r="LEA241" s="201"/>
      <c r="LEB241" s="201"/>
      <c r="LEC241" s="201"/>
      <c r="LED241" s="201"/>
      <c r="LEE241" s="201"/>
      <c r="LEF241" s="201"/>
      <c r="LEG241" s="201"/>
      <c r="LEH241" s="201"/>
      <c r="LEI241" s="201"/>
      <c r="LEJ241" s="201"/>
      <c r="LEK241" s="201"/>
      <c r="LEL241" s="201"/>
      <c r="LEM241" s="201"/>
      <c r="LEN241" s="201"/>
      <c r="LEO241" s="201"/>
      <c r="LEP241" s="201"/>
      <c r="LEQ241" s="201"/>
      <c r="LER241" s="201"/>
      <c r="LES241" s="201"/>
      <c r="LET241" s="201"/>
      <c r="LEU241" s="201"/>
      <c r="LEV241" s="201"/>
      <c r="LEW241" s="201"/>
      <c r="LEX241" s="201"/>
      <c r="LEY241" s="201"/>
      <c r="LEZ241" s="201"/>
      <c r="LFA241" s="201"/>
      <c r="LFB241" s="201"/>
      <c r="LFC241" s="201"/>
      <c r="LFD241" s="201"/>
      <c r="LFE241" s="201"/>
      <c r="LFF241" s="201"/>
      <c r="LFG241" s="201"/>
      <c r="LFH241" s="201"/>
      <c r="LFI241" s="201"/>
      <c r="LFJ241" s="201"/>
      <c r="LFK241" s="201"/>
      <c r="LFL241" s="201"/>
      <c r="LFM241" s="201"/>
      <c r="LFN241" s="201"/>
      <c r="LFO241" s="201"/>
      <c r="LFP241" s="201"/>
      <c r="LFQ241" s="201"/>
      <c r="LFR241" s="201"/>
      <c r="LFS241" s="201"/>
      <c r="LFT241" s="201"/>
      <c r="LFU241" s="201"/>
      <c r="LFV241" s="201"/>
      <c r="LFW241" s="201"/>
      <c r="LFX241" s="201"/>
      <c r="LFY241" s="201"/>
      <c r="LFZ241" s="201"/>
      <c r="LGA241" s="201"/>
      <c r="LGB241" s="201"/>
      <c r="LGC241" s="201"/>
      <c r="LGD241" s="201"/>
      <c r="LGE241" s="201"/>
      <c r="LGF241" s="201"/>
      <c r="LGG241" s="201"/>
      <c r="LGH241" s="201"/>
      <c r="LGI241" s="201"/>
      <c r="LGJ241" s="201"/>
      <c r="LGK241" s="201"/>
      <c r="LGL241" s="201"/>
      <c r="LGM241" s="201"/>
      <c r="LGN241" s="201"/>
      <c r="LGO241" s="201"/>
      <c r="LGP241" s="201"/>
      <c r="LGQ241" s="201"/>
      <c r="LGR241" s="201"/>
      <c r="LGS241" s="201"/>
      <c r="LGT241" s="201"/>
      <c r="LGU241" s="201"/>
      <c r="LGV241" s="201"/>
      <c r="LGW241" s="201"/>
      <c r="LGX241" s="201"/>
      <c r="LGY241" s="201"/>
      <c r="LGZ241" s="201"/>
      <c r="LHA241" s="201"/>
      <c r="LHB241" s="201"/>
      <c r="LHC241" s="201"/>
      <c r="LHD241" s="201"/>
      <c r="LHE241" s="201"/>
      <c r="LHF241" s="201"/>
      <c r="LHG241" s="201"/>
      <c r="LHH241" s="201"/>
      <c r="LHI241" s="201"/>
      <c r="LHJ241" s="201"/>
      <c r="LHK241" s="201"/>
      <c r="LHL241" s="201"/>
      <c r="LHM241" s="201"/>
      <c r="LHN241" s="201"/>
      <c r="LHO241" s="201"/>
      <c r="LHP241" s="201"/>
      <c r="LHQ241" s="201"/>
      <c r="LHR241" s="201"/>
      <c r="LHS241" s="201"/>
      <c r="LHT241" s="201"/>
      <c r="LHU241" s="201"/>
      <c r="LHV241" s="201"/>
      <c r="LHW241" s="201"/>
      <c r="LHX241" s="201"/>
      <c r="LHY241" s="201"/>
      <c r="LHZ241" s="201"/>
      <c r="LIA241" s="201"/>
      <c r="LIB241" s="201"/>
      <c r="LIC241" s="201"/>
      <c r="LID241" s="201"/>
      <c r="LIE241" s="201"/>
      <c r="LIF241" s="201"/>
      <c r="LIG241" s="201"/>
      <c r="LIH241" s="201"/>
      <c r="LII241" s="201"/>
      <c r="LIJ241" s="201"/>
      <c r="LIK241" s="201"/>
      <c r="LIL241" s="201"/>
      <c r="LIM241" s="201"/>
      <c r="LIN241" s="201"/>
      <c r="LIO241" s="201"/>
      <c r="LIP241" s="201"/>
      <c r="LIQ241" s="201"/>
      <c r="LIR241" s="201"/>
      <c r="LIS241" s="201"/>
      <c r="LIT241" s="201"/>
      <c r="LIU241" s="201"/>
      <c r="LIV241" s="201"/>
      <c r="LIW241" s="201"/>
      <c r="LIX241" s="201"/>
      <c r="LIY241" s="201"/>
      <c r="LIZ241" s="201"/>
      <c r="LJA241" s="201"/>
      <c r="LJB241" s="201"/>
      <c r="LJC241" s="201"/>
      <c r="LJD241" s="201"/>
      <c r="LJE241" s="201"/>
      <c r="LJF241" s="201"/>
      <c r="LJG241" s="201"/>
      <c r="LJH241" s="201"/>
      <c r="LJI241" s="201"/>
      <c r="LJJ241" s="201"/>
      <c r="LJK241" s="201"/>
      <c r="LJL241" s="201"/>
      <c r="LJM241" s="201"/>
      <c r="LJN241" s="201"/>
      <c r="LJO241" s="201"/>
      <c r="LJP241" s="201"/>
      <c r="LJQ241" s="201"/>
      <c r="LJR241" s="201"/>
      <c r="LJS241" s="201"/>
      <c r="LJT241" s="201"/>
      <c r="LJU241" s="201"/>
      <c r="LJV241" s="201"/>
      <c r="LJW241" s="201"/>
      <c r="LJX241" s="201"/>
      <c r="LJY241" s="201"/>
      <c r="LJZ241" s="201"/>
      <c r="LKA241" s="201"/>
      <c r="LKB241" s="201"/>
      <c r="LKC241" s="201"/>
      <c r="LKD241" s="201"/>
      <c r="LKE241" s="201"/>
      <c r="LKF241" s="201"/>
      <c r="LKG241" s="201"/>
      <c r="LKH241" s="201"/>
      <c r="LKI241" s="201"/>
      <c r="LKJ241" s="201"/>
      <c r="LKK241" s="201"/>
      <c r="LKL241" s="201"/>
      <c r="LKM241" s="201"/>
      <c r="LKN241" s="201"/>
      <c r="LKO241" s="201"/>
      <c r="LKP241" s="201"/>
      <c r="LKQ241" s="201"/>
      <c r="LKR241" s="201"/>
      <c r="LKS241" s="201"/>
      <c r="LKT241" s="201"/>
      <c r="LKU241" s="201"/>
      <c r="LKV241" s="201"/>
      <c r="LKW241" s="201"/>
      <c r="LKX241" s="201"/>
      <c r="LKY241" s="201"/>
      <c r="LKZ241" s="201"/>
      <c r="LLA241" s="201"/>
      <c r="LLB241" s="201"/>
      <c r="LLC241" s="201"/>
      <c r="LLD241" s="201"/>
      <c r="LLE241" s="201"/>
      <c r="LLF241" s="201"/>
      <c r="LLG241" s="201"/>
      <c r="LLH241" s="201"/>
      <c r="LLI241" s="201"/>
      <c r="LLJ241" s="201"/>
      <c r="LLK241" s="201"/>
      <c r="LLL241" s="201"/>
      <c r="LLM241" s="201"/>
      <c r="LLN241" s="201"/>
      <c r="LLO241" s="201"/>
      <c r="LLP241" s="201"/>
      <c r="LLQ241" s="201"/>
      <c r="LLR241" s="201"/>
      <c r="LLS241" s="201"/>
      <c r="LLT241" s="201"/>
      <c r="LLU241" s="201"/>
      <c r="LLV241" s="201"/>
      <c r="LLW241" s="201"/>
      <c r="LLX241" s="201"/>
      <c r="LLY241" s="201"/>
      <c r="LLZ241" s="201"/>
      <c r="LMA241" s="201"/>
      <c r="LMB241" s="201"/>
      <c r="LMC241" s="201"/>
      <c r="LMD241" s="201"/>
      <c r="LME241" s="201"/>
      <c r="LMF241" s="201"/>
      <c r="LMG241" s="201"/>
      <c r="LMH241" s="201"/>
      <c r="LMI241" s="201"/>
      <c r="LMJ241" s="201"/>
      <c r="LMK241" s="201"/>
      <c r="LML241" s="201"/>
      <c r="LMM241" s="201"/>
      <c r="LMN241" s="201"/>
      <c r="LMO241" s="201"/>
      <c r="LMP241" s="201"/>
      <c r="LMQ241" s="201"/>
      <c r="LMR241" s="201"/>
      <c r="LMS241" s="201"/>
      <c r="LMT241" s="201"/>
      <c r="LMU241" s="201"/>
      <c r="LMV241" s="201"/>
      <c r="LMW241" s="201"/>
      <c r="LMX241" s="201"/>
      <c r="LMY241" s="201"/>
      <c r="LMZ241" s="201"/>
      <c r="LNA241" s="201"/>
      <c r="LNB241" s="201"/>
      <c r="LNC241" s="201"/>
      <c r="LND241" s="201"/>
      <c r="LNE241" s="201"/>
      <c r="LNF241" s="201"/>
      <c r="LNG241" s="201"/>
      <c r="LNH241" s="201"/>
      <c r="LNI241" s="201"/>
      <c r="LNJ241" s="201"/>
      <c r="LNK241" s="201"/>
      <c r="LNL241" s="201"/>
      <c r="LNM241" s="201"/>
      <c r="LNN241" s="201"/>
      <c r="LNO241" s="201"/>
      <c r="LNP241" s="201"/>
      <c r="LNQ241" s="201"/>
      <c r="LNR241" s="201"/>
      <c r="LNS241" s="201"/>
      <c r="LNT241" s="201"/>
      <c r="LNU241" s="201"/>
      <c r="LNV241" s="201"/>
      <c r="LNW241" s="201"/>
      <c r="LNX241" s="201"/>
      <c r="LNY241" s="201"/>
      <c r="LNZ241" s="201"/>
      <c r="LOA241" s="201"/>
      <c r="LOB241" s="201"/>
      <c r="LOC241" s="201"/>
      <c r="LOD241" s="201"/>
      <c r="LOE241" s="201"/>
      <c r="LOF241" s="201"/>
      <c r="LOG241" s="201"/>
      <c r="LOH241" s="201"/>
      <c r="LOI241" s="201"/>
      <c r="LOJ241" s="201"/>
      <c r="LOK241" s="201"/>
      <c r="LOL241" s="201"/>
      <c r="LOM241" s="201"/>
      <c r="LON241" s="201"/>
      <c r="LOO241" s="201"/>
      <c r="LOP241" s="201"/>
      <c r="LOQ241" s="201"/>
      <c r="LOR241" s="201"/>
      <c r="LOS241" s="201"/>
      <c r="LOT241" s="201"/>
      <c r="LOU241" s="201"/>
      <c r="LOV241" s="201"/>
      <c r="LOW241" s="201"/>
      <c r="LOX241" s="201"/>
      <c r="LOY241" s="201"/>
      <c r="LOZ241" s="201"/>
      <c r="LPA241" s="201"/>
      <c r="LPB241" s="201"/>
      <c r="LPC241" s="201"/>
      <c r="LPD241" s="201"/>
      <c r="LPE241" s="201"/>
      <c r="LPF241" s="201"/>
      <c r="LPG241" s="201"/>
      <c r="LPH241" s="201"/>
      <c r="LPI241" s="201"/>
      <c r="LPJ241" s="201"/>
      <c r="LPK241" s="201"/>
      <c r="LPL241" s="201"/>
      <c r="LPM241" s="201"/>
      <c r="LPN241" s="201"/>
      <c r="LPO241" s="201"/>
      <c r="LPP241" s="201"/>
      <c r="LPQ241" s="201"/>
      <c r="LPR241" s="201"/>
      <c r="LPS241" s="201"/>
      <c r="LPT241" s="201"/>
      <c r="LPU241" s="201"/>
      <c r="LPV241" s="201"/>
      <c r="LPW241" s="201"/>
      <c r="LPX241" s="201"/>
      <c r="LPY241" s="201"/>
      <c r="LPZ241" s="201"/>
      <c r="LQA241" s="201"/>
      <c r="LQB241" s="201"/>
      <c r="LQC241" s="201"/>
      <c r="LQD241" s="201"/>
      <c r="LQE241" s="201"/>
      <c r="LQF241" s="201"/>
      <c r="LQG241" s="201"/>
      <c r="LQH241" s="201"/>
      <c r="LQI241" s="201"/>
      <c r="LQJ241" s="201"/>
      <c r="LQK241" s="201"/>
      <c r="LQL241" s="201"/>
      <c r="LQM241" s="201"/>
      <c r="LQN241" s="201"/>
      <c r="LQO241" s="201"/>
      <c r="LQP241" s="201"/>
      <c r="LQQ241" s="201"/>
      <c r="LQR241" s="201"/>
      <c r="LQS241" s="201"/>
      <c r="LQT241" s="201"/>
      <c r="LQU241" s="201"/>
      <c r="LQV241" s="201"/>
      <c r="LQW241" s="201"/>
      <c r="LQX241" s="201"/>
      <c r="LQY241" s="201"/>
      <c r="LQZ241" s="201"/>
      <c r="LRA241" s="201"/>
      <c r="LRB241" s="201"/>
      <c r="LRC241" s="201"/>
      <c r="LRD241" s="201"/>
      <c r="LRE241" s="201"/>
      <c r="LRF241" s="201"/>
      <c r="LRG241" s="201"/>
      <c r="LRH241" s="201"/>
      <c r="LRI241" s="201"/>
      <c r="LRJ241" s="201"/>
      <c r="LRK241" s="201"/>
      <c r="LRL241" s="201"/>
      <c r="LRM241" s="201"/>
      <c r="LRN241" s="201"/>
      <c r="LRO241" s="201"/>
      <c r="LRP241" s="201"/>
      <c r="LRQ241" s="201"/>
      <c r="LRR241" s="201"/>
      <c r="LRS241" s="201"/>
      <c r="LRT241" s="201"/>
      <c r="LRU241" s="201"/>
      <c r="LRV241" s="201"/>
      <c r="LRW241" s="201"/>
      <c r="LRX241" s="201"/>
      <c r="LRY241" s="201"/>
      <c r="LRZ241" s="201"/>
      <c r="LSA241" s="201"/>
      <c r="LSB241" s="201"/>
      <c r="LSC241" s="201"/>
      <c r="LSD241" s="201"/>
      <c r="LSE241" s="201"/>
      <c r="LSF241" s="201"/>
      <c r="LSG241" s="201"/>
      <c r="LSH241" s="201"/>
      <c r="LSI241" s="201"/>
      <c r="LSJ241" s="201"/>
      <c r="LSK241" s="201"/>
      <c r="LSL241" s="201"/>
      <c r="LSM241" s="201"/>
      <c r="LSN241" s="201"/>
      <c r="LSO241" s="201"/>
      <c r="LSP241" s="201"/>
      <c r="LSQ241" s="201"/>
      <c r="LSR241" s="201"/>
      <c r="LSS241" s="201"/>
      <c r="LST241" s="201"/>
      <c r="LSU241" s="201"/>
      <c r="LSV241" s="201"/>
      <c r="LSW241" s="201"/>
      <c r="LSX241" s="201"/>
      <c r="LSY241" s="201"/>
      <c r="LSZ241" s="201"/>
      <c r="LTA241" s="201"/>
      <c r="LTB241" s="201"/>
      <c r="LTC241" s="201"/>
      <c r="LTD241" s="201"/>
      <c r="LTE241" s="201"/>
      <c r="LTF241" s="201"/>
      <c r="LTG241" s="201"/>
      <c r="LTH241" s="201"/>
      <c r="LTI241" s="201"/>
      <c r="LTJ241" s="201"/>
      <c r="LTK241" s="201"/>
      <c r="LTL241" s="201"/>
      <c r="LTM241" s="201"/>
      <c r="LTN241" s="201"/>
      <c r="LTO241" s="201"/>
      <c r="LTP241" s="201"/>
      <c r="LTQ241" s="201"/>
      <c r="LTR241" s="201"/>
      <c r="LTS241" s="201"/>
      <c r="LTT241" s="201"/>
      <c r="LTU241" s="201"/>
      <c r="LTV241" s="201"/>
      <c r="LTW241" s="201"/>
      <c r="LTX241" s="201"/>
      <c r="LTY241" s="201"/>
      <c r="LTZ241" s="201"/>
      <c r="LUA241" s="201"/>
      <c r="LUB241" s="201"/>
      <c r="LUC241" s="201"/>
      <c r="LUD241" s="201"/>
      <c r="LUE241" s="201"/>
      <c r="LUF241" s="201"/>
      <c r="LUG241" s="201"/>
      <c r="LUH241" s="201"/>
      <c r="LUI241" s="201"/>
      <c r="LUJ241" s="201"/>
      <c r="LUK241" s="201"/>
      <c r="LUL241" s="201"/>
      <c r="LUM241" s="201"/>
      <c r="LUN241" s="201"/>
      <c r="LUO241" s="201"/>
      <c r="LUP241" s="201"/>
      <c r="LUQ241" s="201"/>
      <c r="LUR241" s="201"/>
      <c r="LUS241" s="201"/>
      <c r="LUT241" s="201"/>
      <c r="LUU241" s="201"/>
      <c r="LUV241" s="201"/>
      <c r="LUW241" s="201"/>
      <c r="LUX241" s="201"/>
      <c r="LUY241" s="201"/>
      <c r="LUZ241" s="201"/>
      <c r="LVA241" s="201"/>
      <c r="LVB241" s="201"/>
      <c r="LVC241" s="201"/>
      <c r="LVD241" s="201"/>
      <c r="LVE241" s="201"/>
      <c r="LVF241" s="201"/>
      <c r="LVG241" s="201"/>
      <c r="LVH241" s="201"/>
      <c r="LVI241" s="201"/>
      <c r="LVJ241" s="201"/>
      <c r="LVK241" s="201"/>
      <c r="LVL241" s="201"/>
      <c r="LVM241" s="201"/>
      <c r="LVN241" s="201"/>
      <c r="LVO241" s="201"/>
      <c r="LVP241" s="201"/>
      <c r="LVQ241" s="201"/>
      <c r="LVR241" s="201"/>
      <c r="LVS241" s="201"/>
      <c r="LVT241" s="201"/>
      <c r="LVU241" s="201"/>
      <c r="LVV241" s="201"/>
      <c r="LVW241" s="201"/>
      <c r="LVX241" s="201"/>
      <c r="LVY241" s="201"/>
      <c r="LVZ241" s="201"/>
      <c r="LWA241" s="201"/>
      <c r="LWB241" s="201"/>
      <c r="LWC241" s="201"/>
      <c r="LWD241" s="201"/>
      <c r="LWE241" s="201"/>
      <c r="LWF241" s="201"/>
      <c r="LWG241" s="201"/>
      <c r="LWH241" s="201"/>
      <c r="LWI241" s="201"/>
      <c r="LWJ241" s="201"/>
      <c r="LWK241" s="201"/>
      <c r="LWL241" s="201"/>
      <c r="LWM241" s="201"/>
      <c r="LWN241" s="201"/>
      <c r="LWO241" s="201"/>
      <c r="LWP241" s="201"/>
      <c r="LWQ241" s="201"/>
      <c r="LWR241" s="201"/>
      <c r="LWS241" s="201"/>
      <c r="LWT241" s="201"/>
      <c r="LWU241" s="201"/>
      <c r="LWV241" s="201"/>
      <c r="LWW241" s="201"/>
      <c r="LWX241" s="201"/>
      <c r="LWY241" s="201"/>
      <c r="LWZ241" s="201"/>
      <c r="LXA241" s="201"/>
      <c r="LXB241" s="201"/>
      <c r="LXC241" s="201"/>
      <c r="LXD241" s="201"/>
      <c r="LXE241" s="201"/>
      <c r="LXF241" s="201"/>
      <c r="LXG241" s="201"/>
      <c r="LXH241" s="201"/>
      <c r="LXI241" s="201"/>
      <c r="LXJ241" s="201"/>
      <c r="LXK241" s="201"/>
      <c r="LXL241" s="201"/>
      <c r="LXM241" s="201"/>
      <c r="LXN241" s="201"/>
      <c r="LXO241" s="201"/>
      <c r="LXP241" s="201"/>
      <c r="LXQ241" s="201"/>
      <c r="LXR241" s="201"/>
      <c r="LXS241" s="201"/>
      <c r="LXT241" s="201"/>
      <c r="LXU241" s="201"/>
      <c r="LXV241" s="201"/>
      <c r="LXW241" s="201"/>
      <c r="LXX241" s="201"/>
      <c r="LXY241" s="201"/>
      <c r="LXZ241" s="201"/>
      <c r="LYA241" s="201"/>
      <c r="LYB241" s="201"/>
      <c r="LYC241" s="201"/>
      <c r="LYD241" s="201"/>
      <c r="LYE241" s="201"/>
      <c r="LYF241" s="201"/>
      <c r="LYG241" s="201"/>
      <c r="LYH241" s="201"/>
      <c r="LYI241" s="201"/>
      <c r="LYJ241" s="201"/>
      <c r="LYK241" s="201"/>
      <c r="LYL241" s="201"/>
      <c r="LYM241" s="201"/>
      <c r="LYN241" s="201"/>
      <c r="LYO241" s="201"/>
      <c r="LYP241" s="201"/>
      <c r="LYQ241" s="201"/>
      <c r="LYR241" s="201"/>
      <c r="LYS241" s="201"/>
      <c r="LYT241" s="201"/>
      <c r="LYU241" s="201"/>
      <c r="LYV241" s="201"/>
      <c r="LYW241" s="201"/>
      <c r="LYX241" s="201"/>
      <c r="LYY241" s="201"/>
      <c r="LYZ241" s="201"/>
      <c r="LZA241" s="201"/>
      <c r="LZB241" s="201"/>
      <c r="LZC241" s="201"/>
      <c r="LZD241" s="201"/>
      <c r="LZE241" s="201"/>
      <c r="LZF241" s="201"/>
      <c r="LZG241" s="201"/>
      <c r="LZH241" s="201"/>
      <c r="LZI241" s="201"/>
      <c r="LZJ241" s="201"/>
      <c r="LZK241" s="201"/>
      <c r="LZL241" s="201"/>
      <c r="LZM241" s="201"/>
      <c r="LZN241" s="201"/>
      <c r="LZO241" s="201"/>
      <c r="LZP241" s="201"/>
      <c r="LZQ241" s="201"/>
      <c r="LZR241" s="201"/>
      <c r="LZS241" s="201"/>
      <c r="LZT241" s="201"/>
      <c r="LZU241" s="201"/>
      <c r="LZV241" s="201"/>
      <c r="LZW241" s="201"/>
      <c r="LZX241" s="201"/>
      <c r="LZY241" s="201"/>
      <c r="LZZ241" s="201"/>
      <c r="MAA241" s="201"/>
      <c r="MAB241" s="201"/>
      <c r="MAC241" s="201"/>
      <c r="MAD241" s="201"/>
      <c r="MAE241" s="201"/>
      <c r="MAF241" s="201"/>
      <c r="MAG241" s="201"/>
      <c r="MAH241" s="201"/>
      <c r="MAI241" s="201"/>
      <c r="MAJ241" s="201"/>
      <c r="MAK241" s="201"/>
      <c r="MAL241" s="201"/>
      <c r="MAM241" s="201"/>
      <c r="MAN241" s="201"/>
      <c r="MAO241" s="201"/>
      <c r="MAP241" s="201"/>
      <c r="MAQ241" s="201"/>
      <c r="MAR241" s="201"/>
      <c r="MAS241" s="201"/>
      <c r="MAT241" s="201"/>
      <c r="MAU241" s="201"/>
      <c r="MAV241" s="201"/>
      <c r="MAW241" s="201"/>
      <c r="MAX241" s="201"/>
      <c r="MAY241" s="201"/>
      <c r="MAZ241" s="201"/>
      <c r="MBA241" s="201"/>
      <c r="MBB241" s="201"/>
      <c r="MBC241" s="201"/>
      <c r="MBD241" s="201"/>
      <c r="MBE241" s="201"/>
      <c r="MBF241" s="201"/>
      <c r="MBG241" s="201"/>
      <c r="MBH241" s="201"/>
      <c r="MBI241" s="201"/>
      <c r="MBJ241" s="201"/>
      <c r="MBK241" s="201"/>
      <c r="MBL241" s="201"/>
      <c r="MBM241" s="201"/>
      <c r="MBN241" s="201"/>
      <c r="MBO241" s="201"/>
      <c r="MBP241" s="201"/>
      <c r="MBQ241" s="201"/>
      <c r="MBR241" s="201"/>
      <c r="MBS241" s="201"/>
      <c r="MBT241" s="201"/>
      <c r="MBU241" s="201"/>
      <c r="MBV241" s="201"/>
      <c r="MBW241" s="201"/>
      <c r="MBX241" s="201"/>
      <c r="MBY241" s="201"/>
      <c r="MBZ241" s="201"/>
      <c r="MCA241" s="201"/>
      <c r="MCB241" s="201"/>
      <c r="MCC241" s="201"/>
      <c r="MCD241" s="201"/>
      <c r="MCE241" s="201"/>
      <c r="MCF241" s="201"/>
      <c r="MCG241" s="201"/>
      <c r="MCH241" s="201"/>
      <c r="MCI241" s="201"/>
      <c r="MCJ241" s="201"/>
      <c r="MCK241" s="201"/>
      <c r="MCL241" s="201"/>
      <c r="MCM241" s="201"/>
      <c r="MCN241" s="201"/>
      <c r="MCO241" s="201"/>
      <c r="MCP241" s="201"/>
      <c r="MCQ241" s="201"/>
      <c r="MCR241" s="201"/>
      <c r="MCS241" s="201"/>
      <c r="MCT241" s="201"/>
      <c r="MCU241" s="201"/>
      <c r="MCV241" s="201"/>
      <c r="MCW241" s="201"/>
      <c r="MCX241" s="201"/>
      <c r="MCY241" s="201"/>
      <c r="MCZ241" s="201"/>
      <c r="MDA241" s="201"/>
      <c r="MDB241" s="201"/>
      <c r="MDC241" s="201"/>
      <c r="MDD241" s="201"/>
      <c r="MDE241" s="201"/>
      <c r="MDF241" s="201"/>
      <c r="MDG241" s="201"/>
      <c r="MDH241" s="201"/>
      <c r="MDI241" s="201"/>
      <c r="MDJ241" s="201"/>
      <c r="MDK241" s="201"/>
      <c r="MDL241" s="201"/>
      <c r="MDM241" s="201"/>
      <c r="MDN241" s="201"/>
      <c r="MDO241" s="201"/>
      <c r="MDP241" s="201"/>
      <c r="MDQ241" s="201"/>
      <c r="MDR241" s="201"/>
      <c r="MDS241" s="201"/>
      <c r="MDT241" s="201"/>
      <c r="MDU241" s="201"/>
      <c r="MDV241" s="201"/>
      <c r="MDW241" s="201"/>
      <c r="MDX241" s="201"/>
      <c r="MDY241" s="201"/>
      <c r="MDZ241" s="201"/>
      <c r="MEA241" s="201"/>
      <c r="MEB241" s="201"/>
      <c r="MEC241" s="201"/>
      <c r="MED241" s="201"/>
      <c r="MEE241" s="201"/>
      <c r="MEF241" s="201"/>
      <c r="MEG241" s="201"/>
      <c r="MEH241" s="201"/>
      <c r="MEI241" s="201"/>
      <c r="MEJ241" s="201"/>
      <c r="MEK241" s="201"/>
      <c r="MEL241" s="201"/>
      <c r="MEM241" s="201"/>
      <c r="MEN241" s="201"/>
      <c r="MEO241" s="201"/>
      <c r="MEP241" s="201"/>
      <c r="MEQ241" s="201"/>
      <c r="MER241" s="201"/>
      <c r="MES241" s="201"/>
      <c r="MET241" s="201"/>
      <c r="MEU241" s="201"/>
      <c r="MEV241" s="201"/>
      <c r="MEW241" s="201"/>
      <c r="MEX241" s="201"/>
      <c r="MEY241" s="201"/>
      <c r="MEZ241" s="201"/>
      <c r="MFA241" s="201"/>
      <c r="MFB241" s="201"/>
      <c r="MFC241" s="201"/>
      <c r="MFD241" s="201"/>
      <c r="MFE241" s="201"/>
      <c r="MFF241" s="201"/>
      <c r="MFG241" s="201"/>
      <c r="MFH241" s="201"/>
      <c r="MFI241" s="201"/>
      <c r="MFJ241" s="201"/>
      <c r="MFK241" s="201"/>
      <c r="MFL241" s="201"/>
      <c r="MFM241" s="201"/>
      <c r="MFN241" s="201"/>
      <c r="MFO241" s="201"/>
      <c r="MFP241" s="201"/>
      <c r="MFQ241" s="201"/>
      <c r="MFR241" s="201"/>
      <c r="MFS241" s="201"/>
      <c r="MFT241" s="201"/>
      <c r="MFU241" s="201"/>
      <c r="MFV241" s="201"/>
      <c r="MFW241" s="201"/>
      <c r="MFX241" s="201"/>
      <c r="MFY241" s="201"/>
      <c r="MFZ241" s="201"/>
      <c r="MGA241" s="201"/>
      <c r="MGB241" s="201"/>
      <c r="MGC241" s="201"/>
      <c r="MGD241" s="201"/>
      <c r="MGE241" s="201"/>
      <c r="MGF241" s="201"/>
      <c r="MGG241" s="201"/>
      <c r="MGH241" s="201"/>
      <c r="MGI241" s="201"/>
      <c r="MGJ241" s="201"/>
      <c r="MGK241" s="201"/>
      <c r="MGL241" s="201"/>
      <c r="MGM241" s="201"/>
      <c r="MGN241" s="201"/>
      <c r="MGO241" s="201"/>
      <c r="MGP241" s="201"/>
      <c r="MGQ241" s="201"/>
      <c r="MGR241" s="201"/>
      <c r="MGS241" s="201"/>
      <c r="MGT241" s="201"/>
      <c r="MGU241" s="201"/>
      <c r="MGV241" s="201"/>
      <c r="MGW241" s="201"/>
      <c r="MGX241" s="201"/>
      <c r="MGY241" s="201"/>
      <c r="MGZ241" s="201"/>
      <c r="MHA241" s="201"/>
      <c r="MHB241" s="201"/>
      <c r="MHC241" s="201"/>
      <c r="MHD241" s="201"/>
      <c r="MHE241" s="201"/>
      <c r="MHF241" s="201"/>
      <c r="MHG241" s="201"/>
      <c r="MHH241" s="201"/>
      <c r="MHI241" s="201"/>
      <c r="MHJ241" s="201"/>
      <c r="MHK241" s="201"/>
      <c r="MHL241" s="201"/>
      <c r="MHM241" s="201"/>
      <c r="MHN241" s="201"/>
      <c r="MHO241" s="201"/>
      <c r="MHP241" s="201"/>
      <c r="MHQ241" s="201"/>
      <c r="MHR241" s="201"/>
      <c r="MHS241" s="201"/>
      <c r="MHT241" s="201"/>
      <c r="MHU241" s="201"/>
      <c r="MHV241" s="201"/>
      <c r="MHW241" s="201"/>
      <c r="MHX241" s="201"/>
      <c r="MHY241" s="201"/>
      <c r="MHZ241" s="201"/>
      <c r="MIA241" s="201"/>
      <c r="MIB241" s="201"/>
      <c r="MIC241" s="201"/>
      <c r="MID241" s="201"/>
      <c r="MIE241" s="201"/>
      <c r="MIF241" s="201"/>
      <c r="MIG241" s="201"/>
      <c r="MIH241" s="201"/>
      <c r="MII241" s="201"/>
      <c r="MIJ241" s="201"/>
      <c r="MIK241" s="201"/>
      <c r="MIL241" s="201"/>
      <c r="MIM241" s="201"/>
      <c r="MIN241" s="201"/>
      <c r="MIO241" s="201"/>
      <c r="MIP241" s="201"/>
      <c r="MIQ241" s="201"/>
      <c r="MIR241" s="201"/>
      <c r="MIS241" s="201"/>
      <c r="MIT241" s="201"/>
      <c r="MIU241" s="201"/>
      <c r="MIV241" s="201"/>
      <c r="MIW241" s="201"/>
      <c r="MIX241" s="201"/>
      <c r="MIY241" s="201"/>
      <c r="MIZ241" s="201"/>
      <c r="MJA241" s="201"/>
      <c r="MJB241" s="201"/>
      <c r="MJC241" s="201"/>
      <c r="MJD241" s="201"/>
      <c r="MJE241" s="201"/>
      <c r="MJF241" s="201"/>
      <c r="MJG241" s="201"/>
      <c r="MJH241" s="201"/>
      <c r="MJI241" s="201"/>
      <c r="MJJ241" s="201"/>
      <c r="MJK241" s="201"/>
      <c r="MJL241" s="201"/>
      <c r="MJM241" s="201"/>
      <c r="MJN241" s="201"/>
      <c r="MJO241" s="201"/>
      <c r="MJP241" s="201"/>
      <c r="MJQ241" s="201"/>
      <c r="MJR241" s="201"/>
      <c r="MJS241" s="201"/>
      <c r="MJT241" s="201"/>
      <c r="MJU241" s="201"/>
      <c r="MJV241" s="201"/>
      <c r="MJW241" s="201"/>
      <c r="MJX241" s="201"/>
      <c r="MJY241" s="201"/>
      <c r="MJZ241" s="201"/>
      <c r="MKA241" s="201"/>
      <c r="MKB241" s="201"/>
      <c r="MKC241" s="201"/>
      <c r="MKD241" s="201"/>
      <c r="MKE241" s="201"/>
      <c r="MKF241" s="201"/>
      <c r="MKG241" s="201"/>
      <c r="MKH241" s="201"/>
      <c r="MKI241" s="201"/>
      <c r="MKJ241" s="201"/>
      <c r="MKK241" s="201"/>
      <c r="MKL241" s="201"/>
      <c r="MKM241" s="201"/>
      <c r="MKN241" s="201"/>
      <c r="MKO241" s="201"/>
      <c r="MKP241" s="201"/>
      <c r="MKQ241" s="201"/>
      <c r="MKR241" s="201"/>
      <c r="MKS241" s="201"/>
      <c r="MKT241" s="201"/>
      <c r="MKU241" s="201"/>
      <c r="MKV241" s="201"/>
      <c r="MKW241" s="201"/>
      <c r="MKX241" s="201"/>
      <c r="MKY241" s="201"/>
      <c r="MKZ241" s="201"/>
      <c r="MLA241" s="201"/>
      <c r="MLB241" s="201"/>
      <c r="MLC241" s="201"/>
      <c r="MLD241" s="201"/>
      <c r="MLE241" s="201"/>
      <c r="MLF241" s="201"/>
      <c r="MLG241" s="201"/>
      <c r="MLH241" s="201"/>
      <c r="MLI241" s="201"/>
      <c r="MLJ241" s="201"/>
      <c r="MLK241" s="201"/>
      <c r="MLL241" s="201"/>
      <c r="MLM241" s="201"/>
      <c r="MLN241" s="201"/>
      <c r="MLO241" s="201"/>
      <c r="MLP241" s="201"/>
      <c r="MLQ241" s="201"/>
      <c r="MLR241" s="201"/>
      <c r="MLS241" s="201"/>
      <c r="MLT241" s="201"/>
      <c r="MLU241" s="201"/>
      <c r="MLV241" s="201"/>
      <c r="MLW241" s="201"/>
      <c r="MLX241" s="201"/>
      <c r="MLY241" s="201"/>
      <c r="MLZ241" s="201"/>
      <c r="MMA241" s="201"/>
      <c r="MMB241" s="201"/>
      <c r="MMC241" s="201"/>
      <c r="MMD241" s="201"/>
      <c r="MME241" s="201"/>
      <c r="MMF241" s="201"/>
      <c r="MMG241" s="201"/>
      <c r="MMH241" s="201"/>
      <c r="MMI241" s="201"/>
      <c r="MMJ241" s="201"/>
      <c r="MMK241" s="201"/>
      <c r="MML241" s="201"/>
      <c r="MMM241" s="201"/>
      <c r="MMN241" s="201"/>
      <c r="MMO241" s="201"/>
      <c r="MMP241" s="201"/>
      <c r="MMQ241" s="201"/>
      <c r="MMR241" s="201"/>
      <c r="MMS241" s="201"/>
      <c r="MMT241" s="201"/>
      <c r="MMU241" s="201"/>
      <c r="MMV241" s="201"/>
      <c r="MMW241" s="201"/>
      <c r="MMX241" s="201"/>
      <c r="MMY241" s="201"/>
      <c r="MMZ241" s="201"/>
      <c r="MNA241" s="201"/>
      <c r="MNB241" s="201"/>
      <c r="MNC241" s="201"/>
      <c r="MND241" s="201"/>
      <c r="MNE241" s="201"/>
      <c r="MNF241" s="201"/>
      <c r="MNG241" s="201"/>
      <c r="MNH241" s="201"/>
      <c r="MNI241" s="201"/>
      <c r="MNJ241" s="201"/>
      <c r="MNK241" s="201"/>
      <c r="MNL241" s="201"/>
      <c r="MNM241" s="201"/>
      <c r="MNN241" s="201"/>
      <c r="MNO241" s="201"/>
      <c r="MNP241" s="201"/>
      <c r="MNQ241" s="201"/>
      <c r="MNR241" s="201"/>
      <c r="MNS241" s="201"/>
      <c r="MNT241" s="201"/>
      <c r="MNU241" s="201"/>
      <c r="MNV241" s="201"/>
      <c r="MNW241" s="201"/>
      <c r="MNX241" s="201"/>
      <c r="MNY241" s="201"/>
      <c r="MNZ241" s="201"/>
      <c r="MOA241" s="201"/>
      <c r="MOB241" s="201"/>
      <c r="MOC241" s="201"/>
      <c r="MOD241" s="201"/>
      <c r="MOE241" s="201"/>
      <c r="MOF241" s="201"/>
      <c r="MOG241" s="201"/>
      <c r="MOH241" s="201"/>
      <c r="MOI241" s="201"/>
      <c r="MOJ241" s="201"/>
      <c r="MOK241" s="201"/>
      <c r="MOL241" s="201"/>
      <c r="MOM241" s="201"/>
      <c r="MON241" s="201"/>
      <c r="MOO241" s="201"/>
      <c r="MOP241" s="201"/>
      <c r="MOQ241" s="201"/>
      <c r="MOR241" s="201"/>
      <c r="MOS241" s="201"/>
      <c r="MOT241" s="201"/>
      <c r="MOU241" s="201"/>
      <c r="MOV241" s="201"/>
      <c r="MOW241" s="201"/>
      <c r="MOX241" s="201"/>
      <c r="MOY241" s="201"/>
      <c r="MOZ241" s="201"/>
      <c r="MPA241" s="201"/>
      <c r="MPB241" s="201"/>
      <c r="MPC241" s="201"/>
      <c r="MPD241" s="201"/>
      <c r="MPE241" s="201"/>
      <c r="MPF241" s="201"/>
      <c r="MPG241" s="201"/>
      <c r="MPH241" s="201"/>
      <c r="MPI241" s="201"/>
      <c r="MPJ241" s="201"/>
      <c r="MPK241" s="201"/>
      <c r="MPL241" s="201"/>
      <c r="MPM241" s="201"/>
      <c r="MPN241" s="201"/>
      <c r="MPO241" s="201"/>
      <c r="MPP241" s="201"/>
      <c r="MPQ241" s="201"/>
      <c r="MPR241" s="201"/>
      <c r="MPS241" s="201"/>
      <c r="MPT241" s="201"/>
      <c r="MPU241" s="201"/>
      <c r="MPV241" s="201"/>
      <c r="MPW241" s="201"/>
      <c r="MPX241" s="201"/>
      <c r="MPY241" s="201"/>
      <c r="MPZ241" s="201"/>
      <c r="MQA241" s="201"/>
      <c r="MQB241" s="201"/>
      <c r="MQC241" s="201"/>
      <c r="MQD241" s="201"/>
      <c r="MQE241" s="201"/>
      <c r="MQF241" s="201"/>
      <c r="MQG241" s="201"/>
      <c r="MQH241" s="201"/>
      <c r="MQI241" s="201"/>
      <c r="MQJ241" s="201"/>
      <c r="MQK241" s="201"/>
      <c r="MQL241" s="201"/>
      <c r="MQM241" s="201"/>
      <c r="MQN241" s="201"/>
      <c r="MQO241" s="201"/>
      <c r="MQP241" s="201"/>
      <c r="MQQ241" s="201"/>
      <c r="MQR241" s="201"/>
      <c r="MQS241" s="201"/>
      <c r="MQT241" s="201"/>
      <c r="MQU241" s="201"/>
      <c r="MQV241" s="201"/>
      <c r="MQW241" s="201"/>
      <c r="MQX241" s="201"/>
      <c r="MQY241" s="201"/>
      <c r="MQZ241" s="201"/>
      <c r="MRA241" s="201"/>
      <c r="MRB241" s="201"/>
      <c r="MRC241" s="201"/>
      <c r="MRD241" s="201"/>
      <c r="MRE241" s="201"/>
      <c r="MRF241" s="201"/>
      <c r="MRG241" s="201"/>
      <c r="MRH241" s="201"/>
      <c r="MRI241" s="201"/>
      <c r="MRJ241" s="201"/>
      <c r="MRK241" s="201"/>
      <c r="MRL241" s="201"/>
      <c r="MRM241" s="201"/>
      <c r="MRN241" s="201"/>
      <c r="MRO241" s="201"/>
      <c r="MRP241" s="201"/>
      <c r="MRQ241" s="201"/>
      <c r="MRR241" s="201"/>
      <c r="MRS241" s="201"/>
      <c r="MRT241" s="201"/>
      <c r="MRU241" s="201"/>
      <c r="MRV241" s="201"/>
      <c r="MRW241" s="201"/>
      <c r="MRX241" s="201"/>
      <c r="MRY241" s="201"/>
      <c r="MRZ241" s="201"/>
      <c r="MSA241" s="201"/>
      <c r="MSB241" s="201"/>
      <c r="MSC241" s="201"/>
      <c r="MSD241" s="201"/>
      <c r="MSE241" s="201"/>
      <c r="MSF241" s="201"/>
      <c r="MSG241" s="201"/>
      <c r="MSH241" s="201"/>
      <c r="MSI241" s="201"/>
      <c r="MSJ241" s="201"/>
      <c r="MSK241" s="201"/>
      <c r="MSL241" s="201"/>
      <c r="MSM241" s="201"/>
      <c r="MSN241" s="201"/>
      <c r="MSO241" s="201"/>
      <c r="MSP241" s="201"/>
      <c r="MSQ241" s="201"/>
      <c r="MSR241" s="201"/>
      <c r="MSS241" s="201"/>
      <c r="MST241" s="201"/>
      <c r="MSU241" s="201"/>
      <c r="MSV241" s="201"/>
      <c r="MSW241" s="201"/>
      <c r="MSX241" s="201"/>
      <c r="MSY241" s="201"/>
      <c r="MSZ241" s="201"/>
      <c r="MTA241" s="201"/>
      <c r="MTB241" s="201"/>
      <c r="MTC241" s="201"/>
      <c r="MTD241" s="201"/>
      <c r="MTE241" s="201"/>
      <c r="MTF241" s="201"/>
      <c r="MTG241" s="201"/>
      <c r="MTH241" s="201"/>
      <c r="MTI241" s="201"/>
      <c r="MTJ241" s="201"/>
      <c r="MTK241" s="201"/>
      <c r="MTL241" s="201"/>
      <c r="MTM241" s="201"/>
      <c r="MTN241" s="201"/>
      <c r="MTO241" s="201"/>
      <c r="MTP241" s="201"/>
      <c r="MTQ241" s="201"/>
      <c r="MTR241" s="201"/>
      <c r="MTS241" s="201"/>
      <c r="MTT241" s="201"/>
      <c r="MTU241" s="201"/>
      <c r="MTV241" s="201"/>
      <c r="MTW241" s="201"/>
      <c r="MTX241" s="201"/>
      <c r="MTY241" s="201"/>
      <c r="MTZ241" s="201"/>
      <c r="MUA241" s="201"/>
      <c r="MUB241" s="201"/>
      <c r="MUC241" s="201"/>
      <c r="MUD241" s="201"/>
      <c r="MUE241" s="201"/>
      <c r="MUF241" s="201"/>
      <c r="MUG241" s="201"/>
      <c r="MUH241" s="201"/>
      <c r="MUI241" s="201"/>
      <c r="MUJ241" s="201"/>
      <c r="MUK241" s="201"/>
      <c r="MUL241" s="201"/>
      <c r="MUM241" s="201"/>
      <c r="MUN241" s="201"/>
      <c r="MUO241" s="201"/>
      <c r="MUP241" s="201"/>
      <c r="MUQ241" s="201"/>
      <c r="MUR241" s="201"/>
      <c r="MUS241" s="201"/>
      <c r="MUT241" s="201"/>
      <c r="MUU241" s="201"/>
      <c r="MUV241" s="201"/>
      <c r="MUW241" s="201"/>
      <c r="MUX241" s="201"/>
      <c r="MUY241" s="201"/>
      <c r="MUZ241" s="201"/>
      <c r="MVA241" s="201"/>
      <c r="MVB241" s="201"/>
      <c r="MVC241" s="201"/>
      <c r="MVD241" s="201"/>
      <c r="MVE241" s="201"/>
      <c r="MVF241" s="201"/>
      <c r="MVG241" s="201"/>
      <c r="MVH241" s="201"/>
      <c r="MVI241" s="201"/>
      <c r="MVJ241" s="201"/>
      <c r="MVK241" s="201"/>
      <c r="MVL241" s="201"/>
      <c r="MVM241" s="201"/>
      <c r="MVN241" s="201"/>
      <c r="MVO241" s="201"/>
      <c r="MVP241" s="201"/>
      <c r="MVQ241" s="201"/>
      <c r="MVR241" s="201"/>
      <c r="MVS241" s="201"/>
      <c r="MVT241" s="201"/>
      <c r="MVU241" s="201"/>
      <c r="MVV241" s="201"/>
      <c r="MVW241" s="201"/>
      <c r="MVX241" s="201"/>
      <c r="MVY241" s="201"/>
      <c r="MVZ241" s="201"/>
      <c r="MWA241" s="201"/>
      <c r="MWB241" s="201"/>
      <c r="MWC241" s="201"/>
      <c r="MWD241" s="201"/>
      <c r="MWE241" s="201"/>
      <c r="MWF241" s="201"/>
      <c r="MWG241" s="201"/>
      <c r="MWH241" s="201"/>
      <c r="MWI241" s="201"/>
      <c r="MWJ241" s="201"/>
      <c r="MWK241" s="201"/>
      <c r="MWL241" s="201"/>
      <c r="MWM241" s="201"/>
      <c r="MWN241" s="201"/>
      <c r="MWO241" s="201"/>
      <c r="MWP241" s="201"/>
      <c r="MWQ241" s="201"/>
      <c r="MWR241" s="201"/>
      <c r="MWS241" s="201"/>
      <c r="MWT241" s="201"/>
      <c r="MWU241" s="201"/>
      <c r="MWV241" s="201"/>
      <c r="MWW241" s="201"/>
      <c r="MWX241" s="201"/>
      <c r="MWY241" s="201"/>
      <c r="MWZ241" s="201"/>
      <c r="MXA241" s="201"/>
      <c r="MXB241" s="201"/>
      <c r="MXC241" s="201"/>
      <c r="MXD241" s="201"/>
      <c r="MXE241" s="201"/>
      <c r="MXF241" s="201"/>
      <c r="MXG241" s="201"/>
      <c r="MXH241" s="201"/>
      <c r="MXI241" s="201"/>
      <c r="MXJ241" s="201"/>
      <c r="MXK241" s="201"/>
      <c r="MXL241" s="201"/>
      <c r="MXM241" s="201"/>
      <c r="MXN241" s="201"/>
      <c r="MXO241" s="201"/>
      <c r="MXP241" s="201"/>
      <c r="MXQ241" s="201"/>
      <c r="MXR241" s="201"/>
      <c r="MXS241" s="201"/>
      <c r="MXT241" s="201"/>
      <c r="MXU241" s="201"/>
      <c r="MXV241" s="201"/>
      <c r="MXW241" s="201"/>
      <c r="MXX241" s="201"/>
      <c r="MXY241" s="201"/>
      <c r="MXZ241" s="201"/>
      <c r="MYA241" s="201"/>
      <c r="MYB241" s="201"/>
      <c r="MYC241" s="201"/>
      <c r="MYD241" s="201"/>
      <c r="MYE241" s="201"/>
      <c r="MYF241" s="201"/>
      <c r="MYG241" s="201"/>
      <c r="MYH241" s="201"/>
      <c r="MYI241" s="201"/>
      <c r="MYJ241" s="201"/>
      <c r="MYK241" s="201"/>
      <c r="MYL241" s="201"/>
      <c r="MYM241" s="201"/>
      <c r="MYN241" s="201"/>
      <c r="MYO241" s="201"/>
      <c r="MYP241" s="201"/>
      <c r="MYQ241" s="201"/>
      <c r="MYR241" s="201"/>
      <c r="MYS241" s="201"/>
      <c r="MYT241" s="201"/>
      <c r="MYU241" s="201"/>
      <c r="MYV241" s="201"/>
      <c r="MYW241" s="201"/>
      <c r="MYX241" s="201"/>
      <c r="MYY241" s="201"/>
      <c r="MYZ241" s="201"/>
      <c r="MZA241" s="201"/>
      <c r="MZB241" s="201"/>
      <c r="MZC241" s="201"/>
      <c r="MZD241" s="201"/>
      <c r="MZE241" s="201"/>
      <c r="MZF241" s="201"/>
      <c r="MZG241" s="201"/>
      <c r="MZH241" s="201"/>
      <c r="MZI241" s="201"/>
      <c r="MZJ241" s="201"/>
      <c r="MZK241" s="201"/>
      <c r="MZL241" s="201"/>
      <c r="MZM241" s="201"/>
      <c r="MZN241" s="201"/>
      <c r="MZO241" s="201"/>
      <c r="MZP241" s="201"/>
      <c r="MZQ241" s="201"/>
      <c r="MZR241" s="201"/>
      <c r="MZS241" s="201"/>
      <c r="MZT241" s="201"/>
      <c r="MZU241" s="201"/>
      <c r="MZV241" s="201"/>
      <c r="MZW241" s="201"/>
      <c r="MZX241" s="201"/>
      <c r="MZY241" s="201"/>
      <c r="MZZ241" s="201"/>
      <c r="NAA241" s="201"/>
      <c r="NAB241" s="201"/>
      <c r="NAC241" s="201"/>
      <c r="NAD241" s="201"/>
      <c r="NAE241" s="201"/>
      <c r="NAF241" s="201"/>
      <c r="NAG241" s="201"/>
      <c r="NAH241" s="201"/>
      <c r="NAI241" s="201"/>
      <c r="NAJ241" s="201"/>
      <c r="NAK241" s="201"/>
      <c r="NAL241" s="201"/>
      <c r="NAM241" s="201"/>
      <c r="NAN241" s="201"/>
      <c r="NAO241" s="201"/>
      <c r="NAP241" s="201"/>
      <c r="NAQ241" s="201"/>
      <c r="NAR241" s="201"/>
      <c r="NAS241" s="201"/>
      <c r="NAT241" s="201"/>
      <c r="NAU241" s="201"/>
      <c r="NAV241" s="201"/>
      <c r="NAW241" s="201"/>
      <c r="NAX241" s="201"/>
      <c r="NAY241" s="201"/>
      <c r="NAZ241" s="201"/>
      <c r="NBA241" s="201"/>
      <c r="NBB241" s="201"/>
      <c r="NBC241" s="201"/>
      <c r="NBD241" s="201"/>
      <c r="NBE241" s="201"/>
      <c r="NBF241" s="201"/>
      <c r="NBG241" s="201"/>
      <c r="NBH241" s="201"/>
      <c r="NBI241" s="201"/>
      <c r="NBJ241" s="201"/>
      <c r="NBK241" s="201"/>
      <c r="NBL241" s="201"/>
      <c r="NBM241" s="201"/>
      <c r="NBN241" s="201"/>
      <c r="NBO241" s="201"/>
      <c r="NBP241" s="201"/>
      <c r="NBQ241" s="201"/>
      <c r="NBR241" s="201"/>
      <c r="NBS241" s="201"/>
      <c r="NBT241" s="201"/>
      <c r="NBU241" s="201"/>
      <c r="NBV241" s="201"/>
      <c r="NBW241" s="201"/>
      <c r="NBX241" s="201"/>
      <c r="NBY241" s="201"/>
      <c r="NBZ241" s="201"/>
      <c r="NCA241" s="201"/>
      <c r="NCB241" s="201"/>
      <c r="NCC241" s="201"/>
      <c r="NCD241" s="201"/>
      <c r="NCE241" s="201"/>
      <c r="NCF241" s="201"/>
      <c r="NCG241" s="201"/>
      <c r="NCH241" s="201"/>
      <c r="NCI241" s="201"/>
      <c r="NCJ241" s="201"/>
      <c r="NCK241" s="201"/>
      <c r="NCL241" s="201"/>
      <c r="NCM241" s="201"/>
      <c r="NCN241" s="201"/>
      <c r="NCO241" s="201"/>
      <c r="NCP241" s="201"/>
      <c r="NCQ241" s="201"/>
      <c r="NCR241" s="201"/>
      <c r="NCS241" s="201"/>
      <c r="NCT241" s="201"/>
      <c r="NCU241" s="201"/>
      <c r="NCV241" s="201"/>
      <c r="NCW241" s="201"/>
      <c r="NCX241" s="201"/>
      <c r="NCY241" s="201"/>
      <c r="NCZ241" s="201"/>
      <c r="NDA241" s="201"/>
      <c r="NDB241" s="201"/>
      <c r="NDC241" s="201"/>
      <c r="NDD241" s="201"/>
      <c r="NDE241" s="201"/>
      <c r="NDF241" s="201"/>
      <c r="NDG241" s="201"/>
      <c r="NDH241" s="201"/>
      <c r="NDI241" s="201"/>
      <c r="NDJ241" s="201"/>
      <c r="NDK241" s="201"/>
      <c r="NDL241" s="201"/>
      <c r="NDM241" s="201"/>
      <c r="NDN241" s="201"/>
      <c r="NDO241" s="201"/>
      <c r="NDP241" s="201"/>
      <c r="NDQ241" s="201"/>
      <c r="NDR241" s="201"/>
      <c r="NDS241" s="201"/>
      <c r="NDT241" s="201"/>
      <c r="NDU241" s="201"/>
      <c r="NDV241" s="201"/>
      <c r="NDW241" s="201"/>
      <c r="NDX241" s="201"/>
      <c r="NDY241" s="201"/>
      <c r="NDZ241" s="201"/>
      <c r="NEA241" s="201"/>
      <c r="NEB241" s="201"/>
      <c r="NEC241" s="201"/>
      <c r="NED241" s="201"/>
      <c r="NEE241" s="201"/>
      <c r="NEF241" s="201"/>
      <c r="NEG241" s="201"/>
      <c r="NEH241" s="201"/>
      <c r="NEI241" s="201"/>
      <c r="NEJ241" s="201"/>
      <c r="NEK241" s="201"/>
      <c r="NEL241" s="201"/>
      <c r="NEM241" s="201"/>
      <c r="NEN241" s="201"/>
      <c r="NEO241" s="201"/>
      <c r="NEP241" s="201"/>
      <c r="NEQ241" s="201"/>
      <c r="NER241" s="201"/>
      <c r="NES241" s="201"/>
      <c r="NET241" s="201"/>
      <c r="NEU241" s="201"/>
      <c r="NEV241" s="201"/>
      <c r="NEW241" s="201"/>
      <c r="NEX241" s="201"/>
      <c r="NEY241" s="201"/>
      <c r="NEZ241" s="201"/>
      <c r="NFA241" s="201"/>
      <c r="NFB241" s="201"/>
      <c r="NFC241" s="201"/>
      <c r="NFD241" s="201"/>
      <c r="NFE241" s="201"/>
      <c r="NFF241" s="201"/>
      <c r="NFG241" s="201"/>
      <c r="NFH241" s="201"/>
      <c r="NFI241" s="201"/>
      <c r="NFJ241" s="201"/>
      <c r="NFK241" s="201"/>
      <c r="NFL241" s="201"/>
      <c r="NFM241" s="201"/>
      <c r="NFN241" s="201"/>
      <c r="NFO241" s="201"/>
      <c r="NFP241" s="201"/>
      <c r="NFQ241" s="201"/>
      <c r="NFR241" s="201"/>
      <c r="NFS241" s="201"/>
      <c r="NFT241" s="201"/>
      <c r="NFU241" s="201"/>
      <c r="NFV241" s="201"/>
      <c r="NFW241" s="201"/>
      <c r="NFX241" s="201"/>
      <c r="NFY241" s="201"/>
      <c r="NFZ241" s="201"/>
      <c r="NGA241" s="201"/>
      <c r="NGB241" s="201"/>
      <c r="NGC241" s="201"/>
      <c r="NGD241" s="201"/>
      <c r="NGE241" s="201"/>
      <c r="NGF241" s="201"/>
      <c r="NGG241" s="201"/>
      <c r="NGH241" s="201"/>
      <c r="NGI241" s="201"/>
      <c r="NGJ241" s="201"/>
      <c r="NGK241" s="201"/>
      <c r="NGL241" s="201"/>
      <c r="NGM241" s="201"/>
      <c r="NGN241" s="201"/>
      <c r="NGO241" s="201"/>
      <c r="NGP241" s="201"/>
      <c r="NGQ241" s="201"/>
      <c r="NGR241" s="201"/>
      <c r="NGS241" s="201"/>
      <c r="NGT241" s="201"/>
      <c r="NGU241" s="201"/>
      <c r="NGV241" s="201"/>
      <c r="NGW241" s="201"/>
      <c r="NGX241" s="201"/>
      <c r="NGY241" s="201"/>
      <c r="NGZ241" s="201"/>
      <c r="NHA241" s="201"/>
      <c r="NHB241" s="201"/>
      <c r="NHC241" s="201"/>
      <c r="NHD241" s="201"/>
      <c r="NHE241" s="201"/>
      <c r="NHF241" s="201"/>
      <c r="NHG241" s="201"/>
      <c r="NHH241" s="201"/>
      <c r="NHI241" s="201"/>
      <c r="NHJ241" s="201"/>
      <c r="NHK241" s="201"/>
      <c r="NHL241" s="201"/>
      <c r="NHM241" s="201"/>
      <c r="NHN241" s="201"/>
      <c r="NHO241" s="201"/>
      <c r="NHP241" s="201"/>
      <c r="NHQ241" s="201"/>
      <c r="NHR241" s="201"/>
      <c r="NHS241" s="201"/>
      <c r="NHT241" s="201"/>
      <c r="NHU241" s="201"/>
      <c r="NHV241" s="201"/>
      <c r="NHW241" s="201"/>
      <c r="NHX241" s="201"/>
      <c r="NHY241" s="201"/>
      <c r="NHZ241" s="201"/>
      <c r="NIA241" s="201"/>
      <c r="NIB241" s="201"/>
      <c r="NIC241" s="201"/>
      <c r="NID241" s="201"/>
      <c r="NIE241" s="201"/>
      <c r="NIF241" s="201"/>
      <c r="NIG241" s="201"/>
      <c r="NIH241" s="201"/>
      <c r="NII241" s="201"/>
      <c r="NIJ241" s="201"/>
      <c r="NIK241" s="201"/>
      <c r="NIL241" s="201"/>
      <c r="NIM241" s="201"/>
      <c r="NIN241" s="201"/>
      <c r="NIO241" s="201"/>
      <c r="NIP241" s="201"/>
      <c r="NIQ241" s="201"/>
      <c r="NIR241" s="201"/>
      <c r="NIS241" s="201"/>
      <c r="NIT241" s="201"/>
      <c r="NIU241" s="201"/>
      <c r="NIV241" s="201"/>
      <c r="NIW241" s="201"/>
      <c r="NIX241" s="201"/>
      <c r="NIY241" s="201"/>
      <c r="NIZ241" s="201"/>
      <c r="NJA241" s="201"/>
      <c r="NJB241" s="201"/>
      <c r="NJC241" s="201"/>
      <c r="NJD241" s="201"/>
      <c r="NJE241" s="201"/>
      <c r="NJF241" s="201"/>
      <c r="NJG241" s="201"/>
      <c r="NJH241" s="201"/>
      <c r="NJI241" s="201"/>
      <c r="NJJ241" s="201"/>
      <c r="NJK241" s="201"/>
      <c r="NJL241" s="201"/>
      <c r="NJM241" s="201"/>
      <c r="NJN241" s="201"/>
      <c r="NJO241" s="201"/>
      <c r="NJP241" s="201"/>
      <c r="NJQ241" s="201"/>
      <c r="NJR241" s="201"/>
      <c r="NJS241" s="201"/>
      <c r="NJT241" s="201"/>
      <c r="NJU241" s="201"/>
      <c r="NJV241" s="201"/>
      <c r="NJW241" s="201"/>
      <c r="NJX241" s="201"/>
      <c r="NJY241" s="201"/>
      <c r="NJZ241" s="201"/>
      <c r="NKA241" s="201"/>
      <c r="NKB241" s="201"/>
      <c r="NKC241" s="201"/>
      <c r="NKD241" s="201"/>
      <c r="NKE241" s="201"/>
      <c r="NKF241" s="201"/>
      <c r="NKG241" s="201"/>
      <c r="NKH241" s="201"/>
      <c r="NKI241" s="201"/>
      <c r="NKJ241" s="201"/>
      <c r="NKK241" s="201"/>
      <c r="NKL241" s="201"/>
      <c r="NKM241" s="201"/>
      <c r="NKN241" s="201"/>
      <c r="NKO241" s="201"/>
      <c r="NKP241" s="201"/>
      <c r="NKQ241" s="201"/>
      <c r="NKR241" s="201"/>
      <c r="NKS241" s="201"/>
      <c r="NKT241" s="201"/>
      <c r="NKU241" s="201"/>
      <c r="NKV241" s="201"/>
      <c r="NKW241" s="201"/>
      <c r="NKX241" s="201"/>
      <c r="NKY241" s="201"/>
      <c r="NKZ241" s="201"/>
      <c r="NLA241" s="201"/>
      <c r="NLB241" s="201"/>
      <c r="NLC241" s="201"/>
      <c r="NLD241" s="201"/>
      <c r="NLE241" s="201"/>
      <c r="NLF241" s="201"/>
      <c r="NLG241" s="201"/>
      <c r="NLH241" s="201"/>
      <c r="NLI241" s="201"/>
      <c r="NLJ241" s="201"/>
      <c r="NLK241" s="201"/>
      <c r="NLL241" s="201"/>
      <c r="NLM241" s="201"/>
      <c r="NLN241" s="201"/>
      <c r="NLO241" s="201"/>
      <c r="NLP241" s="201"/>
      <c r="NLQ241" s="201"/>
      <c r="NLR241" s="201"/>
      <c r="NLS241" s="201"/>
      <c r="NLT241" s="201"/>
      <c r="NLU241" s="201"/>
      <c r="NLV241" s="201"/>
      <c r="NLW241" s="201"/>
      <c r="NLX241" s="201"/>
      <c r="NLY241" s="201"/>
      <c r="NLZ241" s="201"/>
      <c r="NMA241" s="201"/>
      <c r="NMB241" s="201"/>
      <c r="NMC241" s="201"/>
      <c r="NMD241" s="201"/>
      <c r="NME241" s="201"/>
      <c r="NMF241" s="201"/>
      <c r="NMG241" s="201"/>
      <c r="NMH241" s="201"/>
      <c r="NMI241" s="201"/>
      <c r="NMJ241" s="201"/>
      <c r="NMK241" s="201"/>
      <c r="NML241" s="201"/>
      <c r="NMM241" s="201"/>
      <c r="NMN241" s="201"/>
      <c r="NMO241" s="201"/>
      <c r="NMP241" s="201"/>
      <c r="NMQ241" s="201"/>
      <c r="NMR241" s="201"/>
      <c r="NMS241" s="201"/>
      <c r="NMT241" s="201"/>
      <c r="NMU241" s="201"/>
      <c r="NMV241" s="201"/>
      <c r="NMW241" s="201"/>
      <c r="NMX241" s="201"/>
      <c r="NMY241" s="201"/>
      <c r="NMZ241" s="201"/>
      <c r="NNA241" s="201"/>
      <c r="NNB241" s="201"/>
      <c r="NNC241" s="201"/>
      <c r="NND241" s="201"/>
      <c r="NNE241" s="201"/>
      <c r="NNF241" s="201"/>
      <c r="NNG241" s="201"/>
      <c r="NNH241" s="201"/>
      <c r="NNI241" s="201"/>
      <c r="NNJ241" s="201"/>
      <c r="NNK241" s="201"/>
      <c r="NNL241" s="201"/>
      <c r="NNM241" s="201"/>
      <c r="NNN241" s="201"/>
      <c r="NNO241" s="201"/>
      <c r="NNP241" s="201"/>
      <c r="NNQ241" s="201"/>
      <c r="NNR241" s="201"/>
      <c r="NNS241" s="201"/>
      <c r="NNT241" s="201"/>
      <c r="NNU241" s="201"/>
      <c r="NNV241" s="201"/>
      <c r="NNW241" s="201"/>
      <c r="NNX241" s="201"/>
      <c r="NNY241" s="201"/>
      <c r="NNZ241" s="201"/>
      <c r="NOA241" s="201"/>
      <c r="NOB241" s="201"/>
      <c r="NOC241" s="201"/>
      <c r="NOD241" s="201"/>
      <c r="NOE241" s="201"/>
      <c r="NOF241" s="201"/>
      <c r="NOG241" s="201"/>
      <c r="NOH241" s="201"/>
      <c r="NOI241" s="201"/>
      <c r="NOJ241" s="201"/>
      <c r="NOK241" s="201"/>
      <c r="NOL241" s="201"/>
      <c r="NOM241" s="201"/>
      <c r="NON241" s="201"/>
      <c r="NOO241" s="201"/>
      <c r="NOP241" s="201"/>
      <c r="NOQ241" s="201"/>
      <c r="NOR241" s="201"/>
      <c r="NOS241" s="201"/>
      <c r="NOT241" s="201"/>
      <c r="NOU241" s="201"/>
      <c r="NOV241" s="201"/>
      <c r="NOW241" s="201"/>
      <c r="NOX241" s="201"/>
      <c r="NOY241" s="201"/>
      <c r="NOZ241" s="201"/>
      <c r="NPA241" s="201"/>
      <c r="NPB241" s="201"/>
      <c r="NPC241" s="201"/>
      <c r="NPD241" s="201"/>
      <c r="NPE241" s="201"/>
      <c r="NPF241" s="201"/>
      <c r="NPG241" s="201"/>
      <c r="NPH241" s="201"/>
      <c r="NPI241" s="201"/>
      <c r="NPJ241" s="201"/>
      <c r="NPK241" s="201"/>
      <c r="NPL241" s="201"/>
      <c r="NPM241" s="201"/>
      <c r="NPN241" s="201"/>
      <c r="NPO241" s="201"/>
      <c r="NPP241" s="201"/>
      <c r="NPQ241" s="201"/>
      <c r="NPR241" s="201"/>
      <c r="NPS241" s="201"/>
      <c r="NPT241" s="201"/>
      <c r="NPU241" s="201"/>
      <c r="NPV241" s="201"/>
      <c r="NPW241" s="201"/>
      <c r="NPX241" s="201"/>
      <c r="NPY241" s="201"/>
      <c r="NPZ241" s="201"/>
      <c r="NQA241" s="201"/>
      <c r="NQB241" s="201"/>
      <c r="NQC241" s="201"/>
      <c r="NQD241" s="201"/>
      <c r="NQE241" s="201"/>
      <c r="NQF241" s="201"/>
      <c r="NQG241" s="201"/>
      <c r="NQH241" s="201"/>
      <c r="NQI241" s="201"/>
      <c r="NQJ241" s="201"/>
      <c r="NQK241" s="201"/>
      <c r="NQL241" s="201"/>
      <c r="NQM241" s="201"/>
      <c r="NQN241" s="201"/>
      <c r="NQO241" s="201"/>
      <c r="NQP241" s="201"/>
      <c r="NQQ241" s="201"/>
      <c r="NQR241" s="201"/>
      <c r="NQS241" s="201"/>
      <c r="NQT241" s="201"/>
      <c r="NQU241" s="201"/>
      <c r="NQV241" s="201"/>
      <c r="NQW241" s="201"/>
      <c r="NQX241" s="201"/>
      <c r="NQY241" s="201"/>
      <c r="NQZ241" s="201"/>
      <c r="NRA241" s="201"/>
      <c r="NRB241" s="201"/>
      <c r="NRC241" s="201"/>
      <c r="NRD241" s="201"/>
      <c r="NRE241" s="201"/>
      <c r="NRF241" s="201"/>
      <c r="NRG241" s="201"/>
      <c r="NRH241" s="201"/>
      <c r="NRI241" s="201"/>
      <c r="NRJ241" s="201"/>
      <c r="NRK241" s="201"/>
      <c r="NRL241" s="201"/>
      <c r="NRM241" s="201"/>
      <c r="NRN241" s="201"/>
      <c r="NRO241" s="201"/>
      <c r="NRP241" s="201"/>
      <c r="NRQ241" s="201"/>
      <c r="NRR241" s="201"/>
      <c r="NRS241" s="201"/>
      <c r="NRT241" s="201"/>
      <c r="NRU241" s="201"/>
      <c r="NRV241" s="201"/>
      <c r="NRW241" s="201"/>
      <c r="NRX241" s="201"/>
      <c r="NRY241" s="201"/>
      <c r="NRZ241" s="201"/>
      <c r="NSA241" s="201"/>
      <c r="NSB241" s="201"/>
      <c r="NSC241" s="201"/>
      <c r="NSD241" s="201"/>
      <c r="NSE241" s="201"/>
      <c r="NSF241" s="201"/>
      <c r="NSG241" s="201"/>
      <c r="NSH241" s="201"/>
      <c r="NSI241" s="201"/>
      <c r="NSJ241" s="201"/>
      <c r="NSK241" s="201"/>
      <c r="NSL241" s="201"/>
      <c r="NSM241" s="201"/>
      <c r="NSN241" s="201"/>
      <c r="NSO241" s="201"/>
      <c r="NSP241" s="201"/>
      <c r="NSQ241" s="201"/>
      <c r="NSR241" s="201"/>
      <c r="NSS241" s="201"/>
      <c r="NST241" s="201"/>
      <c r="NSU241" s="201"/>
      <c r="NSV241" s="201"/>
      <c r="NSW241" s="201"/>
      <c r="NSX241" s="201"/>
      <c r="NSY241" s="201"/>
      <c r="NSZ241" s="201"/>
      <c r="NTA241" s="201"/>
      <c r="NTB241" s="201"/>
      <c r="NTC241" s="201"/>
      <c r="NTD241" s="201"/>
      <c r="NTE241" s="201"/>
      <c r="NTF241" s="201"/>
      <c r="NTG241" s="201"/>
      <c r="NTH241" s="201"/>
      <c r="NTI241" s="201"/>
      <c r="NTJ241" s="201"/>
      <c r="NTK241" s="201"/>
      <c r="NTL241" s="201"/>
      <c r="NTM241" s="201"/>
      <c r="NTN241" s="201"/>
      <c r="NTO241" s="201"/>
      <c r="NTP241" s="201"/>
      <c r="NTQ241" s="201"/>
      <c r="NTR241" s="201"/>
      <c r="NTS241" s="201"/>
      <c r="NTT241" s="201"/>
      <c r="NTU241" s="201"/>
      <c r="NTV241" s="201"/>
      <c r="NTW241" s="201"/>
      <c r="NTX241" s="201"/>
      <c r="NTY241" s="201"/>
      <c r="NTZ241" s="201"/>
      <c r="NUA241" s="201"/>
      <c r="NUB241" s="201"/>
      <c r="NUC241" s="201"/>
      <c r="NUD241" s="201"/>
      <c r="NUE241" s="201"/>
      <c r="NUF241" s="201"/>
      <c r="NUG241" s="201"/>
      <c r="NUH241" s="201"/>
      <c r="NUI241" s="201"/>
      <c r="NUJ241" s="201"/>
      <c r="NUK241" s="201"/>
      <c r="NUL241" s="201"/>
      <c r="NUM241" s="201"/>
      <c r="NUN241" s="201"/>
      <c r="NUO241" s="201"/>
      <c r="NUP241" s="201"/>
      <c r="NUQ241" s="201"/>
      <c r="NUR241" s="201"/>
      <c r="NUS241" s="201"/>
      <c r="NUT241" s="201"/>
      <c r="NUU241" s="201"/>
      <c r="NUV241" s="201"/>
      <c r="NUW241" s="201"/>
      <c r="NUX241" s="201"/>
      <c r="NUY241" s="201"/>
      <c r="NUZ241" s="201"/>
      <c r="NVA241" s="201"/>
      <c r="NVB241" s="201"/>
      <c r="NVC241" s="201"/>
      <c r="NVD241" s="201"/>
      <c r="NVE241" s="201"/>
      <c r="NVF241" s="201"/>
      <c r="NVG241" s="201"/>
      <c r="NVH241" s="201"/>
      <c r="NVI241" s="201"/>
      <c r="NVJ241" s="201"/>
      <c r="NVK241" s="201"/>
      <c r="NVL241" s="201"/>
      <c r="NVM241" s="201"/>
      <c r="NVN241" s="201"/>
      <c r="NVO241" s="201"/>
      <c r="NVP241" s="201"/>
      <c r="NVQ241" s="201"/>
      <c r="NVR241" s="201"/>
      <c r="NVS241" s="201"/>
      <c r="NVT241" s="201"/>
      <c r="NVU241" s="201"/>
      <c r="NVV241" s="201"/>
      <c r="NVW241" s="201"/>
      <c r="NVX241" s="201"/>
      <c r="NVY241" s="201"/>
      <c r="NVZ241" s="201"/>
      <c r="NWA241" s="201"/>
      <c r="NWB241" s="201"/>
      <c r="NWC241" s="201"/>
      <c r="NWD241" s="201"/>
      <c r="NWE241" s="201"/>
      <c r="NWF241" s="201"/>
      <c r="NWG241" s="201"/>
      <c r="NWH241" s="201"/>
      <c r="NWI241" s="201"/>
      <c r="NWJ241" s="201"/>
      <c r="NWK241" s="201"/>
      <c r="NWL241" s="201"/>
      <c r="NWM241" s="201"/>
      <c r="NWN241" s="201"/>
      <c r="NWO241" s="201"/>
      <c r="NWP241" s="201"/>
      <c r="NWQ241" s="201"/>
      <c r="NWR241" s="201"/>
      <c r="NWS241" s="201"/>
      <c r="NWT241" s="201"/>
      <c r="NWU241" s="201"/>
      <c r="NWV241" s="201"/>
      <c r="NWW241" s="201"/>
      <c r="NWX241" s="201"/>
      <c r="NWY241" s="201"/>
      <c r="NWZ241" s="201"/>
      <c r="NXA241" s="201"/>
      <c r="NXB241" s="201"/>
      <c r="NXC241" s="201"/>
      <c r="NXD241" s="201"/>
      <c r="NXE241" s="201"/>
      <c r="NXF241" s="201"/>
      <c r="NXG241" s="201"/>
      <c r="NXH241" s="201"/>
      <c r="NXI241" s="201"/>
      <c r="NXJ241" s="201"/>
      <c r="NXK241" s="201"/>
      <c r="NXL241" s="201"/>
      <c r="NXM241" s="201"/>
      <c r="NXN241" s="201"/>
      <c r="NXO241" s="201"/>
      <c r="NXP241" s="201"/>
      <c r="NXQ241" s="201"/>
      <c r="NXR241" s="201"/>
      <c r="NXS241" s="201"/>
      <c r="NXT241" s="201"/>
      <c r="NXU241" s="201"/>
      <c r="NXV241" s="201"/>
      <c r="NXW241" s="201"/>
      <c r="NXX241" s="201"/>
      <c r="NXY241" s="201"/>
      <c r="NXZ241" s="201"/>
      <c r="NYA241" s="201"/>
      <c r="NYB241" s="201"/>
      <c r="NYC241" s="201"/>
      <c r="NYD241" s="201"/>
      <c r="NYE241" s="201"/>
      <c r="NYF241" s="201"/>
      <c r="NYG241" s="201"/>
      <c r="NYH241" s="201"/>
      <c r="NYI241" s="201"/>
      <c r="NYJ241" s="201"/>
      <c r="NYK241" s="201"/>
      <c r="NYL241" s="201"/>
      <c r="NYM241" s="201"/>
      <c r="NYN241" s="201"/>
      <c r="NYO241" s="201"/>
      <c r="NYP241" s="201"/>
      <c r="NYQ241" s="201"/>
      <c r="NYR241" s="201"/>
      <c r="NYS241" s="201"/>
      <c r="NYT241" s="201"/>
      <c r="NYU241" s="201"/>
      <c r="NYV241" s="201"/>
      <c r="NYW241" s="201"/>
      <c r="NYX241" s="201"/>
      <c r="NYY241" s="201"/>
      <c r="NYZ241" s="201"/>
      <c r="NZA241" s="201"/>
      <c r="NZB241" s="201"/>
      <c r="NZC241" s="201"/>
      <c r="NZD241" s="201"/>
      <c r="NZE241" s="201"/>
      <c r="NZF241" s="201"/>
      <c r="NZG241" s="201"/>
      <c r="NZH241" s="201"/>
      <c r="NZI241" s="201"/>
      <c r="NZJ241" s="201"/>
      <c r="NZK241" s="201"/>
      <c r="NZL241" s="201"/>
      <c r="NZM241" s="201"/>
      <c r="NZN241" s="201"/>
      <c r="NZO241" s="201"/>
      <c r="NZP241" s="201"/>
      <c r="NZQ241" s="201"/>
      <c r="NZR241" s="201"/>
      <c r="NZS241" s="201"/>
      <c r="NZT241" s="201"/>
      <c r="NZU241" s="201"/>
      <c r="NZV241" s="201"/>
      <c r="NZW241" s="201"/>
      <c r="NZX241" s="201"/>
      <c r="NZY241" s="201"/>
      <c r="NZZ241" s="201"/>
      <c r="OAA241" s="201"/>
      <c r="OAB241" s="201"/>
      <c r="OAC241" s="201"/>
      <c r="OAD241" s="201"/>
      <c r="OAE241" s="201"/>
      <c r="OAF241" s="201"/>
      <c r="OAG241" s="201"/>
      <c r="OAH241" s="201"/>
      <c r="OAI241" s="201"/>
      <c r="OAJ241" s="201"/>
      <c r="OAK241" s="201"/>
      <c r="OAL241" s="201"/>
      <c r="OAM241" s="201"/>
      <c r="OAN241" s="201"/>
      <c r="OAO241" s="201"/>
      <c r="OAP241" s="201"/>
      <c r="OAQ241" s="201"/>
      <c r="OAR241" s="201"/>
      <c r="OAS241" s="201"/>
      <c r="OAT241" s="201"/>
      <c r="OAU241" s="201"/>
      <c r="OAV241" s="201"/>
      <c r="OAW241" s="201"/>
      <c r="OAX241" s="201"/>
      <c r="OAY241" s="201"/>
      <c r="OAZ241" s="201"/>
      <c r="OBA241" s="201"/>
      <c r="OBB241" s="201"/>
      <c r="OBC241" s="201"/>
      <c r="OBD241" s="201"/>
      <c r="OBE241" s="201"/>
      <c r="OBF241" s="201"/>
      <c r="OBG241" s="201"/>
      <c r="OBH241" s="201"/>
      <c r="OBI241" s="201"/>
      <c r="OBJ241" s="201"/>
      <c r="OBK241" s="201"/>
      <c r="OBL241" s="201"/>
      <c r="OBM241" s="201"/>
      <c r="OBN241" s="201"/>
      <c r="OBO241" s="201"/>
      <c r="OBP241" s="201"/>
      <c r="OBQ241" s="201"/>
      <c r="OBR241" s="201"/>
      <c r="OBS241" s="201"/>
      <c r="OBT241" s="201"/>
      <c r="OBU241" s="201"/>
      <c r="OBV241" s="201"/>
      <c r="OBW241" s="201"/>
      <c r="OBX241" s="201"/>
      <c r="OBY241" s="201"/>
      <c r="OBZ241" s="201"/>
      <c r="OCA241" s="201"/>
      <c r="OCB241" s="201"/>
      <c r="OCC241" s="201"/>
      <c r="OCD241" s="201"/>
      <c r="OCE241" s="201"/>
      <c r="OCF241" s="201"/>
      <c r="OCG241" s="201"/>
      <c r="OCH241" s="201"/>
      <c r="OCI241" s="201"/>
      <c r="OCJ241" s="201"/>
      <c r="OCK241" s="201"/>
      <c r="OCL241" s="201"/>
      <c r="OCM241" s="201"/>
      <c r="OCN241" s="201"/>
      <c r="OCO241" s="201"/>
      <c r="OCP241" s="201"/>
      <c r="OCQ241" s="201"/>
      <c r="OCR241" s="201"/>
      <c r="OCS241" s="201"/>
      <c r="OCT241" s="201"/>
      <c r="OCU241" s="201"/>
      <c r="OCV241" s="201"/>
      <c r="OCW241" s="201"/>
      <c r="OCX241" s="201"/>
      <c r="OCY241" s="201"/>
      <c r="OCZ241" s="201"/>
      <c r="ODA241" s="201"/>
      <c r="ODB241" s="201"/>
      <c r="ODC241" s="201"/>
      <c r="ODD241" s="201"/>
      <c r="ODE241" s="201"/>
      <c r="ODF241" s="201"/>
      <c r="ODG241" s="201"/>
      <c r="ODH241" s="201"/>
      <c r="ODI241" s="201"/>
      <c r="ODJ241" s="201"/>
      <c r="ODK241" s="201"/>
      <c r="ODL241" s="201"/>
      <c r="ODM241" s="201"/>
      <c r="ODN241" s="201"/>
      <c r="ODO241" s="201"/>
      <c r="ODP241" s="201"/>
      <c r="ODQ241" s="201"/>
      <c r="ODR241" s="201"/>
      <c r="ODS241" s="201"/>
      <c r="ODT241" s="201"/>
      <c r="ODU241" s="201"/>
      <c r="ODV241" s="201"/>
      <c r="ODW241" s="201"/>
      <c r="ODX241" s="201"/>
      <c r="ODY241" s="201"/>
      <c r="ODZ241" s="201"/>
      <c r="OEA241" s="201"/>
      <c r="OEB241" s="201"/>
      <c r="OEC241" s="201"/>
      <c r="OED241" s="201"/>
      <c r="OEE241" s="201"/>
      <c r="OEF241" s="201"/>
      <c r="OEG241" s="201"/>
      <c r="OEH241" s="201"/>
      <c r="OEI241" s="201"/>
      <c r="OEJ241" s="201"/>
      <c r="OEK241" s="201"/>
      <c r="OEL241" s="201"/>
      <c r="OEM241" s="201"/>
      <c r="OEN241" s="201"/>
      <c r="OEO241" s="201"/>
      <c r="OEP241" s="201"/>
      <c r="OEQ241" s="201"/>
      <c r="OER241" s="201"/>
      <c r="OES241" s="201"/>
      <c r="OET241" s="201"/>
      <c r="OEU241" s="201"/>
      <c r="OEV241" s="201"/>
      <c r="OEW241" s="201"/>
      <c r="OEX241" s="201"/>
      <c r="OEY241" s="201"/>
      <c r="OEZ241" s="201"/>
      <c r="OFA241" s="201"/>
      <c r="OFB241" s="201"/>
      <c r="OFC241" s="201"/>
      <c r="OFD241" s="201"/>
      <c r="OFE241" s="201"/>
      <c r="OFF241" s="201"/>
      <c r="OFG241" s="201"/>
      <c r="OFH241" s="201"/>
      <c r="OFI241" s="201"/>
      <c r="OFJ241" s="201"/>
      <c r="OFK241" s="201"/>
      <c r="OFL241" s="201"/>
      <c r="OFM241" s="201"/>
      <c r="OFN241" s="201"/>
      <c r="OFO241" s="201"/>
      <c r="OFP241" s="201"/>
      <c r="OFQ241" s="201"/>
      <c r="OFR241" s="201"/>
      <c r="OFS241" s="201"/>
      <c r="OFT241" s="201"/>
      <c r="OFU241" s="201"/>
      <c r="OFV241" s="201"/>
      <c r="OFW241" s="201"/>
      <c r="OFX241" s="201"/>
      <c r="OFY241" s="201"/>
      <c r="OFZ241" s="201"/>
      <c r="OGA241" s="201"/>
      <c r="OGB241" s="201"/>
      <c r="OGC241" s="201"/>
      <c r="OGD241" s="201"/>
      <c r="OGE241" s="201"/>
      <c r="OGF241" s="201"/>
      <c r="OGG241" s="201"/>
      <c r="OGH241" s="201"/>
      <c r="OGI241" s="201"/>
      <c r="OGJ241" s="201"/>
      <c r="OGK241" s="201"/>
      <c r="OGL241" s="201"/>
      <c r="OGM241" s="201"/>
      <c r="OGN241" s="201"/>
      <c r="OGO241" s="201"/>
      <c r="OGP241" s="201"/>
      <c r="OGQ241" s="201"/>
      <c r="OGR241" s="201"/>
      <c r="OGS241" s="201"/>
      <c r="OGT241" s="201"/>
      <c r="OGU241" s="201"/>
      <c r="OGV241" s="201"/>
      <c r="OGW241" s="201"/>
      <c r="OGX241" s="201"/>
      <c r="OGY241" s="201"/>
      <c r="OGZ241" s="201"/>
      <c r="OHA241" s="201"/>
      <c r="OHB241" s="201"/>
      <c r="OHC241" s="201"/>
      <c r="OHD241" s="201"/>
      <c r="OHE241" s="201"/>
      <c r="OHF241" s="201"/>
      <c r="OHG241" s="201"/>
      <c r="OHH241" s="201"/>
      <c r="OHI241" s="201"/>
      <c r="OHJ241" s="201"/>
      <c r="OHK241" s="201"/>
      <c r="OHL241" s="201"/>
      <c r="OHM241" s="201"/>
      <c r="OHN241" s="201"/>
      <c r="OHO241" s="201"/>
      <c r="OHP241" s="201"/>
      <c r="OHQ241" s="201"/>
      <c r="OHR241" s="201"/>
      <c r="OHS241" s="201"/>
      <c r="OHT241" s="201"/>
      <c r="OHU241" s="201"/>
      <c r="OHV241" s="201"/>
      <c r="OHW241" s="201"/>
      <c r="OHX241" s="201"/>
      <c r="OHY241" s="201"/>
      <c r="OHZ241" s="201"/>
      <c r="OIA241" s="201"/>
      <c r="OIB241" s="201"/>
      <c r="OIC241" s="201"/>
      <c r="OID241" s="201"/>
      <c r="OIE241" s="201"/>
      <c r="OIF241" s="201"/>
      <c r="OIG241" s="201"/>
      <c r="OIH241" s="201"/>
      <c r="OII241" s="201"/>
      <c r="OIJ241" s="201"/>
      <c r="OIK241" s="201"/>
      <c r="OIL241" s="201"/>
      <c r="OIM241" s="201"/>
      <c r="OIN241" s="201"/>
      <c r="OIO241" s="201"/>
      <c r="OIP241" s="201"/>
      <c r="OIQ241" s="201"/>
      <c r="OIR241" s="201"/>
      <c r="OIS241" s="201"/>
      <c r="OIT241" s="201"/>
      <c r="OIU241" s="201"/>
      <c r="OIV241" s="201"/>
      <c r="OIW241" s="201"/>
      <c r="OIX241" s="201"/>
      <c r="OIY241" s="201"/>
      <c r="OIZ241" s="201"/>
      <c r="OJA241" s="201"/>
      <c r="OJB241" s="201"/>
      <c r="OJC241" s="201"/>
      <c r="OJD241" s="201"/>
      <c r="OJE241" s="201"/>
      <c r="OJF241" s="201"/>
      <c r="OJG241" s="201"/>
      <c r="OJH241" s="201"/>
      <c r="OJI241" s="201"/>
      <c r="OJJ241" s="201"/>
      <c r="OJK241" s="201"/>
      <c r="OJL241" s="201"/>
      <c r="OJM241" s="201"/>
      <c r="OJN241" s="201"/>
      <c r="OJO241" s="201"/>
      <c r="OJP241" s="201"/>
      <c r="OJQ241" s="201"/>
      <c r="OJR241" s="201"/>
      <c r="OJS241" s="201"/>
      <c r="OJT241" s="201"/>
      <c r="OJU241" s="201"/>
      <c r="OJV241" s="201"/>
      <c r="OJW241" s="201"/>
      <c r="OJX241" s="201"/>
      <c r="OJY241" s="201"/>
      <c r="OJZ241" s="201"/>
      <c r="OKA241" s="201"/>
      <c r="OKB241" s="201"/>
      <c r="OKC241" s="201"/>
      <c r="OKD241" s="201"/>
      <c r="OKE241" s="201"/>
      <c r="OKF241" s="201"/>
      <c r="OKG241" s="201"/>
      <c r="OKH241" s="201"/>
      <c r="OKI241" s="201"/>
      <c r="OKJ241" s="201"/>
      <c r="OKK241" s="201"/>
      <c r="OKL241" s="201"/>
      <c r="OKM241" s="201"/>
      <c r="OKN241" s="201"/>
      <c r="OKO241" s="201"/>
      <c r="OKP241" s="201"/>
      <c r="OKQ241" s="201"/>
      <c r="OKR241" s="201"/>
      <c r="OKS241" s="201"/>
      <c r="OKT241" s="201"/>
      <c r="OKU241" s="201"/>
      <c r="OKV241" s="201"/>
      <c r="OKW241" s="201"/>
      <c r="OKX241" s="201"/>
      <c r="OKY241" s="201"/>
      <c r="OKZ241" s="201"/>
      <c r="OLA241" s="201"/>
      <c r="OLB241" s="201"/>
      <c r="OLC241" s="201"/>
      <c r="OLD241" s="201"/>
      <c r="OLE241" s="201"/>
      <c r="OLF241" s="201"/>
      <c r="OLG241" s="201"/>
      <c r="OLH241" s="201"/>
      <c r="OLI241" s="201"/>
      <c r="OLJ241" s="201"/>
      <c r="OLK241" s="201"/>
      <c r="OLL241" s="201"/>
      <c r="OLM241" s="201"/>
      <c r="OLN241" s="201"/>
      <c r="OLO241" s="201"/>
      <c r="OLP241" s="201"/>
      <c r="OLQ241" s="201"/>
      <c r="OLR241" s="201"/>
      <c r="OLS241" s="201"/>
      <c r="OLT241" s="201"/>
      <c r="OLU241" s="201"/>
      <c r="OLV241" s="201"/>
      <c r="OLW241" s="201"/>
      <c r="OLX241" s="201"/>
      <c r="OLY241" s="201"/>
      <c r="OLZ241" s="201"/>
      <c r="OMA241" s="201"/>
      <c r="OMB241" s="201"/>
      <c r="OMC241" s="201"/>
      <c r="OMD241" s="201"/>
      <c r="OME241" s="201"/>
      <c r="OMF241" s="201"/>
      <c r="OMG241" s="201"/>
      <c r="OMH241" s="201"/>
      <c r="OMI241" s="201"/>
      <c r="OMJ241" s="201"/>
      <c r="OMK241" s="201"/>
      <c r="OML241" s="201"/>
      <c r="OMM241" s="201"/>
      <c r="OMN241" s="201"/>
      <c r="OMO241" s="201"/>
      <c r="OMP241" s="201"/>
      <c r="OMQ241" s="201"/>
      <c r="OMR241" s="201"/>
      <c r="OMS241" s="201"/>
      <c r="OMT241" s="201"/>
      <c r="OMU241" s="201"/>
      <c r="OMV241" s="201"/>
      <c r="OMW241" s="201"/>
      <c r="OMX241" s="201"/>
      <c r="OMY241" s="201"/>
      <c r="OMZ241" s="201"/>
      <c r="ONA241" s="201"/>
      <c r="ONB241" s="201"/>
      <c r="ONC241" s="201"/>
      <c r="OND241" s="201"/>
      <c r="ONE241" s="201"/>
      <c r="ONF241" s="201"/>
      <c r="ONG241" s="201"/>
      <c r="ONH241" s="201"/>
      <c r="ONI241" s="201"/>
      <c r="ONJ241" s="201"/>
      <c r="ONK241" s="201"/>
      <c r="ONL241" s="201"/>
      <c r="ONM241" s="201"/>
      <c r="ONN241" s="201"/>
      <c r="ONO241" s="201"/>
      <c r="ONP241" s="201"/>
      <c r="ONQ241" s="201"/>
      <c r="ONR241" s="201"/>
      <c r="ONS241" s="201"/>
      <c r="ONT241" s="201"/>
      <c r="ONU241" s="201"/>
      <c r="ONV241" s="201"/>
      <c r="ONW241" s="201"/>
      <c r="ONX241" s="201"/>
      <c r="ONY241" s="201"/>
      <c r="ONZ241" s="201"/>
      <c r="OOA241" s="201"/>
      <c r="OOB241" s="201"/>
      <c r="OOC241" s="201"/>
      <c r="OOD241" s="201"/>
      <c r="OOE241" s="201"/>
      <c r="OOF241" s="201"/>
      <c r="OOG241" s="201"/>
      <c r="OOH241" s="201"/>
      <c r="OOI241" s="201"/>
      <c r="OOJ241" s="201"/>
      <c r="OOK241" s="201"/>
      <c r="OOL241" s="201"/>
      <c r="OOM241" s="201"/>
      <c r="OON241" s="201"/>
      <c r="OOO241" s="201"/>
      <c r="OOP241" s="201"/>
      <c r="OOQ241" s="201"/>
      <c r="OOR241" s="201"/>
      <c r="OOS241" s="201"/>
      <c r="OOT241" s="201"/>
      <c r="OOU241" s="201"/>
      <c r="OOV241" s="201"/>
      <c r="OOW241" s="201"/>
      <c r="OOX241" s="201"/>
      <c r="OOY241" s="201"/>
      <c r="OOZ241" s="201"/>
      <c r="OPA241" s="201"/>
      <c r="OPB241" s="201"/>
      <c r="OPC241" s="201"/>
      <c r="OPD241" s="201"/>
      <c r="OPE241" s="201"/>
      <c r="OPF241" s="201"/>
      <c r="OPG241" s="201"/>
      <c r="OPH241" s="201"/>
      <c r="OPI241" s="201"/>
      <c r="OPJ241" s="201"/>
      <c r="OPK241" s="201"/>
      <c r="OPL241" s="201"/>
      <c r="OPM241" s="201"/>
      <c r="OPN241" s="201"/>
      <c r="OPO241" s="201"/>
      <c r="OPP241" s="201"/>
      <c r="OPQ241" s="201"/>
      <c r="OPR241" s="201"/>
      <c r="OPS241" s="201"/>
      <c r="OPT241" s="201"/>
      <c r="OPU241" s="201"/>
      <c r="OPV241" s="201"/>
      <c r="OPW241" s="201"/>
      <c r="OPX241" s="201"/>
      <c r="OPY241" s="201"/>
      <c r="OPZ241" s="201"/>
      <c r="OQA241" s="201"/>
      <c r="OQB241" s="201"/>
      <c r="OQC241" s="201"/>
      <c r="OQD241" s="201"/>
      <c r="OQE241" s="201"/>
      <c r="OQF241" s="201"/>
      <c r="OQG241" s="201"/>
      <c r="OQH241" s="201"/>
      <c r="OQI241" s="201"/>
      <c r="OQJ241" s="201"/>
      <c r="OQK241" s="201"/>
      <c r="OQL241" s="201"/>
      <c r="OQM241" s="201"/>
      <c r="OQN241" s="201"/>
      <c r="OQO241" s="201"/>
      <c r="OQP241" s="201"/>
      <c r="OQQ241" s="201"/>
      <c r="OQR241" s="201"/>
      <c r="OQS241" s="201"/>
      <c r="OQT241" s="201"/>
      <c r="OQU241" s="201"/>
      <c r="OQV241" s="201"/>
      <c r="OQW241" s="201"/>
      <c r="OQX241" s="201"/>
      <c r="OQY241" s="201"/>
      <c r="OQZ241" s="201"/>
      <c r="ORA241" s="201"/>
      <c r="ORB241" s="201"/>
      <c r="ORC241" s="201"/>
      <c r="ORD241" s="201"/>
      <c r="ORE241" s="201"/>
      <c r="ORF241" s="201"/>
      <c r="ORG241" s="201"/>
      <c r="ORH241" s="201"/>
      <c r="ORI241" s="201"/>
      <c r="ORJ241" s="201"/>
      <c r="ORK241" s="201"/>
      <c r="ORL241" s="201"/>
      <c r="ORM241" s="201"/>
      <c r="ORN241" s="201"/>
      <c r="ORO241" s="201"/>
      <c r="ORP241" s="201"/>
      <c r="ORQ241" s="201"/>
      <c r="ORR241" s="201"/>
      <c r="ORS241" s="201"/>
      <c r="ORT241" s="201"/>
      <c r="ORU241" s="201"/>
      <c r="ORV241" s="201"/>
      <c r="ORW241" s="201"/>
      <c r="ORX241" s="201"/>
      <c r="ORY241" s="201"/>
      <c r="ORZ241" s="201"/>
      <c r="OSA241" s="201"/>
      <c r="OSB241" s="201"/>
      <c r="OSC241" s="201"/>
      <c r="OSD241" s="201"/>
      <c r="OSE241" s="201"/>
      <c r="OSF241" s="201"/>
      <c r="OSG241" s="201"/>
      <c r="OSH241" s="201"/>
      <c r="OSI241" s="201"/>
      <c r="OSJ241" s="201"/>
      <c r="OSK241" s="201"/>
      <c r="OSL241" s="201"/>
      <c r="OSM241" s="201"/>
      <c r="OSN241" s="201"/>
      <c r="OSO241" s="201"/>
      <c r="OSP241" s="201"/>
      <c r="OSQ241" s="201"/>
      <c r="OSR241" s="201"/>
      <c r="OSS241" s="201"/>
      <c r="OST241" s="201"/>
      <c r="OSU241" s="201"/>
      <c r="OSV241" s="201"/>
      <c r="OSW241" s="201"/>
      <c r="OSX241" s="201"/>
      <c r="OSY241" s="201"/>
      <c r="OSZ241" s="201"/>
      <c r="OTA241" s="201"/>
      <c r="OTB241" s="201"/>
      <c r="OTC241" s="201"/>
      <c r="OTD241" s="201"/>
      <c r="OTE241" s="201"/>
      <c r="OTF241" s="201"/>
      <c r="OTG241" s="201"/>
      <c r="OTH241" s="201"/>
      <c r="OTI241" s="201"/>
      <c r="OTJ241" s="201"/>
      <c r="OTK241" s="201"/>
      <c r="OTL241" s="201"/>
      <c r="OTM241" s="201"/>
      <c r="OTN241" s="201"/>
      <c r="OTO241" s="201"/>
      <c r="OTP241" s="201"/>
      <c r="OTQ241" s="201"/>
      <c r="OTR241" s="201"/>
      <c r="OTS241" s="201"/>
      <c r="OTT241" s="201"/>
      <c r="OTU241" s="201"/>
      <c r="OTV241" s="201"/>
      <c r="OTW241" s="201"/>
      <c r="OTX241" s="201"/>
      <c r="OTY241" s="201"/>
      <c r="OTZ241" s="201"/>
      <c r="OUA241" s="201"/>
      <c r="OUB241" s="201"/>
      <c r="OUC241" s="201"/>
      <c r="OUD241" s="201"/>
      <c r="OUE241" s="201"/>
      <c r="OUF241" s="201"/>
      <c r="OUG241" s="201"/>
      <c r="OUH241" s="201"/>
      <c r="OUI241" s="201"/>
      <c r="OUJ241" s="201"/>
      <c r="OUK241" s="201"/>
      <c r="OUL241" s="201"/>
      <c r="OUM241" s="201"/>
      <c r="OUN241" s="201"/>
      <c r="OUO241" s="201"/>
      <c r="OUP241" s="201"/>
      <c r="OUQ241" s="201"/>
      <c r="OUR241" s="201"/>
      <c r="OUS241" s="201"/>
      <c r="OUT241" s="201"/>
      <c r="OUU241" s="201"/>
      <c r="OUV241" s="201"/>
      <c r="OUW241" s="201"/>
      <c r="OUX241" s="201"/>
      <c r="OUY241" s="201"/>
      <c r="OUZ241" s="201"/>
      <c r="OVA241" s="201"/>
      <c r="OVB241" s="201"/>
      <c r="OVC241" s="201"/>
      <c r="OVD241" s="201"/>
      <c r="OVE241" s="201"/>
      <c r="OVF241" s="201"/>
      <c r="OVG241" s="201"/>
      <c r="OVH241" s="201"/>
      <c r="OVI241" s="201"/>
      <c r="OVJ241" s="201"/>
      <c r="OVK241" s="201"/>
      <c r="OVL241" s="201"/>
      <c r="OVM241" s="201"/>
      <c r="OVN241" s="201"/>
      <c r="OVO241" s="201"/>
      <c r="OVP241" s="201"/>
      <c r="OVQ241" s="201"/>
      <c r="OVR241" s="201"/>
      <c r="OVS241" s="201"/>
      <c r="OVT241" s="201"/>
      <c r="OVU241" s="201"/>
      <c r="OVV241" s="201"/>
      <c r="OVW241" s="201"/>
      <c r="OVX241" s="201"/>
      <c r="OVY241" s="201"/>
      <c r="OVZ241" s="201"/>
      <c r="OWA241" s="201"/>
      <c r="OWB241" s="201"/>
      <c r="OWC241" s="201"/>
      <c r="OWD241" s="201"/>
      <c r="OWE241" s="201"/>
      <c r="OWF241" s="201"/>
      <c r="OWG241" s="201"/>
      <c r="OWH241" s="201"/>
      <c r="OWI241" s="201"/>
      <c r="OWJ241" s="201"/>
      <c r="OWK241" s="201"/>
      <c r="OWL241" s="201"/>
      <c r="OWM241" s="201"/>
      <c r="OWN241" s="201"/>
      <c r="OWO241" s="201"/>
      <c r="OWP241" s="201"/>
      <c r="OWQ241" s="201"/>
      <c r="OWR241" s="201"/>
      <c r="OWS241" s="201"/>
      <c r="OWT241" s="201"/>
      <c r="OWU241" s="201"/>
      <c r="OWV241" s="201"/>
      <c r="OWW241" s="201"/>
      <c r="OWX241" s="201"/>
      <c r="OWY241" s="201"/>
      <c r="OWZ241" s="201"/>
      <c r="OXA241" s="201"/>
      <c r="OXB241" s="201"/>
      <c r="OXC241" s="201"/>
      <c r="OXD241" s="201"/>
      <c r="OXE241" s="201"/>
      <c r="OXF241" s="201"/>
      <c r="OXG241" s="201"/>
      <c r="OXH241" s="201"/>
      <c r="OXI241" s="201"/>
      <c r="OXJ241" s="201"/>
      <c r="OXK241" s="201"/>
      <c r="OXL241" s="201"/>
      <c r="OXM241" s="201"/>
      <c r="OXN241" s="201"/>
      <c r="OXO241" s="201"/>
      <c r="OXP241" s="201"/>
      <c r="OXQ241" s="201"/>
      <c r="OXR241" s="201"/>
      <c r="OXS241" s="201"/>
      <c r="OXT241" s="201"/>
      <c r="OXU241" s="201"/>
      <c r="OXV241" s="201"/>
      <c r="OXW241" s="201"/>
      <c r="OXX241" s="201"/>
      <c r="OXY241" s="201"/>
      <c r="OXZ241" s="201"/>
      <c r="OYA241" s="201"/>
      <c r="OYB241" s="201"/>
      <c r="OYC241" s="201"/>
      <c r="OYD241" s="201"/>
      <c r="OYE241" s="201"/>
      <c r="OYF241" s="201"/>
      <c r="OYG241" s="201"/>
      <c r="OYH241" s="201"/>
      <c r="OYI241" s="201"/>
      <c r="OYJ241" s="201"/>
      <c r="OYK241" s="201"/>
      <c r="OYL241" s="201"/>
      <c r="OYM241" s="201"/>
      <c r="OYN241" s="201"/>
      <c r="OYO241" s="201"/>
      <c r="OYP241" s="201"/>
      <c r="OYQ241" s="201"/>
      <c r="OYR241" s="201"/>
      <c r="OYS241" s="201"/>
      <c r="OYT241" s="201"/>
      <c r="OYU241" s="201"/>
      <c r="OYV241" s="201"/>
      <c r="OYW241" s="201"/>
      <c r="OYX241" s="201"/>
      <c r="OYY241" s="201"/>
      <c r="OYZ241" s="201"/>
      <c r="OZA241" s="201"/>
      <c r="OZB241" s="201"/>
      <c r="OZC241" s="201"/>
      <c r="OZD241" s="201"/>
      <c r="OZE241" s="201"/>
      <c r="OZF241" s="201"/>
      <c r="OZG241" s="201"/>
      <c r="OZH241" s="201"/>
      <c r="OZI241" s="201"/>
      <c r="OZJ241" s="201"/>
      <c r="OZK241" s="201"/>
      <c r="OZL241" s="201"/>
      <c r="OZM241" s="201"/>
      <c r="OZN241" s="201"/>
      <c r="OZO241" s="201"/>
      <c r="OZP241" s="201"/>
      <c r="OZQ241" s="201"/>
      <c r="OZR241" s="201"/>
      <c r="OZS241" s="201"/>
      <c r="OZT241" s="201"/>
      <c r="OZU241" s="201"/>
      <c r="OZV241" s="201"/>
      <c r="OZW241" s="201"/>
      <c r="OZX241" s="201"/>
      <c r="OZY241" s="201"/>
      <c r="OZZ241" s="201"/>
      <c r="PAA241" s="201"/>
      <c r="PAB241" s="201"/>
      <c r="PAC241" s="201"/>
      <c r="PAD241" s="201"/>
      <c r="PAE241" s="201"/>
      <c r="PAF241" s="201"/>
      <c r="PAG241" s="201"/>
      <c r="PAH241" s="201"/>
      <c r="PAI241" s="201"/>
      <c r="PAJ241" s="201"/>
      <c r="PAK241" s="201"/>
      <c r="PAL241" s="201"/>
      <c r="PAM241" s="201"/>
      <c r="PAN241" s="201"/>
      <c r="PAO241" s="201"/>
      <c r="PAP241" s="201"/>
      <c r="PAQ241" s="201"/>
      <c r="PAR241" s="201"/>
      <c r="PAS241" s="201"/>
      <c r="PAT241" s="201"/>
      <c r="PAU241" s="201"/>
      <c r="PAV241" s="201"/>
      <c r="PAW241" s="201"/>
      <c r="PAX241" s="201"/>
      <c r="PAY241" s="201"/>
      <c r="PAZ241" s="201"/>
      <c r="PBA241" s="201"/>
      <c r="PBB241" s="201"/>
      <c r="PBC241" s="201"/>
      <c r="PBD241" s="201"/>
      <c r="PBE241" s="201"/>
      <c r="PBF241" s="201"/>
      <c r="PBG241" s="201"/>
      <c r="PBH241" s="201"/>
      <c r="PBI241" s="201"/>
      <c r="PBJ241" s="201"/>
      <c r="PBK241" s="201"/>
      <c r="PBL241" s="201"/>
      <c r="PBM241" s="201"/>
      <c r="PBN241" s="201"/>
      <c r="PBO241" s="201"/>
      <c r="PBP241" s="201"/>
      <c r="PBQ241" s="201"/>
      <c r="PBR241" s="201"/>
      <c r="PBS241" s="201"/>
      <c r="PBT241" s="201"/>
      <c r="PBU241" s="201"/>
      <c r="PBV241" s="201"/>
      <c r="PBW241" s="201"/>
      <c r="PBX241" s="201"/>
      <c r="PBY241" s="201"/>
      <c r="PBZ241" s="201"/>
      <c r="PCA241" s="201"/>
      <c r="PCB241" s="201"/>
      <c r="PCC241" s="201"/>
      <c r="PCD241" s="201"/>
      <c r="PCE241" s="201"/>
      <c r="PCF241" s="201"/>
      <c r="PCG241" s="201"/>
      <c r="PCH241" s="201"/>
      <c r="PCI241" s="201"/>
      <c r="PCJ241" s="201"/>
      <c r="PCK241" s="201"/>
      <c r="PCL241" s="201"/>
      <c r="PCM241" s="201"/>
      <c r="PCN241" s="201"/>
      <c r="PCO241" s="201"/>
      <c r="PCP241" s="201"/>
      <c r="PCQ241" s="201"/>
      <c r="PCR241" s="201"/>
      <c r="PCS241" s="201"/>
      <c r="PCT241" s="201"/>
      <c r="PCU241" s="201"/>
      <c r="PCV241" s="201"/>
      <c r="PCW241" s="201"/>
      <c r="PCX241" s="201"/>
      <c r="PCY241" s="201"/>
      <c r="PCZ241" s="201"/>
      <c r="PDA241" s="201"/>
      <c r="PDB241" s="201"/>
      <c r="PDC241" s="201"/>
      <c r="PDD241" s="201"/>
      <c r="PDE241" s="201"/>
      <c r="PDF241" s="201"/>
      <c r="PDG241" s="201"/>
      <c r="PDH241" s="201"/>
      <c r="PDI241" s="201"/>
      <c r="PDJ241" s="201"/>
      <c r="PDK241" s="201"/>
      <c r="PDL241" s="201"/>
      <c r="PDM241" s="201"/>
      <c r="PDN241" s="201"/>
      <c r="PDO241" s="201"/>
      <c r="PDP241" s="201"/>
      <c r="PDQ241" s="201"/>
      <c r="PDR241" s="201"/>
      <c r="PDS241" s="201"/>
      <c r="PDT241" s="201"/>
      <c r="PDU241" s="201"/>
      <c r="PDV241" s="201"/>
      <c r="PDW241" s="201"/>
      <c r="PDX241" s="201"/>
      <c r="PDY241" s="201"/>
      <c r="PDZ241" s="201"/>
      <c r="PEA241" s="201"/>
      <c r="PEB241" s="201"/>
      <c r="PEC241" s="201"/>
      <c r="PED241" s="201"/>
      <c r="PEE241" s="201"/>
      <c r="PEF241" s="201"/>
      <c r="PEG241" s="201"/>
      <c r="PEH241" s="201"/>
      <c r="PEI241" s="201"/>
      <c r="PEJ241" s="201"/>
      <c r="PEK241" s="201"/>
      <c r="PEL241" s="201"/>
      <c r="PEM241" s="201"/>
      <c r="PEN241" s="201"/>
      <c r="PEO241" s="201"/>
      <c r="PEP241" s="201"/>
      <c r="PEQ241" s="201"/>
      <c r="PER241" s="201"/>
      <c r="PES241" s="201"/>
      <c r="PET241" s="201"/>
      <c r="PEU241" s="201"/>
      <c r="PEV241" s="201"/>
      <c r="PEW241" s="201"/>
      <c r="PEX241" s="201"/>
      <c r="PEY241" s="201"/>
      <c r="PEZ241" s="201"/>
      <c r="PFA241" s="201"/>
      <c r="PFB241" s="201"/>
      <c r="PFC241" s="201"/>
      <c r="PFD241" s="201"/>
      <c r="PFE241" s="201"/>
      <c r="PFF241" s="201"/>
      <c r="PFG241" s="201"/>
      <c r="PFH241" s="201"/>
      <c r="PFI241" s="201"/>
      <c r="PFJ241" s="201"/>
      <c r="PFK241" s="201"/>
      <c r="PFL241" s="201"/>
      <c r="PFM241" s="201"/>
      <c r="PFN241" s="201"/>
      <c r="PFO241" s="201"/>
      <c r="PFP241" s="201"/>
      <c r="PFQ241" s="201"/>
      <c r="PFR241" s="201"/>
      <c r="PFS241" s="201"/>
      <c r="PFT241" s="201"/>
      <c r="PFU241" s="201"/>
      <c r="PFV241" s="201"/>
      <c r="PFW241" s="201"/>
      <c r="PFX241" s="201"/>
      <c r="PFY241" s="201"/>
      <c r="PFZ241" s="201"/>
      <c r="PGA241" s="201"/>
      <c r="PGB241" s="201"/>
      <c r="PGC241" s="201"/>
      <c r="PGD241" s="201"/>
      <c r="PGE241" s="201"/>
      <c r="PGF241" s="201"/>
      <c r="PGG241" s="201"/>
      <c r="PGH241" s="201"/>
      <c r="PGI241" s="201"/>
      <c r="PGJ241" s="201"/>
      <c r="PGK241" s="201"/>
      <c r="PGL241" s="201"/>
      <c r="PGM241" s="201"/>
      <c r="PGN241" s="201"/>
      <c r="PGO241" s="201"/>
      <c r="PGP241" s="201"/>
      <c r="PGQ241" s="201"/>
      <c r="PGR241" s="201"/>
      <c r="PGS241" s="201"/>
      <c r="PGT241" s="201"/>
      <c r="PGU241" s="201"/>
      <c r="PGV241" s="201"/>
      <c r="PGW241" s="201"/>
      <c r="PGX241" s="201"/>
      <c r="PGY241" s="201"/>
      <c r="PGZ241" s="201"/>
      <c r="PHA241" s="201"/>
      <c r="PHB241" s="201"/>
      <c r="PHC241" s="201"/>
      <c r="PHD241" s="201"/>
      <c r="PHE241" s="201"/>
      <c r="PHF241" s="201"/>
      <c r="PHG241" s="201"/>
      <c r="PHH241" s="201"/>
      <c r="PHI241" s="201"/>
      <c r="PHJ241" s="201"/>
      <c r="PHK241" s="201"/>
      <c r="PHL241" s="201"/>
      <c r="PHM241" s="201"/>
      <c r="PHN241" s="201"/>
      <c r="PHO241" s="201"/>
      <c r="PHP241" s="201"/>
      <c r="PHQ241" s="201"/>
      <c r="PHR241" s="201"/>
      <c r="PHS241" s="201"/>
      <c r="PHT241" s="201"/>
      <c r="PHU241" s="201"/>
      <c r="PHV241" s="201"/>
      <c r="PHW241" s="201"/>
      <c r="PHX241" s="201"/>
      <c r="PHY241" s="201"/>
      <c r="PHZ241" s="201"/>
      <c r="PIA241" s="201"/>
      <c r="PIB241" s="201"/>
      <c r="PIC241" s="201"/>
      <c r="PID241" s="201"/>
      <c r="PIE241" s="201"/>
      <c r="PIF241" s="201"/>
      <c r="PIG241" s="201"/>
      <c r="PIH241" s="201"/>
      <c r="PII241" s="201"/>
      <c r="PIJ241" s="201"/>
      <c r="PIK241" s="201"/>
      <c r="PIL241" s="201"/>
      <c r="PIM241" s="201"/>
      <c r="PIN241" s="201"/>
      <c r="PIO241" s="201"/>
      <c r="PIP241" s="201"/>
      <c r="PIQ241" s="201"/>
      <c r="PIR241" s="201"/>
      <c r="PIS241" s="201"/>
      <c r="PIT241" s="201"/>
      <c r="PIU241" s="201"/>
      <c r="PIV241" s="201"/>
      <c r="PIW241" s="201"/>
      <c r="PIX241" s="201"/>
      <c r="PIY241" s="201"/>
      <c r="PIZ241" s="201"/>
      <c r="PJA241" s="201"/>
      <c r="PJB241" s="201"/>
      <c r="PJC241" s="201"/>
      <c r="PJD241" s="201"/>
      <c r="PJE241" s="201"/>
      <c r="PJF241" s="201"/>
      <c r="PJG241" s="201"/>
      <c r="PJH241" s="201"/>
      <c r="PJI241" s="201"/>
      <c r="PJJ241" s="201"/>
      <c r="PJK241" s="201"/>
      <c r="PJL241" s="201"/>
      <c r="PJM241" s="201"/>
      <c r="PJN241" s="201"/>
      <c r="PJO241" s="201"/>
      <c r="PJP241" s="201"/>
      <c r="PJQ241" s="201"/>
      <c r="PJR241" s="201"/>
      <c r="PJS241" s="201"/>
      <c r="PJT241" s="201"/>
      <c r="PJU241" s="201"/>
      <c r="PJV241" s="201"/>
      <c r="PJW241" s="201"/>
      <c r="PJX241" s="201"/>
      <c r="PJY241" s="201"/>
      <c r="PJZ241" s="201"/>
      <c r="PKA241" s="201"/>
      <c r="PKB241" s="201"/>
      <c r="PKC241" s="201"/>
      <c r="PKD241" s="201"/>
      <c r="PKE241" s="201"/>
      <c r="PKF241" s="201"/>
      <c r="PKG241" s="201"/>
      <c r="PKH241" s="201"/>
      <c r="PKI241" s="201"/>
      <c r="PKJ241" s="201"/>
      <c r="PKK241" s="201"/>
      <c r="PKL241" s="201"/>
      <c r="PKM241" s="201"/>
      <c r="PKN241" s="201"/>
      <c r="PKO241" s="201"/>
      <c r="PKP241" s="201"/>
      <c r="PKQ241" s="201"/>
      <c r="PKR241" s="201"/>
      <c r="PKS241" s="201"/>
      <c r="PKT241" s="201"/>
      <c r="PKU241" s="201"/>
      <c r="PKV241" s="201"/>
      <c r="PKW241" s="201"/>
      <c r="PKX241" s="201"/>
      <c r="PKY241" s="201"/>
      <c r="PKZ241" s="201"/>
      <c r="PLA241" s="201"/>
      <c r="PLB241" s="201"/>
      <c r="PLC241" s="201"/>
      <c r="PLD241" s="201"/>
      <c r="PLE241" s="201"/>
      <c r="PLF241" s="201"/>
      <c r="PLG241" s="201"/>
      <c r="PLH241" s="201"/>
      <c r="PLI241" s="201"/>
      <c r="PLJ241" s="201"/>
      <c r="PLK241" s="201"/>
      <c r="PLL241" s="201"/>
      <c r="PLM241" s="201"/>
      <c r="PLN241" s="201"/>
      <c r="PLO241" s="201"/>
      <c r="PLP241" s="201"/>
      <c r="PLQ241" s="201"/>
      <c r="PLR241" s="201"/>
      <c r="PLS241" s="201"/>
      <c r="PLT241" s="201"/>
      <c r="PLU241" s="201"/>
      <c r="PLV241" s="201"/>
      <c r="PLW241" s="201"/>
      <c r="PLX241" s="201"/>
      <c r="PLY241" s="201"/>
      <c r="PLZ241" s="201"/>
      <c r="PMA241" s="201"/>
      <c r="PMB241" s="201"/>
      <c r="PMC241" s="201"/>
      <c r="PMD241" s="201"/>
      <c r="PME241" s="201"/>
      <c r="PMF241" s="201"/>
      <c r="PMG241" s="201"/>
      <c r="PMH241" s="201"/>
      <c r="PMI241" s="201"/>
      <c r="PMJ241" s="201"/>
      <c r="PMK241" s="201"/>
      <c r="PML241" s="201"/>
      <c r="PMM241" s="201"/>
      <c r="PMN241" s="201"/>
      <c r="PMO241" s="201"/>
      <c r="PMP241" s="201"/>
      <c r="PMQ241" s="201"/>
      <c r="PMR241" s="201"/>
      <c r="PMS241" s="201"/>
      <c r="PMT241" s="201"/>
      <c r="PMU241" s="201"/>
      <c r="PMV241" s="201"/>
      <c r="PMW241" s="201"/>
      <c r="PMX241" s="201"/>
      <c r="PMY241" s="201"/>
      <c r="PMZ241" s="201"/>
      <c r="PNA241" s="201"/>
      <c r="PNB241" s="201"/>
      <c r="PNC241" s="201"/>
      <c r="PND241" s="201"/>
      <c r="PNE241" s="201"/>
      <c r="PNF241" s="201"/>
      <c r="PNG241" s="201"/>
      <c r="PNH241" s="201"/>
      <c r="PNI241" s="201"/>
      <c r="PNJ241" s="201"/>
      <c r="PNK241" s="201"/>
      <c r="PNL241" s="201"/>
      <c r="PNM241" s="201"/>
      <c r="PNN241" s="201"/>
      <c r="PNO241" s="201"/>
      <c r="PNP241" s="201"/>
      <c r="PNQ241" s="201"/>
      <c r="PNR241" s="201"/>
      <c r="PNS241" s="201"/>
      <c r="PNT241" s="201"/>
      <c r="PNU241" s="201"/>
      <c r="PNV241" s="201"/>
      <c r="PNW241" s="201"/>
      <c r="PNX241" s="201"/>
      <c r="PNY241" s="201"/>
      <c r="PNZ241" s="201"/>
      <c r="POA241" s="201"/>
      <c r="POB241" s="201"/>
      <c r="POC241" s="201"/>
      <c r="POD241" s="201"/>
      <c r="POE241" s="201"/>
      <c r="POF241" s="201"/>
      <c r="POG241" s="201"/>
      <c r="POH241" s="201"/>
      <c r="POI241" s="201"/>
      <c r="POJ241" s="201"/>
      <c r="POK241" s="201"/>
      <c r="POL241" s="201"/>
      <c r="POM241" s="201"/>
      <c r="PON241" s="201"/>
      <c r="POO241" s="201"/>
      <c r="POP241" s="201"/>
      <c r="POQ241" s="201"/>
      <c r="POR241" s="201"/>
      <c r="POS241" s="201"/>
      <c r="POT241" s="201"/>
      <c r="POU241" s="201"/>
      <c r="POV241" s="201"/>
      <c r="POW241" s="201"/>
      <c r="POX241" s="201"/>
      <c r="POY241" s="201"/>
      <c r="POZ241" s="201"/>
      <c r="PPA241" s="201"/>
      <c r="PPB241" s="201"/>
      <c r="PPC241" s="201"/>
      <c r="PPD241" s="201"/>
      <c r="PPE241" s="201"/>
      <c r="PPF241" s="201"/>
      <c r="PPG241" s="201"/>
      <c r="PPH241" s="201"/>
      <c r="PPI241" s="201"/>
      <c r="PPJ241" s="201"/>
      <c r="PPK241" s="201"/>
      <c r="PPL241" s="201"/>
      <c r="PPM241" s="201"/>
      <c r="PPN241" s="201"/>
      <c r="PPO241" s="201"/>
      <c r="PPP241" s="201"/>
      <c r="PPQ241" s="201"/>
      <c r="PPR241" s="201"/>
      <c r="PPS241" s="201"/>
      <c r="PPT241" s="201"/>
      <c r="PPU241" s="201"/>
      <c r="PPV241" s="201"/>
      <c r="PPW241" s="201"/>
      <c r="PPX241" s="201"/>
      <c r="PPY241" s="201"/>
      <c r="PPZ241" s="201"/>
      <c r="PQA241" s="201"/>
      <c r="PQB241" s="201"/>
      <c r="PQC241" s="201"/>
      <c r="PQD241" s="201"/>
      <c r="PQE241" s="201"/>
      <c r="PQF241" s="201"/>
      <c r="PQG241" s="201"/>
      <c r="PQH241" s="201"/>
      <c r="PQI241" s="201"/>
      <c r="PQJ241" s="201"/>
      <c r="PQK241" s="201"/>
      <c r="PQL241" s="201"/>
      <c r="PQM241" s="201"/>
      <c r="PQN241" s="201"/>
      <c r="PQO241" s="201"/>
      <c r="PQP241" s="201"/>
      <c r="PQQ241" s="201"/>
      <c r="PQR241" s="201"/>
      <c r="PQS241" s="201"/>
      <c r="PQT241" s="201"/>
      <c r="PQU241" s="201"/>
      <c r="PQV241" s="201"/>
      <c r="PQW241" s="201"/>
      <c r="PQX241" s="201"/>
      <c r="PQY241" s="201"/>
      <c r="PQZ241" s="201"/>
      <c r="PRA241" s="201"/>
      <c r="PRB241" s="201"/>
      <c r="PRC241" s="201"/>
      <c r="PRD241" s="201"/>
      <c r="PRE241" s="201"/>
      <c r="PRF241" s="201"/>
      <c r="PRG241" s="201"/>
      <c r="PRH241" s="201"/>
      <c r="PRI241" s="201"/>
      <c r="PRJ241" s="201"/>
      <c r="PRK241" s="201"/>
      <c r="PRL241" s="201"/>
      <c r="PRM241" s="201"/>
      <c r="PRN241" s="201"/>
      <c r="PRO241" s="201"/>
      <c r="PRP241" s="201"/>
      <c r="PRQ241" s="201"/>
      <c r="PRR241" s="201"/>
      <c r="PRS241" s="201"/>
      <c r="PRT241" s="201"/>
      <c r="PRU241" s="201"/>
      <c r="PRV241" s="201"/>
      <c r="PRW241" s="201"/>
      <c r="PRX241" s="201"/>
      <c r="PRY241" s="201"/>
      <c r="PRZ241" s="201"/>
      <c r="PSA241" s="201"/>
      <c r="PSB241" s="201"/>
      <c r="PSC241" s="201"/>
      <c r="PSD241" s="201"/>
      <c r="PSE241" s="201"/>
      <c r="PSF241" s="201"/>
      <c r="PSG241" s="201"/>
      <c r="PSH241" s="201"/>
      <c r="PSI241" s="201"/>
      <c r="PSJ241" s="201"/>
      <c r="PSK241" s="201"/>
      <c r="PSL241" s="201"/>
      <c r="PSM241" s="201"/>
      <c r="PSN241" s="201"/>
      <c r="PSO241" s="201"/>
      <c r="PSP241" s="201"/>
      <c r="PSQ241" s="201"/>
      <c r="PSR241" s="201"/>
      <c r="PSS241" s="201"/>
      <c r="PST241" s="201"/>
      <c r="PSU241" s="201"/>
      <c r="PSV241" s="201"/>
      <c r="PSW241" s="201"/>
      <c r="PSX241" s="201"/>
      <c r="PSY241" s="201"/>
      <c r="PSZ241" s="201"/>
      <c r="PTA241" s="201"/>
      <c r="PTB241" s="201"/>
      <c r="PTC241" s="201"/>
      <c r="PTD241" s="201"/>
      <c r="PTE241" s="201"/>
      <c r="PTF241" s="201"/>
      <c r="PTG241" s="201"/>
      <c r="PTH241" s="201"/>
      <c r="PTI241" s="201"/>
      <c r="PTJ241" s="201"/>
      <c r="PTK241" s="201"/>
      <c r="PTL241" s="201"/>
      <c r="PTM241" s="201"/>
      <c r="PTN241" s="201"/>
      <c r="PTO241" s="201"/>
      <c r="PTP241" s="201"/>
      <c r="PTQ241" s="201"/>
      <c r="PTR241" s="201"/>
      <c r="PTS241" s="201"/>
      <c r="PTT241" s="201"/>
      <c r="PTU241" s="201"/>
      <c r="PTV241" s="201"/>
      <c r="PTW241" s="201"/>
      <c r="PTX241" s="201"/>
      <c r="PTY241" s="201"/>
      <c r="PTZ241" s="201"/>
      <c r="PUA241" s="201"/>
      <c r="PUB241" s="201"/>
      <c r="PUC241" s="201"/>
      <c r="PUD241" s="201"/>
      <c r="PUE241" s="201"/>
      <c r="PUF241" s="201"/>
      <c r="PUG241" s="201"/>
      <c r="PUH241" s="201"/>
      <c r="PUI241" s="201"/>
      <c r="PUJ241" s="201"/>
      <c r="PUK241" s="201"/>
      <c r="PUL241" s="201"/>
      <c r="PUM241" s="201"/>
      <c r="PUN241" s="201"/>
      <c r="PUO241" s="201"/>
      <c r="PUP241" s="201"/>
      <c r="PUQ241" s="201"/>
      <c r="PUR241" s="201"/>
      <c r="PUS241" s="201"/>
      <c r="PUT241" s="201"/>
      <c r="PUU241" s="201"/>
      <c r="PUV241" s="201"/>
      <c r="PUW241" s="201"/>
      <c r="PUX241" s="201"/>
      <c r="PUY241" s="201"/>
      <c r="PUZ241" s="201"/>
      <c r="PVA241" s="201"/>
      <c r="PVB241" s="201"/>
      <c r="PVC241" s="201"/>
      <c r="PVD241" s="201"/>
      <c r="PVE241" s="201"/>
      <c r="PVF241" s="201"/>
      <c r="PVG241" s="201"/>
      <c r="PVH241" s="201"/>
      <c r="PVI241" s="201"/>
      <c r="PVJ241" s="201"/>
      <c r="PVK241" s="201"/>
      <c r="PVL241" s="201"/>
      <c r="PVM241" s="201"/>
      <c r="PVN241" s="201"/>
      <c r="PVO241" s="201"/>
      <c r="PVP241" s="201"/>
      <c r="PVQ241" s="201"/>
      <c r="PVR241" s="201"/>
      <c r="PVS241" s="201"/>
      <c r="PVT241" s="201"/>
      <c r="PVU241" s="201"/>
      <c r="PVV241" s="201"/>
      <c r="PVW241" s="201"/>
      <c r="PVX241" s="201"/>
      <c r="PVY241" s="201"/>
      <c r="PVZ241" s="201"/>
      <c r="PWA241" s="201"/>
      <c r="PWB241" s="201"/>
      <c r="PWC241" s="201"/>
      <c r="PWD241" s="201"/>
      <c r="PWE241" s="201"/>
      <c r="PWF241" s="201"/>
      <c r="PWG241" s="201"/>
      <c r="PWH241" s="201"/>
      <c r="PWI241" s="201"/>
      <c r="PWJ241" s="201"/>
      <c r="PWK241" s="201"/>
      <c r="PWL241" s="201"/>
      <c r="PWM241" s="201"/>
      <c r="PWN241" s="201"/>
      <c r="PWO241" s="201"/>
      <c r="PWP241" s="201"/>
      <c r="PWQ241" s="201"/>
      <c r="PWR241" s="201"/>
      <c r="PWS241" s="201"/>
      <c r="PWT241" s="201"/>
      <c r="PWU241" s="201"/>
      <c r="PWV241" s="201"/>
      <c r="PWW241" s="201"/>
      <c r="PWX241" s="201"/>
      <c r="PWY241" s="201"/>
      <c r="PWZ241" s="201"/>
      <c r="PXA241" s="201"/>
      <c r="PXB241" s="201"/>
      <c r="PXC241" s="201"/>
      <c r="PXD241" s="201"/>
      <c r="PXE241" s="201"/>
      <c r="PXF241" s="201"/>
      <c r="PXG241" s="201"/>
      <c r="PXH241" s="201"/>
      <c r="PXI241" s="201"/>
      <c r="PXJ241" s="201"/>
      <c r="PXK241" s="201"/>
      <c r="PXL241" s="201"/>
      <c r="PXM241" s="201"/>
      <c r="PXN241" s="201"/>
      <c r="PXO241" s="201"/>
      <c r="PXP241" s="201"/>
      <c r="PXQ241" s="201"/>
      <c r="PXR241" s="201"/>
      <c r="PXS241" s="201"/>
      <c r="PXT241" s="201"/>
      <c r="PXU241" s="201"/>
      <c r="PXV241" s="201"/>
      <c r="PXW241" s="201"/>
      <c r="PXX241" s="201"/>
      <c r="PXY241" s="201"/>
      <c r="PXZ241" s="201"/>
      <c r="PYA241" s="201"/>
      <c r="PYB241" s="201"/>
      <c r="PYC241" s="201"/>
      <c r="PYD241" s="201"/>
      <c r="PYE241" s="201"/>
      <c r="PYF241" s="201"/>
      <c r="PYG241" s="201"/>
      <c r="PYH241" s="201"/>
      <c r="PYI241" s="201"/>
      <c r="PYJ241" s="201"/>
      <c r="PYK241" s="201"/>
      <c r="PYL241" s="201"/>
      <c r="PYM241" s="201"/>
      <c r="PYN241" s="201"/>
      <c r="PYO241" s="201"/>
      <c r="PYP241" s="201"/>
      <c r="PYQ241" s="201"/>
      <c r="PYR241" s="201"/>
      <c r="PYS241" s="201"/>
      <c r="PYT241" s="201"/>
      <c r="PYU241" s="201"/>
      <c r="PYV241" s="201"/>
      <c r="PYW241" s="201"/>
      <c r="PYX241" s="201"/>
      <c r="PYY241" s="201"/>
      <c r="PYZ241" s="201"/>
      <c r="PZA241" s="201"/>
      <c r="PZB241" s="201"/>
      <c r="PZC241" s="201"/>
      <c r="PZD241" s="201"/>
      <c r="PZE241" s="201"/>
      <c r="PZF241" s="201"/>
      <c r="PZG241" s="201"/>
      <c r="PZH241" s="201"/>
      <c r="PZI241" s="201"/>
      <c r="PZJ241" s="201"/>
      <c r="PZK241" s="201"/>
      <c r="PZL241" s="201"/>
      <c r="PZM241" s="201"/>
      <c r="PZN241" s="201"/>
      <c r="PZO241" s="201"/>
      <c r="PZP241" s="201"/>
      <c r="PZQ241" s="201"/>
      <c r="PZR241" s="201"/>
      <c r="PZS241" s="201"/>
      <c r="PZT241" s="201"/>
      <c r="PZU241" s="201"/>
      <c r="PZV241" s="201"/>
      <c r="PZW241" s="201"/>
      <c r="PZX241" s="201"/>
      <c r="PZY241" s="201"/>
      <c r="PZZ241" s="201"/>
      <c r="QAA241" s="201"/>
      <c r="QAB241" s="201"/>
      <c r="QAC241" s="201"/>
      <c r="QAD241" s="201"/>
      <c r="QAE241" s="201"/>
      <c r="QAF241" s="201"/>
      <c r="QAG241" s="201"/>
      <c r="QAH241" s="201"/>
      <c r="QAI241" s="201"/>
      <c r="QAJ241" s="201"/>
      <c r="QAK241" s="201"/>
      <c r="QAL241" s="201"/>
      <c r="QAM241" s="201"/>
      <c r="QAN241" s="201"/>
      <c r="QAO241" s="201"/>
      <c r="QAP241" s="201"/>
      <c r="QAQ241" s="201"/>
      <c r="QAR241" s="201"/>
      <c r="QAS241" s="201"/>
      <c r="QAT241" s="201"/>
      <c r="QAU241" s="201"/>
      <c r="QAV241" s="201"/>
      <c r="QAW241" s="201"/>
      <c r="QAX241" s="201"/>
      <c r="QAY241" s="201"/>
      <c r="QAZ241" s="201"/>
      <c r="QBA241" s="201"/>
      <c r="QBB241" s="201"/>
      <c r="QBC241" s="201"/>
      <c r="QBD241" s="201"/>
      <c r="QBE241" s="201"/>
      <c r="QBF241" s="201"/>
      <c r="QBG241" s="201"/>
      <c r="QBH241" s="201"/>
      <c r="QBI241" s="201"/>
      <c r="QBJ241" s="201"/>
      <c r="QBK241" s="201"/>
      <c r="QBL241" s="201"/>
      <c r="QBM241" s="201"/>
      <c r="QBN241" s="201"/>
      <c r="QBO241" s="201"/>
      <c r="QBP241" s="201"/>
      <c r="QBQ241" s="201"/>
      <c r="QBR241" s="201"/>
      <c r="QBS241" s="201"/>
      <c r="QBT241" s="201"/>
      <c r="QBU241" s="201"/>
      <c r="QBV241" s="201"/>
      <c r="QBW241" s="201"/>
      <c r="QBX241" s="201"/>
      <c r="QBY241" s="201"/>
      <c r="QBZ241" s="201"/>
      <c r="QCA241" s="201"/>
      <c r="QCB241" s="201"/>
      <c r="QCC241" s="201"/>
      <c r="QCD241" s="201"/>
      <c r="QCE241" s="201"/>
      <c r="QCF241" s="201"/>
      <c r="QCG241" s="201"/>
      <c r="QCH241" s="201"/>
      <c r="QCI241" s="201"/>
      <c r="QCJ241" s="201"/>
      <c r="QCK241" s="201"/>
      <c r="QCL241" s="201"/>
      <c r="QCM241" s="201"/>
      <c r="QCN241" s="201"/>
      <c r="QCO241" s="201"/>
      <c r="QCP241" s="201"/>
      <c r="QCQ241" s="201"/>
      <c r="QCR241" s="201"/>
      <c r="QCS241" s="201"/>
      <c r="QCT241" s="201"/>
      <c r="QCU241" s="201"/>
      <c r="QCV241" s="201"/>
      <c r="QCW241" s="201"/>
      <c r="QCX241" s="201"/>
      <c r="QCY241" s="201"/>
      <c r="QCZ241" s="201"/>
      <c r="QDA241" s="201"/>
      <c r="QDB241" s="201"/>
      <c r="QDC241" s="201"/>
      <c r="QDD241" s="201"/>
      <c r="QDE241" s="201"/>
      <c r="QDF241" s="201"/>
      <c r="QDG241" s="201"/>
      <c r="QDH241" s="201"/>
      <c r="QDI241" s="201"/>
      <c r="QDJ241" s="201"/>
      <c r="QDK241" s="201"/>
      <c r="QDL241" s="201"/>
      <c r="QDM241" s="201"/>
      <c r="QDN241" s="201"/>
      <c r="QDO241" s="201"/>
      <c r="QDP241" s="201"/>
      <c r="QDQ241" s="201"/>
      <c r="QDR241" s="201"/>
      <c r="QDS241" s="201"/>
      <c r="QDT241" s="201"/>
      <c r="QDU241" s="201"/>
      <c r="QDV241" s="201"/>
      <c r="QDW241" s="201"/>
      <c r="QDX241" s="201"/>
      <c r="QDY241" s="201"/>
      <c r="QDZ241" s="201"/>
      <c r="QEA241" s="201"/>
      <c r="QEB241" s="201"/>
      <c r="QEC241" s="201"/>
      <c r="QED241" s="201"/>
      <c r="QEE241" s="201"/>
      <c r="QEF241" s="201"/>
      <c r="QEG241" s="201"/>
      <c r="QEH241" s="201"/>
      <c r="QEI241" s="201"/>
      <c r="QEJ241" s="201"/>
      <c r="QEK241" s="201"/>
      <c r="QEL241" s="201"/>
      <c r="QEM241" s="201"/>
      <c r="QEN241" s="201"/>
      <c r="QEO241" s="201"/>
      <c r="QEP241" s="201"/>
      <c r="QEQ241" s="201"/>
      <c r="QER241" s="201"/>
      <c r="QES241" s="201"/>
      <c r="QET241" s="201"/>
      <c r="QEU241" s="201"/>
      <c r="QEV241" s="201"/>
      <c r="QEW241" s="201"/>
      <c r="QEX241" s="201"/>
      <c r="QEY241" s="201"/>
      <c r="QEZ241" s="201"/>
      <c r="QFA241" s="201"/>
      <c r="QFB241" s="201"/>
      <c r="QFC241" s="201"/>
      <c r="QFD241" s="201"/>
      <c r="QFE241" s="201"/>
      <c r="QFF241" s="201"/>
      <c r="QFG241" s="201"/>
      <c r="QFH241" s="201"/>
      <c r="QFI241" s="201"/>
      <c r="QFJ241" s="201"/>
      <c r="QFK241" s="201"/>
      <c r="QFL241" s="201"/>
      <c r="QFM241" s="201"/>
      <c r="QFN241" s="201"/>
      <c r="QFO241" s="201"/>
      <c r="QFP241" s="201"/>
      <c r="QFQ241" s="201"/>
      <c r="QFR241" s="201"/>
      <c r="QFS241" s="201"/>
      <c r="QFT241" s="201"/>
      <c r="QFU241" s="201"/>
      <c r="QFV241" s="201"/>
      <c r="QFW241" s="201"/>
      <c r="QFX241" s="201"/>
      <c r="QFY241" s="201"/>
      <c r="QFZ241" s="201"/>
      <c r="QGA241" s="201"/>
      <c r="QGB241" s="201"/>
      <c r="QGC241" s="201"/>
      <c r="QGD241" s="201"/>
      <c r="QGE241" s="201"/>
      <c r="QGF241" s="201"/>
      <c r="QGG241" s="201"/>
      <c r="QGH241" s="201"/>
      <c r="QGI241" s="201"/>
      <c r="QGJ241" s="201"/>
      <c r="QGK241" s="201"/>
      <c r="QGL241" s="201"/>
      <c r="QGM241" s="201"/>
      <c r="QGN241" s="201"/>
      <c r="QGO241" s="201"/>
      <c r="QGP241" s="201"/>
      <c r="QGQ241" s="201"/>
      <c r="QGR241" s="201"/>
      <c r="QGS241" s="201"/>
      <c r="QGT241" s="201"/>
      <c r="QGU241" s="201"/>
      <c r="QGV241" s="201"/>
      <c r="QGW241" s="201"/>
      <c r="QGX241" s="201"/>
      <c r="QGY241" s="201"/>
      <c r="QGZ241" s="201"/>
      <c r="QHA241" s="201"/>
      <c r="QHB241" s="201"/>
      <c r="QHC241" s="201"/>
      <c r="QHD241" s="201"/>
      <c r="QHE241" s="201"/>
      <c r="QHF241" s="201"/>
      <c r="QHG241" s="201"/>
      <c r="QHH241" s="201"/>
      <c r="QHI241" s="201"/>
      <c r="QHJ241" s="201"/>
      <c r="QHK241" s="201"/>
      <c r="QHL241" s="201"/>
      <c r="QHM241" s="201"/>
      <c r="QHN241" s="201"/>
      <c r="QHO241" s="201"/>
      <c r="QHP241" s="201"/>
      <c r="QHQ241" s="201"/>
      <c r="QHR241" s="201"/>
      <c r="QHS241" s="201"/>
      <c r="QHT241" s="201"/>
      <c r="QHU241" s="201"/>
      <c r="QHV241" s="201"/>
      <c r="QHW241" s="201"/>
      <c r="QHX241" s="201"/>
      <c r="QHY241" s="201"/>
      <c r="QHZ241" s="201"/>
      <c r="QIA241" s="201"/>
      <c r="QIB241" s="201"/>
      <c r="QIC241" s="201"/>
      <c r="QID241" s="201"/>
      <c r="QIE241" s="201"/>
      <c r="QIF241" s="201"/>
      <c r="QIG241" s="201"/>
      <c r="QIH241" s="201"/>
      <c r="QII241" s="201"/>
      <c r="QIJ241" s="201"/>
      <c r="QIK241" s="201"/>
      <c r="QIL241" s="201"/>
      <c r="QIM241" s="201"/>
      <c r="QIN241" s="201"/>
      <c r="QIO241" s="201"/>
      <c r="QIP241" s="201"/>
      <c r="QIQ241" s="201"/>
      <c r="QIR241" s="201"/>
      <c r="QIS241" s="201"/>
      <c r="QIT241" s="201"/>
      <c r="QIU241" s="201"/>
      <c r="QIV241" s="201"/>
      <c r="QIW241" s="201"/>
      <c r="QIX241" s="201"/>
      <c r="QIY241" s="201"/>
      <c r="QIZ241" s="201"/>
      <c r="QJA241" s="201"/>
      <c r="QJB241" s="201"/>
      <c r="QJC241" s="201"/>
      <c r="QJD241" s="201"/>
      <c r="QJE241" s="201"/>
      <c r="QJF241" s="201"/>
      <c r="QJG241" s="201"/>
      <c r="QJH241" s="201"/>
      <c r="QJI241" s="201"/>
      <c r="QJJ241" s="201"/>
      <c r="QJK241" s="201"/>
      <c r="QJL241" s="201"/>
      <c r="QJM241" s="201"/>
      <c r="QJN241" s="201"/>
      <c r="QJO241" s="201"/>
      <c r="QJP241" s="201"/>
      <c r="QJQ241" s="201"/>
      <c r="QJR241" s="201"/>
      <c r="QJS241" s="201"/>
      <c r="QJT241" s="201"/>
      <c r="QJU241" s="201"/>
      <c r="QJV241" s="201"/>
      <c r="QJW241" s="201"/>
      <c r="QJX241" s="201"/>
      <c r="QJY241" s="201"/>
      <c r="QJZ241" s="201"/>
      <c r="QKA241" s="201"/>
      <c r="QKB241" s="201"/>
      <c r="QKC241" s="201"/>
      <c r="QKD241" s="201"/>
      <c r="QKE241" s="201"/>
      <c r="QKF241" s="201"/>
      <c r="QKG241" s="201"/>
      <c r="QKH241" s="201"/>
      <c r="QKI241" s="201"/>
      <c r="QKJ241" s="201"/>
      <c r="QKK241" s="201"/>
      <c r="QKL241" s="201"/>
      <c r="QKM241" s="201"/>
      <c r="QKN241" s="201"/>
      <c r="QKO241" s="201"/>
      <c r="QKP241" s="201"/>
      <c r="QKQ241" s="201"/>
      <c r="QKR241" s="201"/>
      <c r="QKS241" s="201"/>
      <c r="QKT241" s="201"/>
      <c r="QKU241" s="201"/>
      <c r="QKV241" s="201"/>
      <c r="QKW241" s="201"/>
      <c r="QKX241" s="201"/>
      <c r="QKY241" s="201"/>
      <c r="QKZ241" s="201"/>
      <c r="QLA241" s="201"/>
      <c r="QLB241" s="201"/>
      <c r="QLC241" s="201"/>
      <c r="QLD241" s="201"/>
      <c r="QLE241" s="201"/>
      <c r="QLF241" s="201"/>
      <c r="QLG241" s="201"/>
      <c r="QLH241" s="201"/>
      <c r="QLI241" s="201"/>
      <c r="QLJ241" s="201"/>
      <c r="QLK241" s="201"/>
      <c r="QLL241" s="201"/>
      <c r="QLM241" s="201"/>
      <c r="QLN241" s="201"/>
      <c r="QLO241" s="201"/>
      <c r="QLP241" s="201"/>
      <c r="QLQ241" s="201"/>
      <c r="QLR241" s="201"/>
      <c r="QLS241" s="201"/>
      <c r="QLT241" s="201"/>
      <c r="QLU241" s="201"/>
      <c r="QLV241" s="201"/>
      <c r="QLW241" s="201"/>
      <c r="QLX241" s="201"/>
      <c r="QLY241" s="201"/>
      <c r="QLZ241" s="201"/>
      <c r="QMA241" s="201"/>
      <c r="QMB241" s="201"/>
      <c r="QMC241" s="201"/>
      <c r="QMD241" s="201"/>
      <c r="QME241" s="201"/>
      <c r="QMF241" s="201"/>
      <c r="QMG241" s="201"/>
      <c r="QMH241" s="201"/>
      <c r="QMI241" s="201"/>
      <c r="QMJ241" s="201"/>
      <c r="QMK241" s="201"/>
      <c r="QML241" s="201"/>
      <c r="QMM241" s="201"/>
      <c r="QMN241" s="201"/>
      <c r="QMO241" s="201"/>
      <c r="QMP241" s="201"/>
      <c r="QMQ241" s="201"/>
      <c r="QMR241" s="201"/>
      <c r="QMS241" s="201"/>
      <c r="QMT241" s="201"/>
      <c r="QMU241" s="201"/>
      <c r="QMV241" s="201"/>
      <c r="QMW241" s="201"/>
      <c r="QMX241" s="201"/>
      <c r="QMY241" s="201"/>
      <c r="QMZ241" s="201"/>
      <c r="QNA241" s="201"/>
      <c r="QNB241" s="201"/>
      <c r="QNC241" s="201"/>
      <c r="QND241" s="201"/>
      <c r="QNE241" s="201"/>
      <c r="QNF241" s="201"/>
      <c r="QNG241" s="201"/>
      <c r="QNH241" s="201"/>
      <c r="QNI241" s="201"/>
      <c r="QNJ241" s="201"/>
      <c r="QNK241" s="201"/>
      <c r="QNL241" s="201"/>
      <c r="QNM241" s="201"/>
      <c r="QNN241" s="201"/>
      <c r="QNO241" s="201"/>
      <c r="QNP241" s="201"/>
      <c r="QNQ241" s="201"/>
      <c r="QNR241" s="201"/>
      <c r="QNS241" s="201"/>
      <c r="QNT241" s="201"/>
      <c r="QNU241" s="201"/>
      <c r="QNV241" s="201"/>
      <c r="QNW241" s="201"/>
      <c r="QNX241" s="201"/>
      <c r="QNY241" s="201"/>
      <c r="QNZ241" s="201"/>
      <c r="QOA241" s="201"/>
      <c r="QOB241" s="201"/>
      <c r="QOC241" s="201"/>
      <c r="QOD241" s="201"/>
      <c r="QOE241" s="201"/>
      <c r="QOF241" s="201"/>
      <c r="QOG241" s="201"/>
      <c r="QOH241" s="201"/>
      <c r="QOI241" s="201"/>
      <c r="QOJ241" s="201"/>
      <c r="QOK241" s="201"/>
      <c r="QOL241" s="201"/>
      <c r="QOM241" s="201"/>
      <c r="QON241" s="201"/>
      <c r="QOO241" s="201"/>
      <c r="QOP241" s="201"/>
      <c r="QOQ241" s="201"/>
      <c r="QOR241" s="201"/>
      <c r="QOS241" s="201"/>
      <c r="QOT241" s="201"/>
      <c r="QOU241" s="201"/>
      <c r="QOV241" s="201"/>
      <c r="QOW241" s="201"/>
      <c r="QOX241" s="201"/>
      <c r="QOY241" s="201"/>
      <c r="QOZ241" s="201"/>
      <c r="QPA241" s="201"/>
      <c r="QPB241" s="201"/>
      <c r="QPC241" s="201"/>
      <c r="QPD241" s="201"/>
      <c r="QPE241" s="201"/>
      <c r="QPF241" s="201"/>
      <c r="QPG241" s="201"/>
      <c r="QPH241" s="201"/>
      <c r="QPI241" s="201"/>
      <c r="QPJ241" s="201"/>
      <c r="QPK241" s="201"/>
      <c r="QPL241" s="201"/>
      <c r="QPM241" s="201"/>
      <c r="QPN241" s="201"/>
      <c r="QPO241" s="201"/>
      <c r="QPP241" s="201"/>
      <c r="QPQ241" s="201"/>
      <c r="QPR241" s="201"/>
      <c r="QPS241" s="201"/>
      <c r="QPT241" s="201"/>
      <c r="QPU241" s="201"/>
      <c r="QPV241" s="201"/>
      <c r="QPW241" s="201"/>
      <c r="QPX241" s="201"/>
      <c r="QPY241" s="201"/>
      <c r="QPZ241" s="201"/>
      <c r="QQA241" s="201"/>
      <c r="QQB241" s="201"/>
      <c r="QQC241" s="201"/>
      <c r="QQD241" s="201"/>
      <c r="QQE241" s="201"/>
      <c r="QQF241" s="201"/>
      <c r="QQG241" s="201"/>
      <c r="QQH241" s="201"/>
      <c r="QQI241" s="201"/>
      <c r="QQJ241" s="201"/>
      <c r="QQK241" s="201"/>
      <c r="QQL241" s="201"/>
      <c r="QQM241" s="201"/>
      <c r="QQN241" s="201"/>
      <c r="QQO241" s="201"/>
      <c r="QQP241" s="201"/>
      <c r="QQQ241" s="201"/>
      <c r="QQR241" s="201"/>
      <c r="QQS241" s="201"/>
      <c r="QQT241" s="201"/>
      <c r="QQU241" s="201"/>
      <c r="QQV241" s="201"/>
      <c r="QQW241" s="201"/>
      <c r="QQX241" s="201"/>
      <c r="QQY241" s="201"/>
      <c r="QQZ241" s="201"/>
      <c r="QRA241" s="201"/>
      <c r="QRB241" s="201"/>
      <c r="QRC241" s="201"/>
      <c r="QRD241" s="201"/>
      <c r="QRE241" s="201"/>
      <c r="QRF241" s="201"/>
      <c r="QRG241" s="201"/>
      <c r="QRH241" s="201"/>
      <c r="QRI241" s="201"/>
      <c r="QRJ241" s="201"/>
      <c r="QRK241" s="201"/>
      <c r="QRL241" s="201"/>
      <c r="QRM241" s="201"/>
      <c r="QRN241" s="201"/>
      <c r="QRO241" s="201"/>
      <c r="QRP241" s="201"/>
      <c r="QRQ241" s="201"/>
      <c r="QRR241" s="201"/>
      <c r="QRS241" s="201"/>
      <c r="QRT241" s="201"/>
      <c r="QRU241" s="201"/>
      <c r="QRV241" s="201"/>
      <c r="QRW241" s="201"/>
      <c r="QRX241" s="201"/>
      <c r="QRY241" s="201"/>
      <c r="QRZ241" s="201"/>
      <c r="QSA241" s="201"/>
      <c r="QSB241" s="201"/>
      <c r="QSC241" s="201"/>
      <c r="QSD241" s="201"/>
      <c r="QSE241" s="201"/>
      <c r="QSF241" s="201"/>
      <c r="QSG241" s="201"/>
      <c r="QSH241" s="201"/>
      <c r="QSI241" s="201"/>
      <c r="QSJ241" s="201"/>
      <c r="QSK241" s="201"/>
      <c r="QSL241" s="201"/>
      <c r="QSM241" s="201"/>
      <c r="QSN241" s="201"/>
      <c r="QSO241" s="201"/>
      <c r="QSP241" s="201"/>
      <c r="QSQ241" s="201"/>
      <c r="QSR241" s="201"/>
      <c r="QSS241" s="201"/>
      <c r="QST241" s="201"/>
      <c r="QSU241" s="201"/>
      <c r="QSV241" s="201"/>
      <c r="QSW241" s="201"/>
      <c r="QSX241" s="201"/>
      <c r="QSY241" s="201"/>
      <c r="QSZ241" s="201"/>
      <c r="QTA241" s="201"/>
      <c r="QTB241" s="201"/>
      <c r="QTC241" s="201"/>
      <c r="QTD241" s="201"/>
      <c r="QTE241" s="201"/>
      <c r="QTF241" s="201"/>
      <c r="QTG241" s="201"/>
      <c r="QTH241" s="201"/>
      <c r="QTI241" s="201"/>
      <c r="QTJ241" s="201"/>
      <c r="QTK241" s="201"/>
      <c r="QTL241" s="201"/>
      <c r="QTM241" s="201"/>
      <c r="QTN241" s="201"/>
      <c r="QTO241" s="201"/>
      <c r="QTP241" s="201"/>
      <c r="QTQ241" s="201"/>
      <c r="QTR241" s="201"/>
      <c r="QTS241" s="201"/>
      <c r="QTT241" s="201"/>
      <c r="QTU241" s="201"/>
      <c r="QTV241" s="201"/>
      <c r="QTW241" s="201"/>
      <c r="QTX241" s="201"/>
      <c r="QTY241" s="201"/>
      <c r="QTZ241" s="201"/>
      <c r="QUA241" s="201"/>
      <c r="QUB241" s="201"/>
      <c r="QUC241" s="201"/>
      <c r="QUD241" s="201"/>
      <c r="QUE241" s="201"/>
      <c r="QUF241" s="201"/>
      <c r="QUG241" s="201"/>
      <c r="QUH241" s="201"/>
      <c r="QUI241" s="201"/>
      <c r="QUJ241" s="201"/>
      <c r="QUK241" s="201"/>
      <c r="QUL241" s="201"/>
      <c r="QUM241" s="201"/>
      <c r="QUN241" s="201"/>
      <c r="QUO241" s="201"/>
      <c r="QUP241" s="201"/>
      <c r="QUQ241" s="201"/>
      <c r="QUR241" s="201"/>
      <c r="QUS241" s="201"/>
      <c r="QUT241" s="201"/>
      <c r="QUU241" s="201"/>
      <c r="QUV241" s="201"/>
      <c r="QUW241" s="201"/>
      <c r="QUX241" s="201"/>
      <c r="QUY241" s="201"/>
      <c r="QUZ241" s="201"/>
      <c r="QVA241" s="201"/>
      <c r="QVB241" s="201"/>
      <c r="QVC241" s="201"/>
      <c r="QVD241" s="201"/>
      <c r="QVE241" s="201"/>
      <c r="QVF241" s="201"/>
      <c r="QVG241" s="201"/>
      <c r="QVH241" s="201"/>
      <c r="QVI241" s="201"/>
      <c r="QVJ241" s="201"/>
      <c r="QVK241" s="201"/>
      <c r="QVL241" s="201"/>
      <c r="QVM241" s="201"/>
      <c r="QVN241" s="201"/>
      <c r="QVO241" s="201"/>
      <c r="QVP241" s="201"/>
      <c r="QVQ241" s="201"/>
      <c r="QVR241" s="201"/>
      <c r="QVS241" s="201"/>
      <c r="QVT241" s="201"/>
      <c r="QVU241" s="201"/>
      <c r="QVV241" s="201"/>
      <c r="QVW241" s="201"/>
      <c r="QVX241" s="201"/>
      <c r="QVY241" s="201"/>
      <c r="QVZ241" s="201"/>
      <c r="QWA241" s="201"/>
      <c r="QWB241" s="201"/>
      <c r="QWC241" s="201"/>
      <c r="QWD241" s="201"/>
      <c r="QWE241" s="201"/>
      <c r="QWF241" s="201"/>
      <c r="QWG241" s="201"/>
      <c r="QWH241" s="201"/>
      <c r="QWI241" s="201"/>
      <c r="QWJ241" s="201"/>
      <c r="QWK241" s="201"/>
      <c r="QWL241" s="201"/>
      <c r="QWM241" s="201"/>
      <c r="QWN241" s="201"/>
      <c r="QWO241" s="201"/>
      <c r="QWP241" s="201"/>
      <c r="QWQ241" s="201"/>
      <c r="QWR241" s="201"/>
      <c r="QWS241" s="201"/>
      <c r="QWT241" s="201"/>
      <c r="QWU241" s="201"/>
      <c r="QWV241" s="201"/>
      <c r="QWW241" s="201"/>
      <c r="QWX241" s="201"/>
      <c r="QWY241" s="201"/>
      <c r="QWZ241" s="201"/>
      <c r="QXA241" s="201"/>
      <c r="QXB241" s="201"/>
      <c r="QXC241" s="201"/>
      <c r="QXD241" s="201"/>
      <c r="QXE241" s="201"/>
      <c r="QXF241" s="201"/>
      <c r="QXG241" s="201"/>
      <c r="QXH241" s="201"/>
      <c r="QXI241" s="201"/>
      <c r="QXJ241" s="201"/>
      <c r="QXK241" s="201"/>
      <c r="QXL241" s="201"/>
      <c r="QXM241" s="201"/>
      <c r="QXN241" s="201"/>
      <c r="QXO241" s="201"/>
      <c r="QXP241" s="201"/>
      <c r="QXQ241" s="201"/>
      <c r="QXR241" s="201"/>
      <c r="QXS241" s="201"/>
      <c r="QXT241" s="201"/>
      <c r="QXU241" s="201"/>
      <c r="QXV241" s="201"/>
      <c r="QXW241" s="201"/>
      <c r="QXX241" s="201"/>
      <c r="QXY241" s="201"/>
      <c r="QXZ241" s="201"/>
      <c r="QYA241" s="201"/>
      <c r="QYB241" s="201"/>
      <c r="QYC241" s="201"/>
      <c r="QYD241" s="201"/>
      <c r="QYE241" s="201"/>
      <c r="QYF241" s="201"/>
      <c r="QYG241" s="201"/>
      <c r="QYH241" s="201"/>
      <c r="QYI241" s="201"/>
      <c r="QYJ241" s="201"/>
      <c r="QYK241" s="201"/>
      <c r="QYL241" s="201"/>
      <c r="QYM241" s="201"/>
      <c r="QYN241" s="201"/>
      <c r="QYO241" s="201"/>
      <c r="QYP241" s="201"/>
      <c r="QYQ241" s="201"/>
      <c r="QYR241" s="201"/>
      <c r="QYS241" s="201"/>
      <c r="QYT241" s="201"/>
      <c r="QYU241" s="201"/>
      <c r="QYV241" s="201"/>
      <c r="QYW241" s="201"/>
      <c r="QYX241" s="201"/>
      <c r="QYY241" s="201"/>
      <c r="QYZ241" s="201"/>
      <c r="QZA241" s="201"/>
      <c r="QZB241" s="201"/>
      <c r="QZC241" s="201"/>
      <c r="QZD241" s="201"/>
      <c r="QZE241" s="201"/>
      <c r="QZF241" s="201"/>
      <c r="QZG241" s="201"/>
      <c r="QZH241" s="201"/>
      <c r="QZI241" s="201"/>
      <c r="QZJ241" s="201"/>
      <c r="QZK241" s="201"/>
      <c r="QZL241" s="201"/>
      <c r="QZM241" s="201"/>
      <c r="QZN241" s="201"/>
      <c r="QZO241" s="201"/>
      <c r="QZP241" s="201"/>
      <c r="QZQ241" s="201"/>
      <c r="QZR241" s="201"/>
      <c r="QZS241" s="201"/>
      <c r="QZT241" s="201"/>
      <c r="QZU241" s="201"/>
      <c r="QZV241" s="201"/>
      <c r="QZW241" s="201"/>
      <c r="QZX241" s="201"/>
      <c r="QZY241" s="201"/>
      <c r="QZZ241" s="201"/>
      <c r="RAA241" s="201"/>
      <c r="RAB241" s="201"/>
      <c r="RAC241" s="201"/>
      <c r="RAD241" s="201"/>
      <c r="RAE241" s="201"/>
      <c r="RAF241" s="201"/>
      <c r="RAG241" s="201"/>
      <c r="RAH241" s="201"/>
      <c r="RAI241" s="201"/>
      <c r="RAJ241" s="201"/>
      <c r="RAK241" s="201"/>
      <c r="RAL241" s="201"/>
      <c r="RAM241" s="201"/>
      <c r="RAN241" s="201"/>
      <c r="RAO241" s="201"/>
      <c r="RAP241" s="201"/>
      <c r="RAQ241" s="201"/>
      <c r="RAR241" s="201"/>
      <c r="RAS241" s="201"/>
      <c r="RAT241" s="201"/>
      <c r="RAU241" s="201"/>
      <c r="RAV241" s="201"/>
      <c r="RAW241" s="201"/>
      <c r="RAX241" s="201"/>
      <c r="RAY241" s="201"/>
      <c r="RAZ241" s="201"/>
      <c r="RBA241" s="201"/>
      <c r="RBB241" s="201"/>
      <c r="RBC241" s="201"/>
      <c r="RBD241" s="201"/>
      <c r="RBE241" s="201"/>
      <c r="RBF241" s="201"/>
      <c r="RBG241" s="201"/>
      <c r="RBH241" s="201"/>
      <c r="RBI241" s="201"/>
      <c r="RBJ241" s="201"/>
      <c r="RBK241" s="201"/>
      <c r="RBL241" s="201"/>
      <c r="RBM241" s="201"/>
      <c r="RBN241" s="201"/>
      <c r="RBO241" s="201"/>
      <c r="RBP241" s="201"/>
      <c r="RBQ241" s="201"/>
      <c r="RBR241" s="201"/>
      <c r="RBS241" s="201"/>
      <c r="RBT241" s="201"/>
      <c r="RBU241" s="201"/>
      <c r="RBV241" s="201"/>
      <c r="RBW241" s="201"/>
      <c r="RBX241" s="201"/>
      <c r="RBY241" s="201"/>
      <c r="RBZ241" s="201"/>
      <c r="RCA241" s="201"/>
      <c r="RCB241" s="201"/>
      <c r="RCC241" s="201"/>
      <c r="RCD241" s="201"/>
      <c r="RCE241" s="201"/>
      <c r="RCF241" s="201"/>
      <c r="RCG241" s="201"/>
      <c r="RCH241" s="201"/>
      <c r="RCI241" s="201"/>
      <c r="RCJ241" s="201"/>
      <c r="RCK241" s="201"/>
      <c r="RCL241" s="201"/>
      <c r="RCM241" s="201"/>
      <c r="RCN241" s="201"/>
      <c r="RCO241" s="201"/>
      <c r="RCP241" s="201"/>
      <c r="RCQ241" s="201"/>
      <c r="RCR241" s="201"/>
      <c r="RCS241" s="201"/>
      <c r="RCT241" s="201"/>
      <c r="RCU241" s="201"/>
      <c r="RCV241" s="201"/>
      <c r="RCW241" s="201"/>
      <c r="RCX241" s="201"/>
      <c r="RCY241" s="201"/>
      <c r="RCZ241" s="201"/>
      <c r="RDA241" s="201"/>
      <c r="RDB241" s="201"/>
      <c r="RDC241" s="201"/>
      <c r="RDD241" s="201"/>
      <c r="RDE241" s="201"/>
      <c r="RDF241" s="201"/>
      <c r="RDG241" s="201"/>
      <c r="RDH241" s="201"/>
      <c r="RDI241" s="201"/>
      <c r="RDJ241" s="201"/>
      <c r="RDK241" s="201"/>
      <c r="RDL241" s="201"/>
      <c r="RDM241" s="201"/>
      <c r="RDN241" s="201"/>
      <c r="RDO241" s="201"/>
      <c r="RDP241" s="201"/>
      <c r="RDQ241" s="201"/>
      <c r="RDR241" s="201"/>
      <c r="RDS241" s="201"/>
      <c r="RDT241" s="201"/>
      <c r="RDU241" s="201"/>
      <c r="RDV241" s="201"/>
      <c r="RDW241" s="201"/>
      <c r="RDX241" s="201"/>
      <c r="RDY241" s="201"/>
      <c r="RDZ241" s="201"/>
      <c r="REA241" s="201"/>
      <c r="REB241" s="201"/>
      <c r="REC241" s="201"/>
      <c r="RED241" s="201"/>
      <c r="REE241" s="201"/>
      <c r="REF241" s="201"/>
      <c r="REG241" s="201"/>
      <c r="REH241" s="201"/>
      <c r="REI241" s="201"/>
      <c r="REJ241" s="201"/>
      <c r="REK241" s="201"/>
      <c r="REL241" s="201"/>
      <c r="REM241" s="201"/>
      <c r="REN241" s="201"/>
      <c r="REO241" s="201"/>
      <c r="REP241" s="201"/>
      <c r="REQ241" s="201"/>
      <c r="RER241" s="201"/>
      <c r="RES241" s="201"/>
      <c r="RET241" s="201"/>
      <c r="REU241" s="201"/>
      <c r="REV241" s="201"/>
      <c r="REW241" s="201"/>
      <c r="REX241" s="201"/>
      <c r="REY241" s="201"/>
      <c r="REZ241" s="201"/>
      <c r="RFA241" s="201"/>
      <c r="RFB241" s="201"/>
      <c r="RFC241" s="201"/>
      <c r="RFD241" s="201"/>
      <c r="RFE241" s="201"/>
      <c r="RFF241" s="201"/>
      <c r="RFG241" s="201"/>
      <c r="RFH241" s="201"/>
      <c r="RFI241" s="201"/>
      <c r="RFJ241" s="201"/>
      <c r="RFK241" s="201"/>
      <c r="RFL241" s="201"/>
      <c r="RFM241" s="201"/>
      <c r="RFN241" s="201"/>
      <c r="RFO241" s="201"/>
      <c r="RFP241" s="201"/>
      <c r="RFQ241" s="201"/>
      <c r="RFR241" s="201"/>
      <c r="RFS241" s="201"/>
      <c r="RFT241" s="201"/>
      <c r="RFU241" s="201"/>
      <c r="RFV241" s="201"/>
      <c r="RFW241" s="201"/>
      <c r="RFX241" s="201"/>
      <c r="RFY241" s="201"/>
      <c r="RFZ241" s="201"/>
      <c r="RGA241" s="201"/>
      <c r="RGB241" s="201"/>
      <c r="RGC241" s="201"/>
      <c r="RGD241" s="201"/>
      <c r="RGE241" s="201"/>
      <c r="RGF241" s="201"/>
      <c r="RGG241" s="201"/>
      <c r="RGH241" s="201"/>
      <c r="RGI241" s="201"/>
      <c r="RGJ241" s="201"/>
      <c r="RGK241" s="201"/>
      <c r="RGL241" s="201"/>
      <c r="RGM241" s="201"/>
      <c r="RGN241" s="201"/>
      <c r="RGO241" s="201"/>
      <c r="RGP241" s="201"/>
      <c r="RGQ241" s="201"/>
      <c r="RGR241" s="201"/>
      <c r="RGS241" s="201"/>
      <c r="RGT241" s="201"/>
      <c r="RGU241" s="201"/>
      <c r="RGV241" s="201"/>
      <c r="RGW241" s="201"/>
      <c r="RGX241" s="201"/>
      <c r="RGY241" s="201"/>
      <c r="RGZ241" s="201"/>
      <c r="RHA241" s="201"/>
      <c r="RHB241" s="201"/>
      <c r="RHC241" s="201"/>
      <c r="RHD241" s="201"/>
      <c r="RHE241" s="201"/>
      <c r="RHF241" s="201"/>
      <c r="RHG241" s="201"/>
      <c r="RHH241" s="201"/>
      <c r="RHI241" s="201"/>
      <c r="RHJ241" s="201"/>
      <c r="RHK241" s="201"/>
      <c r="RHL241" s="201"/>
      <c r="RHM241" s="201"/>
      <c r="RHN241" s="201"/>
      <c r="RHO241" s="201"/>
      <c r="RHP241" s="201"/>
      <c r="RHQ241" s="201"/>
      <c r="RHR241" s="201"/>
      <c r="RHS241" s="201"/>
      <c r="RHT241" s="201"/>
      <c r="RHU241" s="201"/>
      <c r="RHV241" s="201"/>
      <c r="RHW241" s="201"/>
      <c r="RHX241" s="201"/>
      <c r="RHY241" s="201"/>
      <c r="RHZ241" s="201"/>
      <c r="RIA241" s="201"/>
      <c r="RIB241" s="201"/>
      <c r="RIC241" s="201"/>
      <c r="RID241" s="201"/>
      <c r="RIE241" s="201"/>
      <c r="RIF241" s="201"/>
      <c r="RIG241" s="201"/>
      <c r="RIH241" s="201"/>
      <c r="RII241" s="201"/>
      <c r="RIJ241" s="201"/>
      <c r="RIK241" s="201"/>
      <c r="RIL241" s="201"/>
      <c r="RIM241" s="201"/>
      <c r="RIN241" s="201"/>
      <c r="RIO241" s="201"/>
      <c r="RIP241" s="201"/>
      <c r="RIQ241" s="201"/>
      <c r="RIR241" s="201"/>
      <c r="RIS241" s="201"/>
      <c r="RIT241" s="201"/>
      <c r="RIU241" s="201"/>
      <c r="RIV241" s="201"/>
      <c r="RIW241" s="201"/>
      <c r="RIX241" s="201"/>
      <c r="RIY241" s="201"/>
      <c r="RIZ241" s="201"/>
      <c r="RJA241" s="201"/>
      <c r="RJB241" s="201"/>
      <c r="RJC241" s="201"/>
      <c r="RJD241" s="201"/>
      <c r="RJE241" s="201"/>
      <c r="RJF241" s="201"/>
      <c r="RJG241" s="201"/>
      <c r="RJH241" s="201"/>
      <c r="RJI241" s="201"/>
      <c r="RJJ241" s="201"/>
      <c r="RJK241" s="201"/>
      <c r="RJL241" s="201"/>
      <c r="RJM241" s="201"/>
      <c r="RJN241" s="201"/>
      <c r="RJO241" s="201"/>
      <c r="RJP241" s="201"/>
      <c r="RJQ241" s="201"/>
      <c r="RJR241" s="201"/>
      <c r="RJS241" s="201"/>
      <c r="RJT241" s="201"/>
      <c r="RJU241" s="201"/>
      <c r="RJV241" s="201"/>
      <c r="RJW241" s="201"/>
      <c r="RJX241" s="201"/>
      <c r="RJY241" s="201"/>
      <c r="RJZ241" s="201"/>
      <c r="RKA241" s="201"/>
      <c r="RKB241" s="201"/>
      <c r="RKC241" s="201"/>
      <c r="RKD241" s="201"/>
      <c r="RKE241" s="201"/>
      <c r="RKF241" s="201"/>
      <c r="RKG241" s="201"/>
      <c r="RKH241" s="201"/>
      <c r="RKI241" s="201"/>
      <c r="RKJ241" s="201"/>
      <c r="RKK241" s="201"/>
      <c r="RKL241" s="201"/>
      <c r="RKM241" s="201"/>
      <c r="RKN241" s="201"/>
      <c r="RKO241" s="201"/>
      <c r="RKP241" s="201"/>
      <c r="RKQ241" s="201"/>
      <c r="RKR241" s="201"/>
      <c r="RKS241" s="201"/>
      <c r="RKT241" s="201"/>
      <c r="RKU241" s="201"/>
      <c r="RKV241" s="201"/>
      <c r="RKW241" s="201"/>
      <c r="RKX241" s="201"/>
      <c r="RKY241" s="201"/>
      <c r="RKZ241" s="201"/>
      <c r="RLA241" s="201"/>
      <c r="RLB241" s="201"/>
      <c r="RLC241" s="201"/>
      <c r="RLD241" s="201"/>
      <c r="RLE241" s="201"/>
      <c r="RLF241" s="201"/>
      <c r="RLG241" s="201"/>
      <c r="RLH241" s="201"/>
      <c r="RLI241" s="201"/>
      <c r="RLJ241" s="201"/>
      <c r="RLK241" s="201"/>
      <c r="RLL241" s="201"/>
      <c r="RLM241" s="201"/>
      <c r="RLN241" s="201"/>
      <c r="RLO241" s="201"/>
      <c r="RLP241" s="201"/>
      <c r="RLQ241" s="201"/>
      <c r="RLR241" s="201"/>
      <c r="RLS241" s="201"/>
      <c r="RLT241" s="201"/>
      <c r="RLU241" s="201"/>
      <c r="RLV241" s="201"/>
      <c r="RLW241" s="201"/>
      <c r="RLX241" s="201"/>
      <c r="RLY241" s="201"/>
      <c r="RLZ241" s="201"/>
      <c r="RMA241" s="201"/>
      <c r="RMB241" s="201"/>
      <c r="RMC241" s="201"/>
      <c r="RMD241" s="201"/>
      <c r="RME241" s="201"/>
      <c r="RMF241" s="201"/>
      <c r="RMG241" s="201"/>
      <c r="RMH241" s="201"/>
      <c r="RMI241" s="201"/>
      <c r="RMJ241" s="201"/>
      <c r="RMK241" s="201"/>
      <c r="RML241" s="201"/>
      <c r="RMM241" s="201"/>
      <c r="RMN241" s="201"/>
      <c r="RMO241" s="201"/>
      <c r="RMP241" s="201"/>
      <c r="RMQ241" s="201"/>
      <c r="RMR241" s="201"/>
      <c r="RMS241" s="201"/>
      <c r="RMT241" s="201"/>
      <c r="RMU241" s="201"/>
      <c r="RMV241" s="201"/>
      <c r="RMW241" s="201"/>
      <c r="RMX241" s="201"/>
      <c r="RMY241" s="201"/>
      <c r="RMZ241" s="201"/>
      <c r="RNA241" s="201"/>
      <c r="RNB241" s="201"/>
      <c r="RNC241" s="201"/>
      <c r="RND241" s="201"/>
      <c r="RNE241" s="201"/>
      <c r="RNF241" s="201"/>
      <c r="RNG241" s="201"/>
      <c r="RNH241" s="201"/>
      <c r="RNI241" s="201"/>
      <c r="RNJ241" s="201"/>
      <c r="RNK241" s="201"/>
      <c r="RNL241" s="201"/>
      <c r="RNM241" s="201"/>
      <c r="RNN241" s="201"/>
      <c r="RNO241" s="201"/>
      <c r="RNP241" s="201"/>
      <c r="RNQ241" s="201"/>
      <c r="RNR241" s="201"/>
      <c r="RNS241" s="201"/>
      <c r="RNT241" s="201"/>
      <c r="RNU241" s="201"/>
      <c r="RNV241" s="201"/>
      <c r="RNW241" s="201"/>
      <c r="RNX241" s="201"/>
      <c r="RNY241" s="201"/>
      <c r="RNZ241" s="201"/>
      <c r="ROA241" s="201"/>
      <c r="ROB241" s="201"/>
      <c r="ROC241" s="201"/>
      <c r="ROD241" s="201"/>
      <c r="ROE241" s="201"/>
      <c r="ROF241" s="201"/>
      <c r="ROG241" s="201"/>
      <c r="ROH241" s="201"/>
      <c r="ROI241" s="201"/>
      <c r="ROJ241" s="201"/>
      <c r="ROK241" s="201"/>
      <c r="ROL241" s="201"/>
      <c r="ROM241" s="201"/>
      <c r="RON241" s="201"/>
      <c r="ROO241" s="201"/>
      <c r="ROP241" s="201"/>
      <c r="ROQ241" s="201"/>
      <c r="ROR241" s="201"/>
      <c r="ROS241" s="201"/>
      <c r="ROT241" s="201"/>
      <c r="ROU241" s="201"/>
      <c r="ROV241" s="201"/>
      <c r="ROW241" s="201"/>
      <c r="ROX241" s="201"/>
      <c r="ROY241" s="201"/>
      <c r="ROZ241" s="201"/>
      <c r="RPA241" s="201"/>
      <c r="RPB241" s="201"/>
      <c r="RPC241" s="201"/>
      <c r="RPD241" s="201"/>
      <c r="RPE241" s="201"/>
      <c r="RPF241" s="201"/>
      <c r="RPG241" s="201"/>
      <c r="RPH241" s="201"/>
      <c r="RPI241" s="201"/>
      <c r="RPJ241" s="201"/>
      <c r="RPK241" s="201"/>
      <c r="RPL241" s="201"/>
      <c r="RPM241" s="201"/>
      <c r="RPN241" s="201"/>
      <c r="RPO241" s="201"/>
      <c r="RPP241" s="201"/>
      <c r="RPQ241" s="201"/>
      <c r="RPR241" s="201"/>
      <c r="RPS241" s="201"/>
      <c r="RPT241" s="201"/>
      <c r="RPU241" s="201"/>
      <c r="RPV241" s="201"/>
      <c r="RPW241" s="201"/>
      <c r="RPX241" s="201"/>
      <c r="RPY241" s="201"/>
      <c r="RPZ241" s="201"/>
      <c r="RQA241" s="201"/>
      <c r="RQB241" s="201"/>
      <c r="RQC241" s="201"/>
      <c r="RQD241" s="201"/>
      <c r="RQE241" s="201"/>
      <c r="RQF241" s="201"/>
      <c r="RQG241" s="201"/>
      <c r="RQH241" s="201"/>
      <c r="RQI241" s="201"/>
      <c r="RQJ241" s="201"/>
      <c r="RQK241" s="201"/>
      <c r="RQL241" s="201"/>
      <c r="RQM241" s="201"/>
      <c r="RQN241" s="201"/>
      <c r="RQO241" s="201"/>
      <c r="RQP241" s="201"/>
      <c r="RQQ241" s="201"/>
      <c r="RQR241" s="201"/>
      <c r="RQS241" s="201"/>
      <c r="RQT241" s="201"/>
      <c r="RQU241" s="201"/>
      <c r="RQV241" s="201"/>
      <c r="RQW241" s="201"/>
      <c r="RQX241" s="201"/>
      <c r="RQY241" s="201"/>
      <c r="RQZ241" s="201"/>
      <c r="RRA241" s="201"/>
      <c r="RRB241" s="201"/>
      <c r="RRC241" s="201"/>
      <c r="RRD241" s="201"/>
      <c r="RRE241" s="201"/>
      <c r="RRF241" s="201"/>
      <c r="RRG241" s="201"/>
      <c r="RRH241" s="201"/>
      <c r="RRI241" s="201"/>
      <c r="RRJ241" s="201"/>
      <c r="RRK241" s="201"/>
      <c r="RRL241" s="201"/>
      <c r="RRM241" s="201"/>
      <c r="RRN241" s="201"/>
      <c r="RRO241" s="201"/>
      <c r="RRP241" s="201"/>
      <c r="RRQ241" s="201"/>
      <c r="RRR241" s="201"/>
      <c r="RRS241" s="201"/>
      <c r="RRT241" s="201"/>
      <c r="RRU241" s="201"/>
      <c r="RRV241" s="201"/>
      <c r="RRW241" s="201"/>
      <c r="RRX241" s="201"/>
      <c r="RRY241" s="201"/>
      <c r="RRZ241" s="201"/>
      <c r="RSA241" s="201"/>
      <c r="RSB241" s="201"/>
      <c r="RSC241" s="201"/>
      <c r="RSD241" s="201"/>
      <c r="RSE241" s="201"/>
      <c r="RSF241" s="201"/>
      <c r="RSG241" s="201"/>
      <c r="RSH241" s="201"/>
      <c r="RSI241" s="201"/>
      <c r="RSJ241" s="201"/>
      <c r="RSK241" s="201"/>
      <c r="RSL241" s="201"/>
      <c r="RSM241" s="201"/>
      <c r="RSN241" s="201"/>
      <c r="RSO241" s="201"/>
      <c r="RSP241" s="201"/>
      <c r="RSQ241" s="201"/>
      <c r="RSR241" s="201"/>
      <c r="RSS241" s="201"/>
      <c r="RST241" s="201"/>
      <c r="RSU241" s="201"/>
      <c r="RSV241" s="201"/>
      <c r="RSW241" s="201"/>
      <c r="RSX241" s="201"/>
      <c r="RSY241" s="201"/>
      <c r="RSZ241" s="201"/>
      <c r="RTA241" s="201"/>
      <c r="RTB241" s="201"/>
      <c r="RTC241" s="201"/>
      <c r="RTD241" s="201"/>
      <c r="RTE241" s="201"/>
      <c r="RTF241" s="201"/>
      <c r="RTG241" s="201"/>
      <c r="RTH241" s="201"/>
      <c r="RTI241" s="201"/>
      <c r="RTJ241" s="201"/>
      <c r="RTK241" s="201"/>
      <c r="RTL241" s="201"/>
      <c r="RTM241" s="201"/>
      <c r="RTN241" s="201"/>
      <c r="RTO241" s="201"/>
      <c r="RTP241" s="201"/>
      <c r="RTQ241" s="201"/>
      <c r="RTR241" s="201"/>
      <c r="RTS241" s="201"/>
      <c r="RTT241" s="201"/>
      <c r="RTU241" s="201"/>
      <c r="RTV241" s="201"/>
      <c r="RTW241" s="201"/>
      <c r="RTX241" s="201"/>
      <c r="RTY241" s="201"/>
      <c r="RTZ241" s="201"/>
      <c r="RUA241" s="201"/>
      <c r="RUB241" s="201"/>
      <c r="RUC241" s="201"/>
      <c r="RUD241" s="201"/>
      <c r="RUE241" s="201"/>
      <c r="RUF241" s="201"/>
      <c r="RUG241" s="201"/>
      <c r="RUH241" s="201"/>
      <c r="RUI241" s="201"/>
      <c r="RUJ241" s="201"/>
      <c r="RUK241" s="201"/>
      <c r="RUL241" s="201"/>
      <c r="RUM241" s="201"/>
      <c r="RUN241" s="201"/>
      <c r="RUO241" s="201"/>
      <c r="RUP241" s="201"/>
      <c r="RUQ241" s="201"/>
      <c r="RUR241" s="201"/>
      <c r="RUS241" s="201"/>
      <c r="RUT241" s="201"/>
      <c r="RUU241" s="201"/>
      <c r="RUV241" s="201"/>
      <c r="RUW241" s="201"/>
      <c r="RUX241" s="201"/>
      <c r="RUY241" s="201"/>
      <c r="RUZ241" s="201"/>
      <c r="RVA241" s="201"/>
      <c r="RVB241" s="201"/>
      <c r="RVC241" s="201"/>
      <c r="RVD241" s="201"/>
      <c r="RVE241" s="201"/>
      <c r="RVF241" s="201"/>
      <c r="RVG241" s="201"/>
      <c r="RVH241" s="201"/>
      <c r="RVI241" s="201"/>
      <c r="RVJ241" s="201"/>
      <c r="RVK241" s="201"/>
      <c r="RVL241" s="201"/>
      <c r="RVM241" s="201"/>
      <c r="RVN241" s="201"/>
      <c r="RVO241" s="201"/>
      <c r="RVP241" s="201"/>
      <c r="RVQ241" s="201"/>
      <c r="RVR241" s="201"/>
      <c r="RVS241" s="201"/>
      <c r="RVT241" s="201"/>
      <c r="RVU241" s="201"/>
      <c r="RVV241" s="201"/>
      <c r="RVW241" s="201"/>
      <c r="RVX241" s="201"/>
      <c r="RVY241" s="201"/>
      <c r="RVZ241" s="201"/>
      <c r="RWA241" s="201"/>
      <c r="RWB241" s="201"/>
      <c r="RWC241" s="201"/>
      <c r="RWD241" s="201"/>
      <c r="RWE241" s="201"/>
      <c r="RWF241" s="201"/>
      <c r="RWG241" s="201"/>
      <c r="RWH241" s="201"/>
      <c r="RWI241" s="201"/>
      <c r="RWJ241" s="201"/>
      <c r="RWK241" s="201"/>
      <c r="RWL241" s="201"/>
      <c r="RWM241" s="201"/>
      <c r="RWN241" s="201"/>
      <c r="RWO241" s="201"/>
      <c r="RWP241" s="201"/>
      <c r="RWQ241" s="201"/>
      <c r="RWR241" s="201"/>
      <c r="RWS241" s="201"/>
      <c r="RWT241" s="201"/>
      <c r="RWU241" s="201"/>
      <c r="RWV241" s="201"/>
      <c r="RWW241" s="201"/>
      <c r="RWX241" s="201"/>
      <c r="RWY241" s="201"/>
      <c r="RWZ241" s="201"/>
      <c r="RXA241" s="201"/>
      <c r="RXB241" s="201"/>
      <c r="RXC241" s="201"/>
      <c r="RXD241" s="201"/>
      <c r="RXE241" s="201"/>
      <c r="RXF241" s="201"/>
      <c r="RXG241" s="201"/>
      <c r="RXH241" s="201"/>
      <c r="RXI241" s="201"/>
      <c r="RXJ241" s="201"/>
      <c r="RXK241" s="201"/>
      <c r="RXL241" s="201"/>
      <c r="RXM241" s="201"/>
      <c r="RXN241" s="201"/>
      <c r="RXO241" s="201"/>
      <c r="RXP241" s="201"/>
      <c r="RXQ241" s="201"/>
      <c r="RXR241" s="201"/>
      <c r="RXS241" s="201"/>
      <c r="RXT241" s="201"/>
      <c r="RXU241" s="201"/>
      <c r="RXV241" s="201"/>
      <c r="RXW241" s="201"/>
      <c r="RXX241" s="201"/>
      <c r="RXY241" s="201"/>
      <c r="RXZ241" s="201"/>
      <c r="RYA241" s="201"/>
      <c r="RYB241" s="201"/>
      <c r="RYC241" s="201"/>
      <c r="RYD241" s="201"/>
      <c r="RYE241" s="201"/>
      <c r="RYF241" s="201"/>
      <c r="RYG241" s="201"/>
      <c r="RYH241" s="201"/>
      <c r="RYI241" s="201"/>
      <c r="RYJ241" s="201"/>
      <c r="RYK241" s="201"/>
      <c r="RYL241" s="201"/>
      <c r="RYM241" s="201"/>
      <c r="RYN241" s="201"/>
      <c r="RYO241" s="201"/>
      <c r="RYP241" s="201"/>
      <c r="RYQ241" s="201"/>
      <c r="RYR241" s="201"/>
      <c r="RYS241" s="201"/>
      <c r="RYT241" s="201"/>
      <c r="RYU241" s="201"/>
      <c r="RYV241" s="201"/>
      <c r="RYW241" s="201"/>
      <c r="RYX241" s="201"/>
      <c r="RYY241" s="201"/>
      <c r="RYZ241" s="201"/>
      <c r="RZA241" s="201"/>
      <c r="RZB241" s="201"/>
      <c r="RZC241" s="201"/>
      <c r="RZD241" s="201"/>
      <c r="RZE241" s="201"/>
      <c r="RZF241" s="201"/>
      <c r="RZG241" s="201"/>
      <c r="RZH241" s="201"/>
      <c r="RZI241" s="201"/>
      <c r="RZJ241" s="201"/>
      <c r="RZK241" s="201"/>
      <c r="RZL241" s="201"/>
      <c r="RZM241" s="201"/>
      <c r="RZN241" s="201"/>
      <c r="RZO241" s="201"/>
      <c r="RZP241" s="201"/>
      <c r="RZQ241" s="201"/>
      <c r="RZR241" s="201"/>
      <c r="RZS241" s="201"/>
      <c r="RZT241" s="201"/>
      <c r="RZU241" s="201"/>
      <c r="RZV241" s="201"/>
      <c r="RZW241" s="201"/>
      <c r="RZX241" s="201"/>
      <c r="RZY241" s="201"/>
      <c r="RZZ241" s="201"/>
      <c r="SAA241" s="201"/>
      <c r="SAB241" s="201"/>
      <c r="SAC241" s="201"/>
      <c r="SAD241" s="201"/>
      <c r="SAE241" s="201"/>
      <c r="SAF241" s="201"/>
      <c r="SAG241" s="201"/>
      <c r="SAH241" s="201"/>
      <c r="SAI241" s="201"/>
      <c r="SAJ241" s="201"/>
      <c r="SAK241" s="201"/>
      <c r="SAL241" s="201"/>
      <c r="SAM241" s="201"/>
      <c r="SAN241" s="201"/>
      <c r="SAO241" s="201"/>
      <c r="SAP241" s="201"/>
      <c r="SAQ241" s="201"/>
      <c r="SAR241" s="201"/>
      <c r="SAS241" s="201"/>
      <c r="SAT241" s="201"/>
      <c r="SAU241" s="201"/>
      <c r="SAV241" s="201"/>
      <c r="SAW241" s="201"/>
      <c r="SAX241" s="201"/>
      <c r="SAY241" s="201"/>
      <c r="SAZ241" s="201"/>
      <c r="SBA241" s="201"/>
      <c r="SBB241" s="201"/>
      <c r="SBC241" s="201"/>
      <c r="SBD241" s="201"/>
      <c r="SBE241" s="201"/>
      <c r="SBF241" s="201"/>
      <c r="SBG241" s="201"/>
      <c r="SBH241" s="201"/>
      <c r="SBI241" s="201"/>
      <c r="SBJ241" s="201"/>
      <c r="SBK241" s="201"/>
      <c r="SBL241" s="201"/>
      <c r="SBM241" s="201"/>
      <c r="SBN241" s="201"/>
      <c r="SBO241" s="201"/>
      <c r="SBP241" s="201"/>
      <c r="SBQ241" s="201"/>
      <c r="SBR241" s="201"/>
      <c r="SBS241" s="201"/>
      <c r="SBT241" s="201"/>
      <c r="SBU241" s="201"/>
      <c r="SBV241" s="201"/>
      <c r="SBW241" s="201"/>
      <c r="SBX241" s="201"/>
      <c r="SBY241" s="201"/>
      <c r="SBZ241" s="201"/>
      <c r="SCA241" s="201"/>
      <c r="SCB241" s="201"/>
      <c r="SCC241" s="201"/>
      <c r="SCD241" s="201"/>
      <c r="SCE241" s="201"/>
      <c r="SCF241" s="201"/>
      <c r="SCG241" s="201"/>
      <c r="SCH241" s="201"/>
      <c r="SCI241" s="201"/>
      <c r="SCJ241" s="201"/>
      <c r="SCK241" s="201"/>
      <c r="SCL241" s="201"/>
      <c r="SCM241" s="201"/>
      <c r="SCN241" s="201"/>
      <c r="SCO241" s="201"/>
      <c r="SCP241" s="201"/>
      <c r="SCQ241" s="201"/>
      <c r="SCR241" s="201"/>
      <c r="SCS241" s="201"/>
      <c r="SCT241" s="201"/>
      <c r="SCU241" s="201"/>
      <c r="SCV241" s="201"/>
      <c r="SCW241" s="201"/>
      <c r="SCX241" s="201"/>
      <c r="SCY241" s="201"/>
      <c r="SCZ241" s="201"/>
      <c r="SDA241" s="201"/>
      <c r="SDB241" s="201"/>
      <c r="SDC241" s="201"/>
      <c r="SDD241" s="201"/>
      <c r="SDE241" s="201"/>
      <c r="SDF241" s="201"/>
      <c r="SDG241" s="201"/>
      <c r="SDH241" s="201"/>
      <c r="SDI241" s="201"/>
      <c r="SDJ241" s="201"/>
      <c r="SDK241" s="201"/>
      <c r="SDL241" s="201"/>
      <c r="SDM241" s="201"/>
      <c r="SDN241" s="201"/>
      <c r="SDO241" s="201"/>
      <c r="SDP241" s="201"/>
      <c r="SDQ241" s="201"/>
      <c r="SDR241" s="201"/>
      <c r="SDS241" s="201"/>
      <c r="SDT241" s="201"/>
      <c r="SDU241" s="201"/>
      <c r="SDV241" s="201"/>
      <c r="SDW241" s="201"/>
      <c r="SDX241" s="201"/>
      <c r="SDY241" s="201"/>
      <c r="SDZ241" s="201"/>
      <c r="SEA241" s="201"/>
      <c r="SEB241" s="201"/>
      <c r="SEC241" s="201"/>
      <c r="SED241" s="201"/>
      <c r="SEE241" s="201"/>
      <c r="SEF241" s="201"/>
      <c r="SEG241" s="201"/>
      <c r="SEH241" s="201"/>
      <c r="SEI241" s="201"/>
      <c r="SEJ241" s="201"/>
      <c r="SEK241" s="201"/>
      <c r="SEL241" s="201"/>
      <c r="SEM241" s="201"/>
      <c r="SEN241" s="201"/>
      <c r="SEO241" s="201"/>
      <c r="SEP241" s="201"/>
      <c r="SEQ241" s="201"/>
      <c r="SER241" s="201"/>
      <c r="SES241" s="201"/>
      <c r="SET241" s="201"/>
      <c r="SEU241" s="201"/>
      <c r="SEV241" s="201"/>
      <c r="SEW241" s="201"/>
      <c r="SEX241" s="201"/>
      <c r="SEY241" s="201"/>
      <c r="SEZ241" s="201"/>
      <c r="SFA241" s="201"/>
      <c r="SFB241" s="201"/>
      <c r="SFC241" s="201"/>
      <c r="SFD241" s="201"/>
      <c r="SFE241" s="201"/>
      <c r="SFF241" s="201"/>
      <c r="SFG241" s="201"/>
      <c r="SFH241" s="201"/>
      <c r="SFI241" s="201"/>
      <c r="SFJ241" s="201"/>
      <c r="SFK241" s="201"/>
      <c r="SFL241" s="201"/>
      <c r="SFM241" s="201"/>
      <c r="SFN241" s="201"/>
      <c r="SFO241" s="201"/>
      <c r="SFP241" s="201"/>
      <c r="SFQ241" s="201"/>
      <c r="SFR241" s="201"/>
      <c r="SFS241" s="201"/>
      <c r="SFT241" s="201"/>
      <c r="SFU241" s="201"/>
      <c r="SFV241" s="201"/>
      <c r="SFW241" s="201"/>
      <c r="SFX241" s="201"/>
      <c r="SFY241" s="201"/>
      <c r="SFZ241" s="201"/>
      <c r="SGA241" s="201"/>
      <c r="SGB241" s="201"/>
      <c r="SGC241" s="201"/>
      <c r="SGD241" s="201"/>
      <c r="SGE241" s="201"/>
      <c r="SGF241" s="201"/>
      <c r="SGG241" s="201"/>
      <c r="SGH241" s="201"/>
      <c r="SGI241" s="201"/>
      <c r="SGJ241" s="201"/>
      <c r="SGK241" s="201"/>
      <c r="SGL241" s="201"/>
      <c r="SGM241" s="201"/>
      <c r="SGN241" s="201"/>
      <c r="SGO241" s="201"/>
      <c r="SGP241" s="201"/>
      <c r="SGQ241" s="201"/>
      <c r="SGR241" s="201"/>
      <c r="SGS241" s="201"/>
      <c r="SGT241" s="201"/>
      <c r="SGU241" s="201"/>
      <c r="SGV241" s="201"/>
      <c r="SGW241" s="201"/>
      <c r="SGX241" s="201"/>
      <c r="SGY241" s="201"/>
      <c r="SGZ241" s="201"/>
      <c r="SHA241" s="201"/>
      <c r="SHB241" s="201"/>
      <c r="SHC241" s="201"/>
      <c r="SHD241" s="201"/>
      <c r="SHE241" s="201"/>
      <c r="SHF241" s="201"/>
      <c r="SHG241" s="201"/>
      <c r="SHH241" s="201"/>
      <c r="SHI241" s="201"/>
      <c r="SHJ241" s="201"/>
      <c r="SHK241" s="201"/>
      <c r="SHL241" s="201"/>
      <c r="SHM241" s="201"/>
      <c r="SHN241" s="201"/>
      <c r="SHO241" s="201"/>
      <c r="SHP241" s="201"/>
      <c r="SHQ241" s="201"/>
      <c r="SHR241" s="201"/>
      <c r="SHS241" s="201"/>
      <c r="SHT241" s="201"/>
      <c r="SHU241" s="201"/>
      <c r="SHV241" s="201"/>
      <c r="SHW241" s="201"/>
      <c r="SHX241" s="201"/>
      <c r="SHY241" s="201"/>
      <c r="SHZ241" s="201"/>
      <c r="SIA241" s="201"/>
      <c r="SIB241" s="201"/>
      <c r="SIC241" s="201"/>
      <c r="SID241" s="201"/>
      <c r="SIE241" s="201"/>
      <c r="SIF241" s="201"/>
      <c r="SIG241" s="201"/>
      <c r="SIH241" s="201"/>
      <c r="SII241" s="201"/>
      <c r="SIJ241" s="201"/>
      <c r="SIK241" s="201"/>
      <c r="SIL241" s="201"/>
      <c r="SIM241" s="201"/>
      <c r="SIN241" s="201"/>
      <c r="SIO241" s="201"/>
      <c r="SIP241" s="201"/>
      <c r="SIQ241" s="201"/>
      <c r="SIR241" s="201"/>
      <c r="SIS241" s="201"/>
      <c r="SIT241" s="201"/>
      <c r="SIU241" s="201"/>
      <c r="SIV241" s="201"/>
      <c r="SIW241" s="201"/>
      <c r="SIX241" s="201"/>
      <c r="SIY241" s="201"/>
      <c r="SIZ241" s="201"/>
      <c r="SJA241" s="201"/>
      <c r="SJB241" s="201"/>
      <c r="SJC241" s="201"/>
      <c r="SJD241" s="201"/>
      <c r="SJE241" s="201"/>
      <c r="SJF241" s="201"/>
      <c r="SJG241" s="201"/>
      <c r="SJH241" s="201"/>
      <c r="SJI241" s="201"/>
      <c r="SJJ241" s="201"/>
      <c r="SJK241" s="201"/>
      <c r="SJL241" s="201"/>
      <c r="SJM241" s="201"/>
      <c r="SJN241" s="201"/>
      <c r="SJO241" s="201"/>
      <c r="SJP241" s="201"/>
      <c r="SJQ241" s="201"/>
      <c r="SJR241" s="201"/>
      <c r="SJS241" s="201"/>
      <c r="SJT241" s="201"/>
      <c r="SJU241" s="201"/>
      <c r="SJV241" s="201"/>
      <c r="SJW241" s="201"/>
      <c r="SJX241" s="201"/>
      <c r="SJY241" s="201"/>
      <c r="SJZ241" s="201"/>
      <c r="SKA241" s="201"/>
      <c r="SKB241" s="201"/>
      <c r="SKC241" s="201"/>
      <c r="SKD241" s="201"/>
      <c r="SKE241" s="201"/>
      <c r="SKF241" s="201"/>
      <c r="SKG241" s="201"/>
      <c r="SKH241" s="201"/>
      <c r="SKI241" s="201"/>
      <c r="SKJ241" s="201"/>
      <c r="SKK241" s="201"/>
      <c r="SKL241" s="201"/>
      <c r="SKM241" s="201"/>
      <c r="SKN241" s="201"/>
      <c r="SKO241" s="201"/>
      <c r="SKP241" s="201"/>
      <c r="SKQ241" s="201"/>
      <c r="SKR241" s="201"/>
      <c r="SKS241" s="201"/>
      <c r="SKT241" s="201"/>
      <c r="SKU241" s="201"/>
      <c r="SKV241" s="201"/>
      <c r="SKW241" s="201"/>
      <c r="SKX241" s="201"/>
      <c r="SKY241" s="201"/>
      <c r="SKZ241" s="201"/>
      <c r="SLA241" s="201"/>
      <c r="SLB241" s="201"/>
      <c r="SLC241" s="201"/>
      <c r="SLD241" s="201"/>
      <c r="SLE241" s="201"/>
      <c r="SLF241" s="201"/>
      <c r="SLG241" s="201"/>
      <c r="SLH241" s="201"/>
      <c r="SLI241" s="201"/>
      <c r="SLJ241" s="201"/>
      <c r="SLK241" s="201"/>
      <c r="SLL241" s="201"/>
      <c r="SLM241" s="201"/>
      <c r="SLN241" s="201"/>
      <c r="SLO241" s="201"/>
      <c r="SLP241" s="201"/>
      <c r="SLQ241" s="201"/>
      <c r="SLR241" s="201"/>
      <c r="SLS241" s="201"/>
      <c r="SLT241" s="201"/>
      <c r="SLU241" s="201"/>
      <c r="SLV241" s="201"/>
      <c r="SLW241" s="201"/>
      <c r="SLX241" s="201"/>
      <c r="SLY241" s="201"/>
      <c r="SLZ241" s="201"/>
      <c r="SMA241" s="201"/>
      <c r="SMB241" s="201"/>
      <c r="SMC241" s="201"/>
      <c r="SMD241" s="201"/>
      <c r="SME241" s="201"/>
      <c r="SMF241" s="201"/>
      <c r="SMG241" s="201"/>
      <c r="SMH241" s="201"/>
      <c r="SMI241" s="201"/>
      <c r="SMJ241" s="201"/>
      <c r="SMK241" s="201"/>
      <c r="SML241" s="201"/>
      <c r="SMM241" s="201"/>
      <c r="SMN241" s="201"/>
      <c r="SMO241" s="201"/>
      <c r="SMP241" s="201"/>
      <c r="SMQ241" s="201"/>
      <c r="SMR241" s="201"/>
      <c r="SMS241" s="201"/>
      <c r="SMT241" s="201"/>
      <c r="SMU241" s="201"/>
      <c r="SMV241" s="201"/>
      <c r="SMW241" s="201"/>
      <c r="SMX241" s="201"/>
      <c r="SMY241" s="201"/>
      <c r="SMZ241" s="201"/>
      <c r="SNA241" s="201"/>
      <c r="SNB241" s="201"/>
      <c r="SNC241" s="201"/>
      <c r="SND241" s="201"/>
      <c r="SNE241" s="201"/>
      <c r="SNF241" s="201"/>
      <c r="SNG241" s="201"/>
      <c r="SNH241" s="201"/>
      <c r="SNI241" s="201"/>
      <c r="SNJ241" s="201"/>
      <c r="SNK241" s="201"/>
      <c r="SNL241" s="201"/>
      <c r="SNM241" s="201"/>
      <c r="SNN241" s="201"/>
      <c r="SNO241" s="201"/>
      <c r="SNP241" s="201"/>
      <c r="SNQ241" s="201"/>
      <c r="SNR241" s="201"/>
      <c r="SNS241" s="201"/>
      <c r="SNT241" s="201"/>
      <c r="SNU241" s="201"/>
      <c r="SNV241" s="201"/>
      <c r="SNW241" s="201"/>
      <c r="SNX241" s="201"/>
      <c r="SNY241" s="201"/>
      <c r="SNZ241" s="201"/>
      <c r="SOA241" s="201"/>
      <c r="SOB241" s="201"/>
      <c r="SOC241" s="201"/>
      <c r="SOD241" s="201"/>
      <c r="SOE241" s="201"/>
      <c r="SOF241" s="201"/>
      <c r="SOG241" s="201"/>
      <c r="SOH241" s="201"/>
      <c r="SOI241" s="201"/>
      <c r="SOJ241" s="201"/>
      <c r="SOK241" s="201"/>
      <c r="SOL241" s="201"/>
      <c r="SOM241" s="201"/>
      <c r="SON241" s="201"/>
      <c r="SOO241" s="201"/>
      <c r="SOP241" s="201"/>
      <c r="SOQ241" s="201"/>
      <c r="SOR241" s="201"/>
      <c r="SOS241" s="201"/>
      <c r="SOT241" s="201"/>
      <c r="SOU241" s="201"/>
      <c r="SOV241" s="201"/>
      <c r="SOW241" s="201"/>
      <c r="SOX241" s="201"/>
      <c r="SOY241" s="201"/>
      <c r="SOZ241" s="201"/>
      <c r="SPA241" s="201"/>
      <c r="SPB241" s="201"/>
      <c r="SPC241" s="201"/>
      <c r="SPD241" s="201"/>
      <c r="SPE241" s="201"/>
      <c r="SPF241" s="201"/>
      <c r="SPG241" s="201"/>
      <c r="SPH241" s="201"/>
      <c r="SPI241" s="201"/>
      <c r="SPJ241" s="201"/>
      <c r="SPK241" s="201"/>
      <c r="SPL241" s="201"/>
      <c r="SPM241" s="201"/>
      <c r="SPN241" s="201"/>
      <c r="SPO241" s="201"/>
      <c r="SPP241" s="201"/>
      <c r="SPQ241" s="201"/>
      <c r="SPR241" s="201"/>
      <c r="SPS241" s="201"/>
      <c r="SPT241" s="201"/>
      <c r="SPU241" s="201"/>
      <c r="SPV241" s="201"/>
      <c r="SPW241" s="201"/>
      <c r="SPX241" s="201"/>
      <c r="SPY241" s="201"/>
      <c r="SPZ241" s="201"/>
      <c r="SQA241" s="201"/>
      <c r="SQB241" s="201"/>
      <c r="SQC241" s="201"/>
      <c r="SQD241" s="201"/>
      <c r="SQE241" s="201"/>
      <c r="SQF241" s="201"/>
      <c r="SQG241" s="201"/>
      <c r="SQH241" s="201"/>
      <c r="SQI241" s="201"/>
      <c r="SQJ241" s="201"/>
      <c r="SQK241" s="201"/>
      <c r="SQL241" s="201"/>
      <c r="SQM241" s="201"/>
      <c r="SQN241" s="201"/>
      <c r="SQO241" s="201"/>
      <c r="SQP241" s="201"/>
      <c r="SQQ241" s="201"/>
      <c r="SQR241" s="201"/>
      <c r="SQS241" s="201"/>
      <c r="SQT241" s="201"/>
      <c r="SQU241" s="201"/>
      <c r="SQV241" s="201"/>
      <c r="SQW241" s="201"/>
      <c r="SQX241" s="201"/>
      <c r="SQY241" s="201"/>
      <c r="SQZ241" s="201"/>
      <c r="SRA241" s="201"/>
      <c r="SRB241" s="201"/>
      <c r="SRC241" s="201"/>
      <c r="SRD241" s="201"/>
      <c r="SRE241" s="201"/>
      <c r="SRF241" s="201"/>
      <c r="SRG241" s="201"/>
      <c r="SRH241" s="201"/>
      <c r="SRI241" s="201"/>
      <c r="SRJ241" s="201"/>
      <c r="SRK241" s="201"/>
      <c r="SRL241" s="201"/>
      <c r="SRM241" s="201"/>
      <c r="SRN241" s="201"/>
      <c r="SRO241" s="201"/>
      <c r="SRP241" s="201"/>
      <c r="SRQ241" s="201"/>
      <c r="SRR241" s="201"/>
      <c r="SRS241" s="201"/>
      <c r="SRT241" s="201"/>
      <c r="SRU241" s="201"/>
      <c r="SRV241" s="201"/>
      <c r="SRW241" s="201"/>
      <c r="SRX241" s="201"/>
      <c r="SRY241" s="201"/>
      <c r="SRZ241" s="201"/>
      <c r="SSA241" s="201"/>
      <c r="SSB241" s="201"/>
      <c r="SSC241" s="201"/>
      <c r="SSD241" s="201"/>
      <c r="SSE241" s="201"/>
      <c r="SSF241" s="201"/>
      <c r="SSG241" s="201"/>
      <c r="SSH241" s="201"/>
      <c r="SSI241" s="201"/>
      <c r="SSJ241" s="201"/>
      <c r="SSK241" s="201"/>
      <c r="SSL241" s="201"/>
      <c r="SSM241" s="201"/>
      <c r="SSN241" s="201"/>
      <c r="SSO241" s="201"/>
      <c r="SSP241" s="201"/>
      <c r="SSQ241" s="201"/>
      <c r="SSR241" s="201"/>
      <c r="SSS241" s="201"/>
      <c r="SST241" s="201"/>
      <c r="SSU241" s="201"/>
      <c r="SSV241" s="201"/>
      <c r="SSW241" s="201"/>
      <c r="SSX241" s="201"/>
      <c r="SSY241" s="201"/>
      <c r="SSZ241" s="201"/>
      <c r="STA241" s="201"/>
      <c r="STB241" s="201"/>
      <c r="STC241" s="201"/>
      <c r="STD241" s="201"/>
      <c r="STE241" s="201"/>
      <c r="STF241" s="201"/>
      <c r="STG241" s="201"/>
      <c r="STH241" s="201"/>
      <c r="STI241" s="201"/>
      <c r="STJ241" s="201"/>
      <c r="STK241" s="201"/>
      <c r="STL241" s="201"/>
      <c r="STM241" s="201"/>
      <c r="STN241" s="201"/>
      <c r="STO241" s="201"/>
      <c r="STP241" s="201"/>
      <c r="STQ241" s="201"/>
      <c r="STR241" s="201"/>
      <c r="STS241" s="201"/>
      <c r="STT241" s="201"/>
      <c r="STU241" s="201"/>
      <c r="STV241" s="201"/>
      <c r="STW241" s="201"/>
      <c r="STX241" s="201"/>
      <c r="STY241" s="201"/>
      <c r="STZ241" s="201"/>
      <c r="SUA241" s="201"/>
      <c r="SUB241" s="201"/>
      <c r="SUC241" s="201"/>
      <c r="SUD241" s="201"/>
      <c r="SUE241" s="201"/>
      <c r="SUF241" s="201"/>
      <c r="SUG241" s="201"/>
      <c r="SUH241" s="201"/>
      <c r="SUI241" s="201"/>
      <c r="SUJ241" s="201"/>
      <c r="SUK241" s="201"/>
      <c r="SUL241" s="201"/>
      <c r="SUM241" s="201"/>
      <c r="SUN241" s="201"/>
      <c r="SUO241" s="201"/>
      <c r="SUP241" s="201"/>
      <c r="SUQ241" s="201"/>
      <c r="SUR241" s="201"/>
      <c r="SUS241" s="201"/>
      <c r="SUT241" s="201"/>
      <c r="SUU241" s="201"/>
      <c r="SUV241" s="201"/>
      <c r="SUW241" s="201"/>
      <c r="SUX241" s="201"/>
      <c r="SUY241" s="201"/>
      <c r="SUZ241" s="201"/>
      <c r="SVA241" s="201"/>
      <c r="SVB241" s="201"/>
      <c r="SVC241" s="201"/>
      <c r="SVD241" s="201"/>
      <c r="SVE241" s="201"/>
      <c r="SVF241" s="201"/>
      <c r="SVG241" s="201"/>
      <c r="SVH241" s="201"/>
      <c r="SVI241" s="201"/>
      <c r="SVJ241" s="201"/>
      <c r="SVK241" s="201"/>
      <c r="SVL241" s="201"/>
      <c r="SVM241" s="201"/>
      <c r="SVN241" s="201"/>
      <c r="SVO241" s="201"/>
      <c r="SVP241" s="201"/>
      <c r="SVQ241" s="201"/>
      <c r="SVR241" s="201"/>
      <c r="SVS241" s="201"/>
      <c r="SVT241" s="201"/>
      <c r="SVU241" s="201"/>
      <c r="SVV241" s="201"/>
      <c r="SVW241" s="201"/>
      <c r="SVX241" s="201"/>
      <c r="SVY241" s="201"/>
      <c r="SVZ241" s="201"/>
      <c r="SWA241" s="201"/>
      <c r="SWB241" s="201"/>
      <c r="SWC241" s="201"/>
      <c r="SWD241" s="201"/>
      <c r="SWE241" s="201"/>
      <c r="SWF241" s="201"/>
      <c r="SWG241" s="201"/>
      <c r="SWH241" s="201"/>
      <c r="SWI241" s="201"/>
      <c r="SWJ241" s="201"/>
      <c r="SWK241" s="201"/>
      <c r="SWL241" s="201"/>
      <c r="SWM241" s="201"/>
      <c r="SWN241" s="201"/>
      <c r="SWO241" s="201"/>
      <c r="SWP241" s="201"/>
      <c r="SWQ241" s="201"/>
      <c r="SWR241" s="201"/>
      <c r="SWS241" s="201"/>
      <c r="SWT241" s="201"/>
      <c r="SWU241" s="201"/>
      <c r="SWV241" s="201"/>
      <c r="SWW241" s="201"/>
      <c r="SWX241" s="201"/>
      <c r="SWY241" s="201"/>
      <c r="SWZ241" s="201"/>
      <c r="SXA241" s="201"/>
      <c r="SXB241" s="201"/>
      <c r="SXC241" s="201"/>
      <c r="SXD241" s="201"/>
      <c r="SXE241" s="201"/>
      <c r="SXF241" s="201"/>
      <c r="SXG241" s="201"/>
      <c r="SXH241" s="201"/>
      <c r="SXI241" s="201"/>
      <c r="SXJ241" s="201"/>
      <c r="SXK241" s="201"/>
      <c r="SXL241" s="201"/>
      <c r="SXM241" s="201"/>
      <c r="SXN241" s="201"/>
      <c r="SXO241" s="201"/>
      <c r="SXP241" s="201"/>
      <c r="SXQ241" s="201"/>
      <c r="SXR241" s="201"/>
      <c r="SXS241" s="201"/>
      <c r="SXT241" s="201"/>
      <c r="SXU241" s="201"/>
      <c r="SXV241" s="201"/>
      <c r="SXW241" s="201"/>
      <c r="SXX241" s="201"/>
      <c r="SXY241" s="201"/>
      <c r="SXZ241" s="201"/>
      <c r="SYA241" s="201"/>
      <c r="SYB241" s="201"/>
      <c r="SYC241" s="201"/>
      <c r="SYD241" s="201"/>
      <c r="SYE241" s="201"/>
      <c r="SYF241" s="201"/>
      <c r="SYG241" s="201"/>
      <c r="SYH241" s="201"/>
      <c r="SYI241" s="201"/>
      <c r="SYJ241" s="201"/>
      <c r="SYK241" s="201"/>
      <c r="SYL241" s="201"/>
      <c r="SYM241" s="201"/>
      <c r="SYN241" s="201"/>
      <c r="SYO241" s="201"/>
      <c r="SYP241" s="201"/>
      <c r="SYQ241" s="201"/>
      <c r="SYR241" s="201"/>
      <c r="SYS241" s="201"/>
      <c r="SYT241" s="201"/>
      <c r="SYU241" s="201"/>
      <c r="SYV241" s="201"/>
      <c r="SYW241" s="201"/>
      <c r="SYX241" s="201"/>
      <c r="SYY241" s="201"/>
      <c r="SYZ241" s="201"/>
      <c r="SZA241" s="201"/>
      <c r="SZB241" s="201"/>
      <c r="SZC241" s="201"/>
      <c r="SZD241" s="201"/>
      <c r="SZE241" s="201"/>
      <c r="SZF241" s="201"/>
      <c r="SZG241" s="201"/>
      <c r="SZH241" s="201"/>
      <c r="SZI241" s="201"/>
      <c r="SZJ241" s="201"/>
      <c r="SZK241" s="201"/>
      <c r="SZL241" s="201"/>
      <c r="SZM241" s="201"/>
      <c r="SZN241" s="201"/>
      <c r="SZO241" s="201"/>
      <c r="SZP241" s="201"/>
      <c r="SZQ241" s="201"/>
      <c r="SZR241" s="201"/>
      <c r="SZS241" s="201"/>
      <c r="SZT241" s="201"/>
      <c r="SZU241" s="201"/>
      <c r="SZV241" s="201"/>
      <c r="SZW241" s="201"/>
      <c r="SZX241" s="201"/>
      <c r="SZY241" s="201"/>
      <c r="SZZ241" s="201"/>
      <c r="TAA241" s="201"/>
      <c r="TAB241" s="201"/>
      <c r="TAC241" s="201"/>
      <c r="TAD241" s="201"/>
      <c r="TAE241" s="201"/>
      <c r="TAF241" s="201"/>
      <c r="TAG241" s="201"/>
      <c r="TAH241" s="201"/>
      <c r="TAI241" s="201"/>
      <c r="TAJ241" s="201"/>
      <c r="TAK241" s="201"/>
      <c r="TAL241" s="201"/>
      <c r="TAM241" s="201"/>
      <c r="TAN241" s="201"/>
      <c r="TAO241" s="201"/>
      <c r="TAP241" s="201"/>
      <c r="TAQ241" s="201"/>
      <c r="TAR241" s="201"/>
      <c r="TAS241" s="201"/>
      <c r="TAT241" s="201"/>
      <c r="TAU241" s="201"/>
      <c r="TAV241" s="201"/>
      <c r="TAW241" s="201"/>
      <c r="TAX241" s="201"/>
      <c r="TAY241" s="201"/>
      <c r="TAZ241" s="201"/>
      <c r="TBA241" s="201"/>
      <c r="TBB241" s="201"/>
      <c r="TBC241" s="201"/>
      <c r="TBD241" s="201"/>
      <c r="TBE241" s="201"/>
      <c r="TBF241" s="201"/>
      <c r="TBG241" s="201"/>
      <c r="TBH241" s="201"/>
      <c r="TBI241" s="201"/>
      <c r="TBJ241" s="201"/>
      <c r="TBK241" s="201"/>
      <c r="TBL241" s="201"/>
      <c r="TBM241" s="201"/>
      <c r="TBN241" s="201"/>
      <c r="TBO241" s="201"/>
      <c r="TBP241" s="201"/>
      <c r="TBQ241" s="201"/>
      <c r="TBR241" s="201"/>
      <c r="TBS241" s="201"/>
      <c r="TBT241" s="201"/>
      <c r="TBU241" s="201"/>
      <c r="TBV241" s="201"/>
      <c r="TBW241" s="201"/>
      <c r="TBX241" s="201"/>
      <c r="TBY241" s="201"/>
      <c r="TBZ241" s="201"/>
      <c r="TCA241" s="201"/>
      <c r="TCB241" s="201"/>
      <c r="TCC241" s="201"/>
      <c r="TCD241" s="201"/>
      <c r="TCE241" s="201"/>
      <c r="TCF241" s="201"/>
      <c r="TCG241" s="201"/>
      <c r="TCH241" s="201"/>
      <c r="TCI241" s="201"/>
      <c r="TCJ241" s="201"/>
      <c r="TCK241" s="201"/>
      <c r="TCL241" s="201"/>
      <c r="TCM241" s="201"/>
      <c r="TCN241" s="201"/>
      <c r="TCO241" s="201"/>
      <c r="TCP241" s="201"/>
      <c r="TCQ241" s="201"/>
      <c r="TCR241" s="201"/>
      <c r="TCS241" s="201"/>
      <c r="TCT241" s="201"/>
      <c r="TCU241" s="201"/>
      <c r="TCV241" s="201"/>
      <c r="TCW241" s="201"/>
      <c r="TCX241" s="201"/>
      <c r="TCY241" s="201"/>
      <c r="TCZ241" s="201"/>
      <c r="TDA241" s="201"/>
      <c r="TDB241" s="201"/>
      <c r="TDC241" s="201"/>
      <c r="TDD241" s="201"/>
      <c r="TDE241" s="201"/>
      <c r="TDF241" s="201"/>
      <c r="TDG241" s="201"/>
      <c r="TDH241" s="201"/>
      <c r="TDI241" s="201"/>
      <c r="TDJ241" s="201"/>
      <c r="TDK241" s="201"/>
      <c r="TDL241" s="201"/>
      <c r="TDM241" s="201"/>
      <c r="TDN241" s="201"/>
      <c r="TDO241" s="201"/>
      <c r="TDP241" s="201"/>
      <c r="TDQ241" s="201"/>
      <c r="TDR241" s="201"/>
      <c r="TDS241" s="201"/>
      <c r="TDT241" s="201"/>
      <c r="TDU241" s="201"/>
      <c r="TDV241" s="201"/>
      <c r="TDW241" s="201"/>
      <c r="TDX241" s="201"/>
      <c r="TDY241" s="201"/>
      <c r="TDZ241" s="201"/>
      <c r="TEA241" s="201"/>
      <c r="TEB241" s="201"/>
      <c r="TEC241" s="201"/>
      <c r="TED241" s="201"/>
      <c r="TEE241" s="201"/>
      <c r="TEF241" s="201"/>
      <c r="TEG241" s="201"/>
      <c r="TEH241" s="201"/>
      <c r="TEI241" s="201"/>
      <c r="TEJ241" s="201"/>
      <c r="TEK241" s="201"/>
      <c r="TEL241" s="201"/>
      <c r="TEM241" s="201"/>
      <c r="TEN241" s="201"/>
      <c r="TEO241" s="201"/>
      <c r="TEP241" s="201"/>
      <c r="TEQ241" s="201"/>
      <c r="TER241" s="201"/>
      <c r="TES241" s="201"/>
      <c r="TET241" s="201"/>
      <c r="TEU241" s="201"/>
      <c r="TEV241" s="201"/>
      <c r="TEW241" s="201"/>
      <c r="TEX241" s="201"/>
      <c r="TEY241" s="201"/>
      <c r="TEZ241" s="201"/>
      <c r="TFA241" s="201"/>
      <c r="TFB241" s="201"/>
      <c r="TFC241" s="201"/>
      <c r="TFD241" s="201"/>
      <c r="TFE241" s="201"/>
      <c r="TFF241" s="201"/>
      <c r="TFG241" s="201"/>
      <c r="TFH241" s="201"/>
      <c r="TFI241" s="201"/>
      <c r="TFJ241" s="201"/>
      <c r="TFK241" s="201"/>
      <c r="TFL241" s="201"/>
      <c r="TFM241" s="201"/>
      <c r="TFN241" s="201"/>
      <c r="TFO241" s="201"/>
      <c r="TFP241" s="201"/>
      <c r="TFQ241" s="201"/>
      <c r="TFR241" s="201"/>
      <c r="TFS241" s="201"/>
      <c r="TFT241" s="201"/>
      <c r="TFU241" s="201"/>
      <c r="TFV241" s="201"/>
      <c r="TFW241" s="201"/>
      <c r="TFX241" s="201"/>
      <c r="TFY241" s="201"/>
      <c r="TFZ241" s="201"/>
      <c r="TGA241" s="201"/>
      <c r="TGB241" s="201"/>
      <c r="TGC241" s="201"/>
      <c r="TGD241" s="201"/>
      <c r="TGE241" s="201"/>
      <c r="TGF241" s="201"/>
      <c r="TGG241" s="201"/>
      <c r="TGH241" s="201"/>
      <c r="TGI241" s="201"/>
      <c r="TGJ241" s="201"/>
      <c r="TGK241" s="201"/>
      <c r="TGL241" s="201"/>
      <c r="TGM241" s="201"/>
      <c r="TGN241" s="201"/>
      <c r="TGO241" s="201"/>
      <c r="TGP241" s="201"/>
      <c r="TGQ241" s="201"/>
      <c r="TGR241" s="201"/>
      <c r="TGS241" s="201"/>
      <c r="TGT241" s="201"/>
      <c r="TGU241" s="201"/>
      <c r="TGV241" s="201"/>
      <c r="TGW241" s="201"/>
      <c r="TGX241" s="201"/>
      <c r="TGY241" s="201"/>
      <c r="TGZ241" s="201"/>
      <c r="THA241" s="201"/>
      <c r="THB241" s="201"/>
      <c r="THC241" s="201"/>
      <c r="THD241" s="201"/>
      <c r="THE241" s="201"/>
      <c r="THF241" s="201"/>
      <c r="THG241" s="201"/>
      <c r="THH241" s="201"/>
      <c r="THI241" s="201"/>
      <c r="THJ241" s="201"/>
      <c r="THK241" s="201"/>
      <c r="THL241" s="201"/>
      <c r="THM241" s="201"/>
      <c r="THN241" s="201"/>
      <c r="THO241" s="201"/>
      <c r="THP241" s="201"/>
      <c r="THQ241" s="201"/>
      <c r="THR241" s="201"/>
      <c r="THS241" s="201"/>
      <c r="THT241" s="201"/>
      <c r="THU241" s="201"/>
      <c r="THV241" s="201"/>
      <c r="THW241" s="201"/>
      <c r="THX241" s="201"/>
      <c r="THY241" s="201"/>
      <c r="THZ241" s="201"/>
      <c r="TIA241" s="201"/>
      <c r="TIB241" s="201"/>
      <c r="TIC241" s="201"/>
      <c r="TID241" s="201"/>
      <c r="TIE241" s="201"/>
      <c r="TIF241" s="201"/>
      <c r="TIG241" s="201"/>
      <c r="TIH241" s="201"/>
      <c r="TII241" s="201"/>
      <c r="TIJ241" s="201"/>
      <c r="TIK241" s="201"/>
      <c r="TIL241" s="201"/>
      <c r="TIM241" s="201"/>
      <c r="TIN241" s="201"/>
      <c r="TIO241" s="201"/>
      <c r="TIP241" s="201"/>
      <c r="TIQ241" s="201"/>
      <c r="TIR241" s="201"/>
      <c r="TIS241" s="201"/>
      <c r="TIT241" s="201"/>
      <c r="TIU241" s="201"/>
      <c r="TIV241" s="201"/>
      <c r="TIW241" s="201"/>
      <c r="TIX241" s="201"/>
      <c r="TIY241" s="201"/>
      <c r="TIZ241" s="201"/>
      <c r="TJA241" s="201"/>
      <c r="TJB241" s="201"/>
      <c r="TJC241" s="201"/>
      <c r="TJD241" s="201"/>
      <c r="TJE241" s="201"/>
      <c r="TJF241" s="201"/>
      <c r="TJG241" s="201"/>
      <c r="TJH241" s="201"/>
      <c r="TJI241" s="201"/>
      <c r="TJJ241" s="201"/>
      <c r="TJK241" s="201"/>
      <c r="TJL241" s="201"/>
      <c r="TJM241" s="201"/>
      <c r="TJN241" s="201"/>
      <c r="TJO241" s="201"/>
      <c r="TJP241" s="201"/>
      <c r="TJQ241" s="201"/>
      <c r="TJR241" s="201"/>
      <c r="TJS241" s="201"/>
      <c r="TJT241" s="201"/>
      <c r="TJU241" s="201"/>
      <c r="TJV241" s="201"/>
      <c r="TJW241" s="201"/>
      <c r="TJX241" s="201"/>
      <c r="TJY241" s="201"/>
      <c r="TJZ241" s="201"/>
      <c r="TKA241" s="201"/>
      <c r="TKB241" s="201"/>
      <c r="TKC241" s="201"/>
      <c r="TKD241" s="201"/>
      <c r="TKE241" s="201"/>
      <c r="TKF241" s="201"/>
      <c r="TKG241" s="201"/>
      <c r="TKH241" s="201"/>
      <c r="TKI241" s="201"/>
      <c r="TKJ241" s="201"/>
      <c r="TKK241" s="201"/>
      <c r="TKL241" s="201"/>
      <c r="TKM241" s="201"/>
      <c r="TKN241" s="201"/>
      <c r="TKO241" s="201"/>
      <c r="TKP241" s="201"/>
      <c r="TKQ241" s="201"/>
      <c r="TKR241" s="201"/>
      <c r="TKS241" s="201"/>
      <c r="TKT241" s="201"/>
      <c r="TKU241" s="201"/>
      <c r="TKV241" s="201"/>
      <c r="TKW241" s="201"/>
      <c r="TKX241" s="201"/>
      <c r="TKY241" s="201"/>
      <c r="TKZ241" s="201"/>
      <c r="TLA241" s="201"/>
      <c r="TLB241" s="201"/>
      <c r="TLC241" s="201"/>
      <c r="TLD241" s="201"/>
      <c r="TLE241" s="201"/>
      <c r="TLF241" s="201"/>
      <c r="TLG241" s="201"/>
      <c r="TLH241" s="201"/>
      <c r="TLI241" s="201"/>
      <c r="TLJ241" s="201"/>
      <c r="TLK241" s="201"/>
      <c r="TLL241" s="201"/>
      <c r="TLM241" s="201"/>
      <c r="TLN241" s="201"/>
      <c r="TLO241" s="201"/>
      <c r="TLP241" s="201"/>
      <c r="TLQ241" s="201"/>
      <c r="TLR241" s="201"/>
      <c r="TLS241" s="201"/>
      <c r="TLT241" s="201"/>
      <c r="TLU241" s="201"/>
      <c r="TLV241" s="201"/>
      <c r="TLW241" s="201"/>
      <c r="TLX241" s="201"/>
      <c r="TLY241" s="201"/>
      <c r="TLZ241" s="201"/>
      <c r="TMA241" s="201"/>
      <c r="TMB241" s="201"/>
      <c r="TMC241" s="201"/>
      <c r="TMD241" s="201"/>
      <c r="TME241" s="201"/>
      <c r="TMF241" s="201"/>
      <c r="TMG241" s="201"/>
      <c r="TMH241" s="201"/>
      <c r="TMI241" s="201"/>
      <c r="TMJ241" s="201"/>
      <c r="TMK241" s="201"/>
      <c r="TML241" s="201"/>
      <c r="TMM241" s="201"/>
      <c r="TMN241" s="201"/>
      <c r="TMO241" s="201"/>
      <c r="TMP241" s="201"/>
      <c r="TMQ241" s="201"/>
      <c r="TMR241" s="201"/>
      <c r="TMS241" s="201"/>
      <c r="TMT241" s="201"/>
      <c r="TMU241" s="201"/>
      <c r="TMV241" s="201"/>
      <c r="TMW241" s="201"/>
      <c r="TMX241" s="201"/>
      <c r="TMY241" s="201"/>
      <c r="TMZ241" s="201"/>
      <c r="TNA241" s="201"/>
      <c r="TNB241" s="201"/>
      <c r="TNC241" s="201"/>
      <c r="TND241" s="201"/>
      <c r="TNE241" s="201"/>
      <c r="TNF241" s="201"/>
      <c r="TNG241" s="201"/>
      <c r="TNH241" s="201"/>
      <c r="TNI241" s="201"/>
      <c r="TNJ241" s="201"/>
      <c r="TNK241" s="201"/>
      <c r="TNL241" s="201"/>
      <c r="TNM241" s="201"/>
      <c r="TNN241" s="201"/>
      <c r="TNO241" s="201"/>
      <c r="TNP241" s="201"/>
      <c r="TNQ241" s="201"/>
      <c r="TNR241" s="201"/>
      <c r="TNS241" s="201"/>
      <c r="TNT241" s="201"/>
      <c r="TNU241" s="201"/>
      <c r="TNV241" s="201"/>
      <c r="TNW241" s="201"/>
      <c r="TNX241" s="201"/>
      <c r="TNY241" s="201"/>
      <c r="TNZ241" s="201"/>
      <c r="TOA241" s="201"/>
      <c r="TOB241" s="201"/>
      <c r="TOC241" s="201"/>
      <c r="TOD241" s="201"/>
      <c r="TOE241" s="201"/>
      <c r="TOF241" s="201"/>
      <c r="TOG241" s="201"/>
      <c r="TOH241" s="201"/>
      <c r="TOI241" s="201"/>
      <c r="TOJ241" s="201"/>
      <c r="TOK241" s="201"/>
      <c r="TOL241" s="201"/>
      <c r="TOM241" s="201"/>
      <c r="TON241" s="201"/>
      <c r="TOO241" s="201"/>
      <c r="TOP241" s="201"/>
      <c r="TOQ241" s="201"/>
      <c r="TOR241" s="201"/>
      <c r="TOS241" s="201"/>
      <c r="TOT241" s="201"/>
      <c r="TOU241" s="201"/>
      <c r="TOV241" s="201"/>
      <c r="TOW241" s="201"/>
      <c r="TOX241" s="201"/>
      <c r="TOY241" s="201"/>
      <c r="TOZ241" s="201"/>
      <c r="TPA241" s="201"/>
      <c r="TPB241" s="201"/>
      <c r="TPC241" s="201"/>
      <c r="TPD241" s="201"/>
      <c r="TPE241" s="201"/>
      <c r="TPF241" s="201"/>
      <c r="TPG241" s="201"/>
      <c r="TPH241" s="201"/>
      <c r="TPI241" s="201"/>
      <c r="TPJ241" s="201"/>
      <c r="TPK241" s="201"/>
      <c r="TPL241" s="201"/>
      <c r="TPM241" s="201"/>
      <c r="TPN241" s="201"/>
      <c r="TPO241" s="201"/>
      <c r="TPP241" s="201"/>
      <c r="TPQ241" s="201"/>
      <c r="TPR241" s="201"/>
      <c r="TPS241" s="201"/>
      <c r="TPT241" s="201"/>
      <c r="TPU241" s="201"/>
      <c r="TPV241" s="201"/>
      <c r="TPW241" s="201"/>
      <c r="TPX241" s="201"/>
      <c r="TPY241" s="201"/>
      <c r="TPZ241" s="201"/>
      <c r="TQA241" s="201"/>
      <c r="TQB241" s="201"/>
      <c r="TQC241" s="201"/>
      <c r="TQD241" s="201"/>
      <c r="TQE241" s="201"/>
      <c r="TQF241" s="201"/>
      <c r="TQG241" s="201"/>
      <c r="TQH241" s="201"/>
      <c r="TQI241" s="201"/>
      <c r="TQJ241" s="201"/>
      <c r="TQK241" s="201"/>
      <c r="TQL241" s="201"/>
      <c r="TQM241" s="201"/>
      <c r="TQN241" s="201"/>
      <c r="TQO241" s="201"/>
      <c r="TQP241" s="201"/>
      <c r="TQQ241" s="201"/>
      <c r="TQR241" s="201"/>
      <c r="TQS241" s="201"/>
      <c r="TQT241" s="201"/>
      <c r="TQU241" s="201"/>
      <c r="TQV241" s="201"/>
      <c r="TQW241" s="201"/>
      <c r="TQX241" s="201"/>
      <c r="TQY241" s="201"/>
      <c r="TQZ241" s="201"/>
      <c r="TRA241" s="201"/>
      <c r="TRB241" s="201"/>
      <c r="TRC241" s="201"/>
      <c r="TRD241" s="201"/>
      <c r="TRE241" s="201"/>
      <c r="TRF241" s="201"/>
      <c r="TRG241" s="201"/>
      <c r="TRH241" s="201"/>
      <c r="TRI241" s="201"/>
      <c r="TRJ241" s="201"/>
      <c r="TRK241" s="201"/>
      <c r="TRL241" s="201"/>
      <c r="TRM241" s="201"/>
      <c r="TRN241" s="201"/>
      <c r="TRO241" s="201"/>
      <c r="TRP241" s="201"/>
      <c r="TRQ241" s="201"/>
      <c r="TRR241" s="201"/>
      <c r="TRS241" s="201"/>
      <c r="TRT241" s="201"/>
      <c r="TRU241" s="201"/>
      <c r="TRV241" s="201"/>
      <c r="TRW241" s="201"/>
      <c r="TRX241" s="201"/>
      <c r="TRY241" s="201"/>
      <c r="TRZ241" s="201"/>
      <c r="TSA241" s="201"/>
      <c r="TSB241" s="201"/>
      <c r="TSC241" s="201"/>
      <c r="TSD241" s="201"/>
      <c r="TSE241" s="201"/>
      <c r="TSF241" s="201"/>
      <c r="TSG241" s="201"/>
      <c r="TSH241" s="201"/>
      <c r="TSI241" s="201"/>
      <c r="TSJ241" s="201"/>
      <c r="TSK241" s="201"/>
      <c r="TSL241" s="201"/>
      <c r="TSM241" s="201"/>
      <c r="TSN241" s="201"/>
      <c r="TSO241" s="201"/>
      <c r="TSP241" s="201"/>
      <c r="TSQ241" s="201"/>
      <c r="TSR241" s="201"/>
      <c r="TSS241" s="201"/>
      <c r="TST241" s="201"/>
      <c r="TSU241" s="201"/>
      <c r="TSV241" s="201"/>
      <c r="TSW241" s="201"/>
      <c r="TSX241" s="201"/>
      <c r="TSY241" s="201"/>
      <c r="TSZ241" s="201"/>
      <c r="TTA241" s="201"/>
      <c r="TTB241" s="201"/>
      <c r="TTC241" s="201"/>
      <c r="TTD241" s="201"/>
      <c r="TTE241" s="201"/>
      <c r="TTF241" s="201"/>
      <c r="TTG241" s="201"/>
      <c r="TTH241" s="201"/>
      <c r="TTI241" s="201"/>
      <c r="TTJ241" s="201"/>
      <c r="TTK241" s="201"/>
      <c r="TTL241" s="201"/>
      <c r="TTM241" s="201"/>
      <c r="TTN241" s="201"/>
      <c r="TTO241" s="201"/>
      <c r="TTP241" s="201"/>
      <c r="TTQ241" s="201"/>
      <c r="TTR241" s="201"/>
      <c r="TTS241" s="201"/>
      <c r="TTT241" s="201"/>
      <c r="TTU241" s="201"/>
      <c r="TTV241" s="201"/>
      <c r="TTW241" s="201"/>
      <c r="TTX241" s="201"/>
      <c r="TTY241" s="201"/>
      <c r="TTZ241" s="201"/>
      <c r="TUA241" s="201"/>
      <c r="TUB241" s="201"/>
      <c r="TUC241" s="201"/>
      <c r="TUD241" s="201"/>
      <c r="TUE241" s="201"/>
      <c r="TUF241" s="201"/>
      <c r="TUG241" s="201"/>
      <c r="TUH241" s="201"/>
      <c r="TUI241" s="201"/>
      <c r="TUJ241" s="201"/>
      <c r="TUK241" s="201"/>
      <c r="TUL241" s="201"/>
      <c r="TUM241" s="201"/>
      <c r="TUN241" s="201"/>
      <c r="TUO241" s="201"/>
      <c r="TUP241" s="201"/>
      <c r="TUQ241" s="201"/>
      <c r="TUR241" s="201"/>
      <c r="TUS241" s="201"/>
      <c r="TUT241" s="201"/>
      <c r="TUU241" s="201"/>
      <c r="TUV241" s="201"/>
      <c r="TUW241" s="201"/>
      <c r="TUX241" s="201"/>
      <c r="TUY241" s="201"/>
      <c r="TUZ241" s="201"/>
      <c r="TVA241" s="201"/>
      <c r="TVB241" s="201"/>
      <c r="TVC241" s="201"/>
      <c r="TVD241" s="201"/>
      <c r="TVE241" s="201"/>
      <c r="TVF241" s="201"/>
      <c r="TVG241" s="201"/>
      <c r="TVH241" s="201"/>
      <c r="TVI241" s="201"/>
      <c r="TVJ241" s="201"/>
      <c r="TVK241" s="201"/>
      <c r="TVL241" s="201"/>
      <c r="TVM241" s="201"/>
      <c r="TVN241" s="201"/>
      <c r="TVO241" s="201"/>
      <c r="TVP241" s="201"/>
      <c r="TVQ241" s="201"/>
      <c r="TVR241" s="201"/>
      <c r="TVS241" s="201"/>
      <c r="TVT241" s="201"/>
      <c r="TVU241" s="201"/>
      <c r="TVV241" s="201"/>
      <c r="TVW241" s="201"/>
      <c r="TVX241" s="201"/>
      <c r="TVY241" s="201"/>
      <c r="TVZ241" s="201"/>
      <c r="TWA241" s="201"/>
      <c r="TWB241" s="201"/>
      <c r="TWC241" s="201"/>
      <c r="TWD241" s="201"/>
      <c r="TWE241" s="201"/>
      <c r="TWF241" s="201"/>
      <c r="TWG241" s="201"/>
      <c r="TWH241" s="201"/>
      <c r="TWI241" s="201"/>
      <c r="TWJ241" s="201"/>
      <c r="TWK241" s="201"/>
      <c r="TWL241" s="201"/>
      <c r="TWM241" s="201"/>
      <c r="TWN241" s="201"/>
      <c r="TWO241" s="201"/>
      <c r="TWP241" s="201"/>
      <c r="TWQ241" s="201"/>
      <c r="TWR241" s="201"/>
      <c r="TWS241" s="201"/>
      <c r="TWT241" s="201"/>
      <c r="TWU241" s="201"/>
      <c r="TWV241" s="201"/>
      <c r="TWW241" s="201"/>
      <c r="TWX241" s="201"/>
      <c r="TWY241" s="201"/>
      <c r="TWZ241" s="201"/>
      <c r="TXA241" s="201"/>
      <c r="TXB241" s="201"/>
      <c r="TXC241" s="201"/>
      <c r="TXD241" s="201"/>
      <c r="TXE241" s="201"/>
      <c r="TXF241" s="201"/>
      <c r="TXG241" s="201"/>
      <c r="TXH241" s="201"/>
      <c r="TXI241" s="201"/>
      <c r="TXJ241" s="201"/>
      <c r="TXK241" s="201"/>
      <c r="TXL241" s="201"/>
      <c r="TXM241" s="201"/>
      <c r="TXN241" s="201"/>
      <c r="TXO241" s="201"/>
      <c r="TXP241" s="201"/>
      <c r="TXQ241" s="201"/>
      <c r="TXR241" s="201"/>
      <c r="TXS241" s="201"/>
      <c r="TXT241" s="201"/>
      <c r="TXU241" s="201"/>
      <c r="TXV241" s="201"/>
      <c r="TXW241" s="201"/>
      <c r="TXX241" s="201"/>
      <c r="TXY241" s="201"/>
      <c r="TXZ241" s="201"/>
      <c r="TYA241" s="201"/>
      <c r="TYB241" s="201"/>
      <c r="TYC241" s="201"/>
      <c r="TYD241" s="201"/>
      <c r="TYE241" s="201"/>
      <c r="TYF241" s="201"/>
      <c r="TYG241" s="201"/>
      <c r="TYH241" s="201"/>
      <c r="TYI241" s="201"/>
      <c r="TYJ241" s="201"/>
      <c r="TYK241" s="201"/>
      <c r="TYL241" s="201"/>
      <c r="TYM241" s="201"/>
      <c r="TYN241" s="201"/>
      <c r="TYO241" s="201"/>
      <c r="TYP241" s="201"/>
      <c r="TYQ241" s="201"/>
      <c r="TYR241" s="201"/>
      <c r="TYS241" s="201"/>
      <c r="TYT241" s="201"/>
      <c r="TYU241" s="201"/>
      <c r="TYV241" s="201"/>
      <c r="TYW241" s="201"/>
      <c r="TYX241" s="201"/>
      <c r="TYY241" s="201"/>
      <c r="TYZ241" s="201"/>
      <c r="TZA241" s="201"/>
      <c r="TZB241" s="201"/>
      <c r="TZC241" s="201"/>
      <c r="TZD241" s="201"/>
      <c r="TZE241" s="201"/>
      <c r="TZF241" s="201"/>
      <c r="TZG241" s="201"/>
      <c r="TZH241" s="201"/>
      <c r="TZI241" s="201"/>
      <c r="TZJ241" s="201"/>
      <c r="TZK241" s="201"/>
      <c r="TZL241" s="201"/>
      <c r="TZM241" s="201"/>
      <c r="TZN241" s="201"/>
      <c r="TZO241" s="201"/>
      <c r="TZP241" s="201"/>
      <c r="TZQ241" s="201"/>
      <c r="TZR241" s="201"/>
      <c r="TZS241" s="201"/>
      <c r="TZT241" s="201"/>
      <c r="TZU241" s="201"/>
      <c r="TZV241" s="201"/>
      <c r="TZW241" s="201"/>
      <c r="TZX241" s="201"/>
      <c r="TZY241" s="201"/>
      <c r="TZZ241" s="201"/>
      <c r="UAA241" s="201"/>
      <c r="UAB241" s="201"/>
      <c r="UAC241" s="201"/>
      <c r="UAD241" s="201"/>
      <c r="UAE241" s="201"/>
      <c r="UAF241" s="201"/>
      <c r="UAG241" s="201"/>
      <c r="UAH241" s="201"/>
      <c r="UAI241" s="201"/>
      <c r="UAJ241" s="201"/>
      <c r="UAK241" s="201"/>
      <c r="UAL241" s="201"/>
      <c r="UAM241" s="201"/>
      <c r="UAN241" s="201"/>
      <c r="UAO241" s="201"/>
      <c r="UAP241" s="201"/>
      <c r="UAQ241" s="201"/>
      <c r="UAR241" s="201"/>
      <c r="UAS241" s="201"/>
      <c r="UAT241" s="201"/>
      <c r="UAU241" s="201"/>
      <c r="UAV241" s="201"/>
      <c r="UAW241" s="201"/>
      <c r="UAX241" s="201"/>
      <c r="UAY241" s="201"/>
      <c r="UAZ241" s="201"/>
      <c r="UBA241" s="201"/>
      <c r="UBB241" s="201"/>
      <c r="UBC241" s="201"/>
      <c r="UBD241" s="201"/>
      <c r="UBE241" s="201"/>
      <c r="UBF241" s="201"/>
      <c r="UBG241" s="201"/>
      <c r="UBH241" s="201"/>
      <c r="UBI241" s="201"/>
      <c r="UBJ241" s="201"/>
      <c r="UBK241" s="201"/>
      <c r="UBL241" s="201"/>
      <c r="UBM241" s="201"/>
      <c r="UBN241" s="201"/>
      <c r="UBO241" s="201"/>
      <c r="UBP241" s="201"/>
      <c r="UBQ241" s="201"/>
      <c r="UBR241" s="201"/>
      <c r="UBS241" s="201"/>
      <c r="UBT241" s="201"/>
      <c r="UBU241" s="201"/>
      <c r="UBV241" s="201"/>
      <c r="UBW241" s="201"/>
      <c r="UBX241" s="201"/>
      <c r="UBY241" s="201"/>
      <c r="UBZ241" s="201"/>
      <c r="UCA241" s="201"/>
      <c r="UCB241" s="201"/>
      <c r="UCC241" s="201"/>
      <c r="UCD241" s="201"/>
      <c r="UCE241" s="201"/>
      <c r="UCF241" s="201"/>
      <c r="UCG241" s="201"/>
      <c r="UCH241" s="201"/>
      <c r="UCI241" s="201"/>
      <c r="UCJ241" s="201"/>
      <c r="UCK241" s="201"/>
      <c r="UCL241" s="201"/>
      <c r="UCM241" s="201"/>
      <c r="UCN241" s="201"/>
      <c r="UCO241" s="201"/>
      <c r="UCP241" s="201"/>
      <c r="UCQ241" s="201"/>
      <c r="UCR241" s="201"/>
      <c r="UCS241" s="201"/>
      <c r="UCT241" s="201"/>
      <c r="UCU241" s="201"/>
      <c r="UCV241" s="201"/>
      <c r="UCW241" s="201"/>
      <c r="UCX241" s="201"/>
      <c r="UCY241" s="201"/>
      <c r="UCZ241" s="201"/>
      <c r="UDA241" s="201"/>
      <c r="UDB241" s="201"/>
      <c r="UDC241" s="201"/>
      <c r="UDD241" s="201"/>
      <c r="UDE241" s="201"/>
      <c r="UDF241" s="201"/>
      <c r="UDG241" s="201"/>
      <c r="UDH241" s="201"/>
      <c r="UDI241" s="201"/>
      <c r="UDJ241" s="201"/>
      <c r="UDK241" s="201"/>
      <c r="UDL241" s="201"/>
      <c r="UDM241" s="201"/>
      <c r="UDN241" s="201"/>
      <c r="UDO241" s="201"/>
      <c r="UDP241" s="201"/>
      <c r="UDQ241" s="201"/>
      <c r="UDR241" s="201"/>
      <c r="UDS241" s="201"/>
      <c r="UDT241" s="201"/>
      <c r="UDU241" s="201"/>
      <c r="UDV241" s="201"/>
      <c r="UDW241" s="201"/>
      <c r="UDX241" s="201"/>
      <c r="UDY241" s="201"/>
      <c r="UDZ241" s="201"/>
      <c r="UEA241" s="201"/>
      <c r="UEB241" s="201"/>
      <c r="UEC241" s="201"/>
      <c r="UED241" s="201"/>
      <c r="UEE241" s="201"/>
      <c r="UEF241" s="201"/>
      <c r="UEG241" s="201"/>
      <c r="UEH241" s="201"/>
      <c r="UEI241" s="201"/>
      <c r="UEJ241" s="201"/>
      <c r="UEK241" s="201"/>
      <c r="UEL241" s="201"/>
      <c r="UEM241" s="201"/>
      <c r="UEN241" s="201"/>
      <c r="UEO241" s="201"/>
      <c r="UEP241" s="201"/>
      <c r="UEQ241" s="201"/>
      <c r="UER241" s="201"/>
      <c r="UES241" s="201"/>
      <c r="UET241" s="201"/>
      <c r="UEU241" s="201"/>
      <c r="UEV241" s="201"/>
      <c r="UEW241" s="201"/>
      <c r="UEX241" s="201"/>
      <c r="UEY241" s="201"/>
      <c r="UEZ241" s="201"/>
      <c r="UFA241" s="201"/>
      <c r="UFB241" s="201"/>
      <c r="UFC241" s="201"/>
      <c r="UFD241" s="201"/>
      <c r="UFE241" s="201"/>
      <c r="UFF241" s="201"/>
      <c r="UFG241" s="201"/>
      <c r="UFH241" s="201"/>
      <c r="UFI241" s="201"/>
      <c r="UFJ241" s="201"/>
      <c r="UFK241" s="201"/>
      <c r="UFL241" s="201"/>
      <c r="UFM241" s="201"/>
      <c r="UFN241" s="201"/>
      <c r="UFO241" s="201"/>
      <c r="UFP241" s="201"/>
      <c r="UFQ241" s="201"/>
      <c r="UFR241" s="201"/>
      <c r="UFS241" s="201"/>
      <c r="UFT241" s="201"/>
      <c r="UFU241" s="201"/>
      <c r="UFV241" s="201"/>
      <c r="UFW241" s="201"/>
      <c r="UFX241" s="201"/>
      <c r="UFY241" s="201"/>
      <c r="UFZ241" s="201"/>
      <c r="UGA241" s="201"/>
      <c r="UGB241" s="201"/>
      <c r="UGC241" s="201"/>
      <c r="UGD241" s="201"/>
      <c r="UGE241" s="201"/>
      <c r="UGF241" s="201"/>
      <c r="UGG241" s="201"/>
      <c r="UGH241" s="201"/>
      <c r="UGI241" s="201"/>
      <c r="UGJ241" s="201"/>
      <c r="UGK241" s="201"/>
      <c r="UGL241" s="201"/>
      <c r="UGM241" s="201"/>
      <c r="UGN241" s="201"/>
      <c r="UGO241" s="201"/>
      <c r="UGP241" s="201"/>
      <c r="UGQ241" s="201"/>
      <c r="UGR241" s="201"/>
      <c r="UGS241" s="201"/>
      <c r="UGT241" s="201"/>
      <c r="UGU241" s="201"/>
      <c r="UGV241" s="201"/>
      <c r="UGW241" s="201"/>
      <c r="UGX241" s="201"/>
      <c r="UGY241" s="201"/>
      <c r="UGZ241" s="201"/>
      <c r="UHA241" s="201"/>
      <c r="UHB241" s="201"/>
      <c r="UHC241" s="201"/>
      <c r="UHD241" s="201"/>
      <c r="UHE241" s="201"/>
      <c r="UHF241" s="201"/>
      <c r="UHG241" s="201"/>
      <c r="UHH241" s="201"/>
      <c r="UHI241" s="201"/>
      <c r="UHJ241" s="201"/>
      <c r="UHK241" s="201"/>
      <c r="UHL241" s="201"/>
      <c r="UHM241" s="201"/>
      <c r="UHN241" s="201"/>
      <c r="UHO241" s="201"/>
      <c r="UHP241" s="201"/>
      <c r="UHQ241" s="201"/>
      <c r="UHR241" s="201"/>
      <c r="UHS241" s="201"/>
      <c r="UHT241" s="201"/>
      <c r="UHU241" s="201"/>
      <c r="UHV241" s="201"/>
      <c r="UHW241" s="201"/>
      <c r="UHX241" s="201"/>
      <c r="UHY241" s="201"/>
      <c r="UHZ241" s="201"/>
      <c r="UIA241" s="201"/>
      <c r="UIB241" s="201"/>
      <c r="UIC241" s="201"/>
      <c r="UID241" s="201"/>
      <c r="UIE241" s="201"/>
      <c r="UIF241" s="201"/>
      <c r="UIG241" s="201"/>
      <c r="UIH241" s="201"/>
      <c r="UII241" s="201"/>
      <c r="UIJ241" s="201"/>
      <c r="UIK241" s="201"/>
      <c r="UIL241" s="201"/>
      <c r="UIM241" s="201"/>
      <c r="UIN241" s="201"/>
      <c r="UIO241" s="201"/>
      <c r="UIP241" s="201"/>
      <c r="UIQ241" s="201"/>
      <c r="UIR241" s="201"/>
      <c r="UIS241" s="201"/>
      <c r="UIT241" s="201"/>
      <c r="UIU241" s="201"/>
      <c r="UIV241" s="201"/>
      <c r="UIW241" s="201"/>
      <c r="UIX241" s="201"/>
      <c r="UIY241" s="201"/>
      <c r="UIZ241" s="201"/>
      <c r="UJA241" s="201"/>
      <c r="UJB241" s="201"/>
      <c r="UJC241" s="201"/>
      <c r="UJD241" s="201"/>
      <c r="UJE241" s="201"/>
      <c r="UJF241" s="201"/>
      <c r="UJG241" s="201"/>
      <c r="UJH241" s="201"/>
      <c r="UJI241" s="201"/>
      <c r="UJJ241" s="201"/>
      <c r="UJK241" s="201"/>
      <c r="UJL241" s="201"/>
      <c r="UJM241" s="201"/>
      <c r="UJN241" s="201"/>
      <c r="UJO241" s="201"/>
      <c r="UJP241" s="201"/>
      <c r="UJQ241" s="201"/>
      <c r="UJR241" s="201"/>
      <c r="UJS241" s="201"/>
      <c r="UJT241" s="201"/>
      <c r="UJU241" s="201"/>
      <c r="UJV241" s="201"/>
      <c r="UJW241" s="201"/>
      <c r="UJX241" s="201"/>
      <c r="UJY241" s="201"/>
      <c r="UJZ241" s="201"/>
      <c r="UKA241" s="201"/>
      <c r="UKB241" s="201"/>
      <c r="UKC241" s="201"/>
      <c r="UKD241" s="201"/>
      <c r="UKE241" s="201"/>
      <c r="UKF241" s="201"/>
      <c r="UKG241" s="201"/>
      <c r="UKH241" s="201"/>
      <c r="UKI241" s="201"/>
      <c r="UKJ241" s="201"/>
      <c r="UKK241" s="201"/>
      <c r="UKL241" s="201"/>
      <c r="UKM241" s="201"/>
      <c r="UKN241" s="201"/>
      <c r="UKO241" s="201"/>
      <c r="UKP241" s="201"/>
      <c r="UKQ241" s="201"/>
      <c r="UKR241" s="201"/>
      <c r="UKS241" s="201"/>
      <c r="UKT241" s="201"/>
      <c r="UKU241" s="201"/>
      <c r="UKV241" s="201"/>
      <c r="UKW241" s="201"/>
      <c r="UKX241" s="201"/>
      <c r="UKY241" s="201"/>
      <c r="UKZ241" s="201"/>
      <c r="ULA241" s="201"/>
      <c r="ULB241" s="201"/>
      <c r="ULC241" s="201"/>
      <c r="ULD241" s="201"/>
      <c r="ULE241" s="201"/>
      <c r="ULF241" s="201"/>
      <c r="ULG241" s="201"/>
      <c r="ULH241" s="201"/>
      <c r="ULI241" s="201"/>
      <c r="ULJ241" s="201"/>
      <c r="ULK241" s="201"/>
      <c r="ULL241" s="201"/>
      <c r="ULM241" s="201"/>
      <c r="ULN241" s="201"/>
      <c r="ULO241" s="201"/>
      <c r="ULP241" s="201"/>
      <c r="ULQ241" s="201"/>
      <c r="ULR241" s="201"/>
      <c r="ULS241" s="201"/>
      <c r="ULT241" s="201"/>
      <c r="ULU241" s="201"/>
      <c r="ULV241" s="201"/>
      <c r="ULW241" s="201"/>
      <c r="ULX241" s="201"/>
      <c r="ULY241" s="201"/>
      <c r="ULZ241" s="201"/>
      <c r="UMA241" s="201"/>
      <c r="UMB241" s="201"/>
      <c r="UMC241" s="201"/>
      <c r="UMD241" s="201"/>
      <c r="UME241" s="201"/>
      <c r="UMF241" s="201"/>
      <c r="UMG241" s="201"/>
      <c r="UMH241" s="201"/>
      <c r="UMI241" s="201"/>
      <c r="UMJ241" s="201"/>
      <c r="UMK241" s="201"/>
      <c r="UML241" s="201"/>
      <c r="UMM241" s="201"/>
      <c r="UMN241" s="201"/>
      <c r="UMO241" s="201"/>
      <c r="UMP241" s="201"/>
      <c r="UMQ241" s="201"/>
      <c r="UMR241" s="201"/>
      <c r="UMS241" s="201"/>
      <c r="UMT241" s="201"/>
      <c r="UMU241" s="201"/>
      <c r="UMV241" s="201"/>
      <c r="UMW241" s="201"/>
      <c r="UMX241" s="201"/>
      <c r="UMY241" s="201"/>
      <c r="UMZ241" s="201"/>
      <c r="UNA241" s="201"/>
      <c r="UNB241" s="201"/>
      <c r="UNC241" s="201"/>
      <c r="UND241" s="201"/>
      <c r="UNE241" s="201"/>
      <c r="UNF241" s="201"/>
      <c r="UNG241" s="201"/>
      <c r="UNH241" s="201"/>
      <c r="UNI241" s="201"/>
      <c r="UNJ241" s="201"/>
      <c r="UNK241" s="201"/>
      <c r="UNL241" s="201"/>
      <c r="UNM241" s="201"/>
      <c r="UNN241" s="201"/>
      <c r="UNO241" s="201"/>
      <c r="UNP241" s="201"/>
      <c r="UNQ241" s="201"/>
      <c r="UNR241" s="201"/>
      <c r="UNS241" s="201"/>
      <c r="UNT241" s="201"/>
      <c r="UNU241" s="201"/>
      <c r="UNV241" s="201"/>
      <c r="UNW241" s="201"/>
      <c r="UNX241" s="201"/>
      <c r="UNY241" s="201"/>
      <c r="UNZ241" s="201"/>
      <c r="UOA241" s="201"/>
      <c r="UOB241" s="201"/>
      <c r="UOC241" s="201"/>
      <c r="UOD241" s="201"/>
      <c r="UOE241" s="201"/>
      <c r="UOF241" s="201"/>
      <c r="UOG241" s="201"/>
      <c r="UOH241" s="201"/>
      <c r="UOI241" s="201"/>
      <c r="UOJ241" s="201"/>
      <c r="UOK241" s="201"/>
      <c r="UOL241" s="201"/>
      <c r="UOM241" s="201"/>
      <c r="UON241" s="201"/>
      <c r="UOO241" s="201"/>
      <c r="UOP241" s="201"/>
      <c r="UOQ241" s="201"/>
      <c r="UOR241" s="201"/>
      <c r="UOS241" s="201"/>
      <c r="UOT241" s="201"/>
      <c r="UOU241" s="201"/>
      <c r="UOV241" s="201"/>
      <c r="UOW241" s="201"/>
      <c r="UOX241" s="201"/>
      <c r="UOY241" s="201"/>
      <c r="UOZ241" s="201"/>
      <c r="UPA241" s="201"/>
      <c r="UPB241" s="201"/>
      <c r="UPC241" s="201"/>
      <c r="UPD241" s="201"/>
      <c r="UPE241" s="201"/>
      <c r="UPF241" s="201"/>
      <c r="UPG241" s="201"/>
      <c r="UPH241" s="201"/>
      <c r="UPI241" s="201"/>
      <c r="UPJ241" s="201"/>
      <c r="UPK241" s="201"/>
      <c r="UPL241" s="201"/>
      <c r="UPM241" s="201"/>
      <c r="UPN241" s="201"/>
      <c r="UPO241" s="201"/>
      <c r="UPP241" s="201"/>
      <c r="UPQ241" s="201"/>
      <c r="UPR241" s="201"/>
      <c r="UPS241" s="201"/>
      <c r="UPT241" s="201"/>
      <c r="UPU241" s="201"/>
      <c r="UPV241" s="201"/>
      <c r="UPW241" s="201"/>
      <c r="UPX241" s="201"/>
      <c r="UPY241" s="201"/>
      <c r="UPZ241" s="201"/>
      <c r="UQA241" s="201"/>
      <c r="UQB241" s="201"/>
      <c r="UQC241" s="201"/>
      <c r="UQD241" s="201"/>
      <c r="UQE241" s="201"/>
      <c r="UQF241" s="201"/>
      <c r="UQG241" s="201"/>
      <c r="UQH241" s="201"/>
      <c r="UQI241" s="201"/>
      <c r="UQJ241" s="201"/>
      <c r="UQK241" s="201"/>
      <c r="UQL241" s="201"/>
      <c r="UQM241" s="201"/>
      <c r="UQN241" s="201"/>
      <c r="UQO241" s="201"/>
      <c r="UQP241" s="201"/>
      <c r="UQQ241" s="201"/>
      <c r="UQR241" s="201"/>
      <c r="UQS241" s="201"/>
      <c r="UQT241" s="201"/>
      <c r="UQU241" s="201"/>
      <c r="UQV241" s="201"/>
      <c r="UQW241" s="201"/>
      <c r="UQX241" s="201"/>
      <c r="UQY241" s="201"/>
      <c r="UQZ241" s="201"/>
      <c r="URA241" s="201"/>
      <c r="URB241" s="201"/>
      <c r="URC241" s="201"/>
      <c r="URD241" s="201"/>
      <c r="URE241" s="201"/>
      <c r="URF241" s="201"/>
      <c r="URG241" s="201"/>
      <c r="URH241" s="201"/>
      <c r="URI241" s="201"/>
      <c r="URJ241" s="201"/>
      <c r="URK241" s="201"/>
      <c r="URL241" s="201"/>
      <c r="URM241" s="201"/>
      <c r="URN241" s="201"/>
      <c r="URO241" s="201"/>
      <c r="URP241" s="201"/>
      <c r="URQ241" s="201"/>
      <c r="URR241" s="201"/>
      <c r="URS241" s="201"/>
      <c r="URT241" s="201"/>
      <c r="URU241" s="201"/>
      <c r="URV241" s="201"/>
      <c r="URW241" s="201"/>
      <c r="URX241" s="201"/>
      <c r="URY241" s="201"/>
      <c r="URZ241" s="201"/>
      <c r="USA241" s="201"/>
      <c r="USB241" s="201"/>
      <c r="USC241" s="201"/>
      <c r="USD241" s="201"/>
      <c r="USE241" s="201"/>
      <c r="USF241" s="201"/>
      <c r="USG241" s="201"/>
      <c r="USH241" s="201"/>
      <c r="USI241" s="201"/>
      <c r="USJ241" s="201"/>
      <c r="USK241" s="201"/>
      <c r="USL241" s="201"/>
      <c r="USM241" s="201"/>
      <c r="USN241" s="201"/>
      <c r="USO241" s="201"/>
      <c r="USP241" s="201"/>
      <c r="USQ241" s="201"/>
      <c r="USR241" s="201"/>
      <c r="USS241" s="201"/>
      <c r="UST241" s="201"/>
      <c r="USU241" s="201"/>
      <c r="USV241" s="201"/>
      <c r="USW241" s="201"/>
      <c r="USX241" s="201"/>
      <c r="USY241" s="201"/>
      <c r="USZ241" s="201"/>
      <c r="UTA241" s="201"/>
      <c r="UTB241" s="201"/>
      <c r="UTC241" s="201"/>
      <c r="UTD241" s="201"/>
      <c r="UTE241" s="201"/>
      <c r="UTF241" s="201"/>
      <c r="UTG241" s="201"/>
      <c r="UTH241" s="201"/>
      <c r="UTI241" s="201"/>
      <c r="UTJ241" s="201"/>
      <c r="UTK241" s="201"/>
      <c r="UTL241" s="201"/>
      <c r="UTM241" s="201"/>
      <c r="UTN241" s="201"/>
      <c r="UTO241" s="201"/>
      <c r="UTP241" s="201"/>
      <c r="UTQ241" s="201"/>
      <c r="UTR241" s="201"/>
      <c r="UTS241" s="201"/>
      <c r="UTT241" s="201"/>
      <c r="UTU241" s="201"/>
      <c r="UTV241" s="201"/>
      <c r="UTW241" s="201"/>
      <c r="UTX241" s="201"/>
      <c r="UTY241" s="201"/>
      <c r="UTZ241" s="201"/>
      <c r="UUA241" s="201"/>
      <c r="UUB241" s="201"/>
      <c r="UUC241" s="201"/>
      <c r="UUD241" s="201"/>
      <c r="UUE241" s="201"/>
      <c r="UUF241" s="201"/>
      <c r="UUG241" s="201"/>
      <c r="UUH241" s="201"/>
      <c r="UUI241" s="201"/>
      <c r="UUJ241" s="201"/>
      <c r="UUK241" s="201"/>
      <c r="UUL241" s="201"/>
      <c r="UUM241" s="201"/>
      <c r="UUN241" s="201"/>
      <c r="UUO241" s="201"/>
      <c r="UUP241" s="201"/>
      <c r="UUQ241" s="201"/>
      <c r="UUR241" s="201"/>
      <c r="UUS241" s="201"/>
      <c r="UUT241" s="201"/>
      <c r="UUU241" s="201"/>
      <c r="UUV241" s="201"/>
      <c r="UUW241" s="201"/>
      <c r="UUX241" s="201"/>
      <c r="UUY241" s="201"/>
      <c r="UUZ241" s="201"/>
      <c r="UVA241" s="201"/>
      <c r="UVB241" s="201"/>
      <c r="UVC241" s="201"/>
      <c r="UVD241" s="201"/>
      <c r="UVE241" s="201"/>
      <c r="UVF241" s="201"/>
      <c r="UVG241" s="201"/>
      <c r="UVH241" s="201"/>
      <c r="UVI241" s="201"/>
      <c r="UVJ241" s="201"/>
      <c r="UVK241" s="201"/>
      <c r="UVL241" s="201"/>
      <c r="UVM241" s="201"/>
      <c r="UVN241" s="201"/>
      <c r="UVO241" s="201"/>
      <c r="UVP241" s="201"/>
      <c r="UVQ241" s="201"/>
      <c r="UVR241" s="201"/>
      <c r="UVS241" s="201"/>
      <c r="UVT241" s="201"/>
      <c r="UVU241" s="201"/>
      <c r="UVV241" s="201"/>
      <c r="UVW241" s="201"/>
      <c r="UVX241" s="201"/>
      <c r="UVY241" s="201"/>
      <c r="UVZ241" s="201"/>
      <c r="UWA241" s="201"/>
      <c r="UWB241" s="201"/>
      <c r="UWC241" s="201"/>
      <c r="UWD241" s="201"/>
      <c r="UWE241" s="201"/>
      <c r="UWF241" s="201"/>
      <c r="UWG241" s="201"/>
      <c r="UWH241" s="201"/>
      <c r="UWI241" s="201"/>
      <c r="UWJ241" s="201"/>
      <c r="UWK241" s="201"/>
      <c r="UWL241" s="201"/>
      <c r="UWM241" s="201"/>
      <c r="UWN241" s="201"/>
      <c r="UWO241" s="201"/>
      <c r="UWP241" s="201"/>
      <c r="UWQ241" s="201"/>
      <c r="UWR241" s="201"/>
      <c r="UWS241" s="201"/>
      <c r="UWT241" s="201"/>
      <c r="UWU241" s="201"/>
      <c r="UWV241" s="201"/>
      <c r="UWW241" s="201"/>
      <c r="UWX241" s="201"/>
      <c r="UWY241" s="201"/>
      <c r="UWZ241" s="201"/>
      <c r="UXA241" s="201"/>
      <c r="UXB241" s="201"/>
      <c r="UXC241" s="201"/>
      <c r="UXD241" s="201"/>
      <c r="UXE241" s="201"/>
      <c r="UXF241" s="201"/>
      <c r="UXG241" s="201"/>
      <c r="UXH241" s="201"/>
      <c r="UXI241" s="201"/>
      <c r="UXJ241" s="201"/>
      <c r="UXK241" s="201"/>
      <c r="UXL241" s="201"/>
      <c r="UXM241" s="201"/>
      <c r="UXN241" s="201"/>
      <c r="UXO241" s="201"/>
      <c r="UXP241" s="201"/>
      <c r="UXQ241" s="201"/>
      <c r="UXR241" s="201"/>
      <c r="UXS241" s="201"/>
      <c r="UXT241" s="201"/>
      <c r="UXU241" s="201"/>
      <c r="UXV241" s="201"/>
      <c r="UXW241" s="201"/>
      <c r="UXX241" s="201"/>
      <c r="UXY241" s="201"/>
      <c r="UXZ241" s="201"/>
      <c r="UYA241" s="201"/>
      <c r="UYB241" s="201"/>
      <c r="UYC241" s="201"/>
      <c r="UYD241" s="201"/>
      <c r="UYE241" s="201"/>
      <c r="UYF241" s="201"/>
      <c r="UYG241" s="201"/>
      <c r="UYH241" s="201"/>
      <c r="UYI241" s="201"/>
      <c r="UYJ241" s="201"/>
      <c r="UYK241" s="201"/>
      <c r="UYL241" s="201"/>
      <c r="UYM241" s="201"/>
      <c r="UYN241" s="201"/>
      <c r="UYO241" s="201"/>
      <c r="UYP241" s="201"/>
      <c r="UYQ241" s="201"/>
      <c r="UYR241" s="201"/>
      <c r="UYS241" s="201"/>
      <c r="UYT241" s="201"/>
      <c r="UYU241" s="201"/>
      <c r="UYV241" s="201"/>
      <c r="UYW241" s="201"/>
      <c r="UYX241" s="201"/>
      <c r="UYY241" s="201"/>
      <c r="UYZ241" s="201"/>
      <c r="UZA241" s="201"/>
      <c r="UZB241" s="201"/>
      <c r="UZC241" s="201"/>
      <c r="UZD241" s="201"/>
      <c r="UZE241" s="201"/>
      <c r="UZF241" s="201"/>
      <c r="UZG241" s="201"/>
      <c r="UZH241" s="201"/>
      <c r="UZI241" s="201"/>
      <c r="UZJ241" s="201"/>
      <c r="UZK241" s="201"/>
      <c r="UZL241" s="201"/>
      <c r="UZM241" s="201"/>
      <c r="UZN241" s="201"/>
      <c r="UZO241" s="201"/>
      <c r="UZP241" s="201"/>
      <c r="UZQ241" s="201"/>
      <c r="UZR241" s="201"/>
      <c r="UZS241" s="201"/>
      <c r="UZT241" s="201"/>
      <c r="UZU241" s="201"/>
      <c r="UZV241" s="201"/>
      <c r="UZW241" s="201"/>
      <c r="UZX241" s="201"/>
      <c r="UZY241" s="201"/>
      <c r="UZZ241" s="201"/>
      <c r="VAA241" s="201"/>
      <c r="VAB241" s="201"/>
      <c r="VAC241" s="201"/>
      <c r="VAD241" s="201"/>
      <c r="VAE241" s="201"/>
      <c r="VAF241" s="201"/>
      <c r="VAG241" s="201"/>
      <c r="VAH241" s="201"/>
      <c r="VAI241" s="201"/>
      <c r="VAJ241" s="201"/>
      <c r="VAK241" s="201"/>
      <c r="VAL241" s="201"/>
      <c r="VAM241" s="201"/>
      <c r="VAN241" s="201"/>
      <c r="VAO241" s="201"/>
      <c r="VAP241" s="201"/>
      <c r="VAQ241" s="201"/>
      <c r="VAR241" s="201"/>
      <c r="VAS241" s="201"/>
      <c r="VAT241" s="201"/>
      <c r="VAU241" s="201"/>
      <c r="VAV241" s="201"/>
      <c r="VAW241" s="201"/>
      <c r="VAX241" s="201"/>
      <c r="VAY241" s="201"/>
      <c r="VAZ241" s="201"/>
      <c r="VBA241" s="201"/>
      <c r="VBB241" s="201"/>
      <c r="VBC241" s="201"/>
      <c r="VBD241" s="201"/>
      <c r="VBE241" s="201"/>
      <c r="VBF241" s="201"/>
      <c r="VBG241" s="201"/>
      <c r="VBH241" s="201"/>
      <c r="VBI241" s="201"/>
      <c r="VBJ241" s="201"/>
      <c r="VBK241" s="201"/>
      <c r="VBL241" s="201"/>
      <c r="VBM241" s="201"/>
      <c r="VBN241" s="201"/>
      <c r="VBO241" s="201"/>
      <c r="VBP241" s="201"/>
      <c r="VBQ241" s="201"/>
      <c r="VBR241" s="201"/>
      <c r="VBS241" s="201"/>
      <c r="VBT241" s="201"/>
      <c r="VBU241" s="201"/>
      <c r="VBV241" s="201"/>
      <c r="VBW241" s="201"/>
      <c r="VBX241" s="201"/>
      <c r="VBY241" s="201"/>
      <c r="VBZ241" s="201"/>
      <c r="VCA241" s="201"/>
      <c r="VCB241" s="201"/>
      <c r="VCC241" s="201"/>
      <c r="VCD241" s="201"/>
      <c r="VCE241" s="201"/>
      <c r="VCF241" s="201"/>
      <c r="VCG241" s="201"/>
      <c r="VCH241" s="201"/>
      <c r="VCI241" s="201"/>
      <c r="VCJ241" s="201"/>
      <c r="VCK241" s="201"/>
      <c r="VCL241" s="201"/>
      <c r="VCM241" s="201"/>
      <c r="VCN241" s="201"/>
      <c r="VCO241" s="201"/>
      <c r="VCP241" s="201"/>
      <c r="VCQ241" s="201"/>
      <c r="VCR241" s="201"/>
      <c r="VCS241" s="201"/>
      <c r="VCT241" s="201"/>
      <c r="VCU241" s="201"/>
      <c r="VCV241" s="201"/>
      <c r="VCW241" s="201"/>
      <c r="VCX241" s="201"/>
      <c r="VCY241" s="201"/>
      <c r="VCZ241" s="201"/>
      <c r="VDA241" s="201"/>
      <c r="VDB241" s="201"/>
      <c r="VDC241" s="201"/>
      <c r="VDD241" s="201"/>
      <c r="VDE241" s="201"/>
      <c r="VDF241" s="201"/>
      <c r="VDG241" s="201"/>
      <c r="VDH241" s="201"/>
      <c r="VDI241" s="201"/>
      <c r="VDJ241" s="201"/>
      <c r="VDK241" s="201"/>
      <c r="VDL241" s="201"/>
      <c r="VDM241" s="201"/>
      <c r="VDN241" s="201"/>
      <c r="VDO241" s="201"/>
      <c r="VDP241" s="201"/>
      <c r="VDQ241" s="201"/>
      <c r="VDR241" s="201"/>
      <c r="VDS241" s="201"/>
      <c r="VDT241" s="201"/>
      <c r="VDU241" s="201"/>
      <c r="VDV241" s="201"/>
      <c r="VDW241" s="201"/>
      <c r="VDX241" s="201"/>
      <c r="VDY241" s="201"/>
      <c r="VDZ241" s="201"/>
      <c r="VEA241" s="201"/>
      <c r="VEB241" s="201"/>
      <c r="VEC241" s="201"/>
      <c r="VED241" s="201"/>
      <c r="VEE241" s="201"/>
      <c r="VEF241" s="201"/>
      <c r="VEG241" s="201"/>
      <c r="VEH241" s="201"/>
      <c r="VEI241" s="201"/>
      <c r="VEJ241" s="201"/>
      <c r="VEK241" s="201"/>
      <c r="VEL241" s="201"/>
      <c r="VEM241" s="201"/>
      <c r="VEN241" s="201"/>
      <c r="VEO241" s="201"/>
      <c r="VEP241" s="201"/>
      <c r="VEQ241" s="201"/>
      <c r="VER241" s="201"/>
      <c r="VES241" s="201"/>
      <c r="VET241" s="201"/>
      <c r="VEU241" s="201"/>
      <c r="VEV241" s="201"/>
      <c r="VEW241" s="201"/>
      <c r="VEX241" s="201"/>
      <c r="VEY241" s="201"/>
      <c r="VEZ241" s="201"/>
      <c r="VFA241" s="201"/>
      <c r="VFB241" s="201"/>
      <c r="VFC241" s="201"/>
      <c r="VFD241" s="201"/>
      <c r="VFE241" s="201"/>
      <c r="VFF241" s="201"/>
      <c r="VFG241" s="201"/>
      <c r="VFH241" s="201"/>
      <c r="VFI241" s="201"/>
      <c r="VFJ241" s="201"/>
      <c r="VFK241" s="201"/>
      <c r="VFL241" s="201"/>
      <c r="VFM241" s="201"/>
      <c r="VFN241" s="201"/>
      <c r="VFO241" s="201"/>
      <c r="VFP241" s="201"/>
      <c r="VFQ241" s="201"/>
      <c r="VFR241" s="201"/>
      <c r="VFS241" s="201"/>
      <c r="VFT241" s="201"/>
      <c r="VFU241" s="201"/>
      <c r="VFV241" s="201"/>
      <c r="VFW241" s="201"/>
      <c r="VFX241" s="201"/>
      <c r="VFY241" s="201"/>
      <c r="VFZ241" s="201"/>
      <c r="VGA241" s="201"/>
      <c r="VGB241" s="201"/>
      <c r="VGC241" s="201"/>
      <c r="VGD241" s="201"/>
      <c r="VGE241" s="201"/>
      <c r="VGF241" s="201"/>
      <c r="VGG241" s="201"/>
      <c r="VGH241" s="201"/>
      <c r="VGI241" s="201"/>
      <c r="VGJ241" s="201"/>
      <c r="VGK241" s="201"/>
      <c r="VGL241" s="201"/>
      <c r="VGM241" s="201"/>
      <c r="VGN241" s="201"/>
      <c r="VGO241" s="201"/>
      <c r="VGP241" s="201"/>
      <c r="VGQ241" s="201"/>
      <c r="VGR241" s="201"/>
      <c r="VGS241" s="201"/>
      <c r="VGT241" s="201"/>
      <c r="VGU241" s="201"/>
      <c r="VGV241" s="201"/>
      <c r="VGW241" s="201"/>
      <c r="VGX241" s="201"/>
      <c r="VGY241" s="201"/>
      <c r="VGZ241" s="201"/>
      <c r="VHA241" s="201"/>
      <c r="VHB241" s="201"/>
      <c r="VHC241" s="201"/>
      <c r="VHD241" s="201"/>
      <c r="VHE241" s="201"/>
      <c r="VHF241" s="201"/>
      <c r="VHG241" s="201"/>
      <c r="VHH241" s="201"/>
      <c r="VHI241" s="201"/>
      <c r="VHJ241" s="201"/>
      <c r="VHK241" s="201"/>
      <c r="VHL241" s="201"/>
      <c r="VHM241" s="201"/>
      <c r="VHN241" s="201"/>
      <c r="VHO241" s="201"/>
      <c r="VHP241" s="201"/>
      <c r="VHQ241" s="201"/>
      <c r="VHR241" s="201"/>
      <c r="VHS241" s="201"/>
      <c r="VHT241" s="201"/>
      <c r="VHU241" s="201"/>
      <c r="VHV241" s="201"/>
      <c r="VHW241" s="201"/>
      <c r="VHX241" s="201"/>
      <c r="VHY241" s="201"/>
      <c r="VHZ241" s="201"/>
      <c r="VIA241" s="201"/>
      <c r="VIB241" s="201"/>
      <c r="VIC241" s="201"/>
      <c r="VID241" s="201"/>
      <c r="VIE241" s="201"/>
      <c r="VIF241" s="201"/>
      <c r="VIG241" s="201"/>
      <c r="VIH241" s="201"/>
      <c r="VII241" s="201"/>
      <c r="VIJ241" s="201"/>
      <c r="VIK241" s="201"/>
      <c r="VIL241" s="201"/>
      <c r="VIM241" s="201"/>
      <c r="VIN241" s="201"/>
      <c r="VIO241" s="201"/>
      <c r="VIP241" s="201"/>
      <c r="VIQ241" s="201"/>
      <c r="VIR241" s="201"/>
      <c r="VIS241" s="201"/>
      <c r="VIT241" s="201"/>
      <c r="VIU241" s="201"/>
      <c r="VIV241" s="201"/>
      <c r="VIW241" s="201"/>
      <c r="VIX241" s="201"/>
      <c r="VIY241" s="201"/>
      <c r="VIZ241" s="201"/>
      <c r="VJA241" s="201"/>
      <c r="VJB241" s="201"/>
      <c r="VJC241" s="201"/>
      <c r="VJD241" s="201"/>
      <c r="VJE241" s="201"/>
      <c r="VJF241" s="201"/>
      <c r="VJG241" s="201"/>
      <c r="VJH241" s="201"/>
      <c r="VJI241" s="201"/>
      <c r="VJJ241" s="201"/>
      <c r="VJK241" s="201"/>
      <c r="VJL241" s="201"/>
      <c r="VJM241" s="201"/>
      <c r="VJN241" s="201"/>
      <c r="VJO241" s="201"/>
      <c r="VJP241" s="201"/>
      <c r="VJQ241" s="201"/>
      <c r="VJR241" s="201"/>
      <c r="VJS241" s="201"/>
      <c r="VJT241" s="201"/>
      <c r="VJU241" s="201"/>
      <c r="VJV241" s="201"/>
      <c r="VJW241" s="201"/>
      <c r="VJX241" s="201"/>
      <c r="VJY241" s="201"/>
      <c r="VJZ241" s="201"/>
      <c r="VKA241" s="201"/>
      <c r="VKB241" s="201"/>
      <c r="VKC241" s="201"/>
      <c r="VKD241" s="201"/>
      <c r="VKE241" s="201"/>
      <c r="VKF241" s="201"/>
      <c r="VKG241" s="201"/>
      <c r="VKH241" s="201"/>
      <c r="VKI241" s="201"/>
      <c r="VKJ241" s="201"/>
      <c r="VKK241" s="201"/>
      <c r="VKL241" s="201"/>
      <c r="VKM241" s="201"/>
      <c r="VKN241" s="201"/>
      <c r="VKO241" s="201"/>
      <c r="VKP241" s="201"/>
      <c r="VKQ241" s="201"/>
      <c r="VKR241" s="201"/>
      <c r="VKS241" s="201"/>
      <c r="VKT241" s="201"/>
      <c r="VKU241" s="201"/>
      <c r="VKV241" s="201"/>
      <c r="VKW241" s="201"/>
      <c r="VKX241" s="201"/>
      <c r="VKY241" s="201"/>
      <c r="VKZ241" s="201"/>
      <c r="VLA241" s="201"/>
      <c r="VLB241" s="201"/>
      <c r="VLC241" s="201"/>
      <c r="VLD241" s="201"/>
      <c r="VLE241" s="201"/>
      <c r="VLF241" s="201"/>
      <c r="VLG241" s="201"/>
      <c r="VLH241" s="201"/>
      <c r="VLI241" s="201"/>
      <c r="VLJ241" s="201"/>
      <c r="VLK241" s="201"/>
      <c r="VLL241" s="201"/>
      <c r="VLM241" s="201"/>
      <c r="VLN241" s="201"/>
      <c r="VLO241" s="201"/>
      <c r="VLP241" s="201"/>
      <c r="VLQ241" s="201"/>
      <c r="VLR241" s="201"/>
      <c r="VLS241" s="201"/>
      <c r="VLT241" s="201"/>
      <c r="VLU241" s="201"/>
      <c r="VLV241" s="201"/>
      <c r="VLW241" s="201"/>
      <c r="VLX241" s="201"/>
      <c r="VLY241" s="201"/>
      <c r="VLZ241" s="201"/>
      <c r="VMA241" s="201"/>
      <c r="VMB241" s="201"/>
      <c r="VMC241" s="201"/>
      <c r="VMD241" s="201"/>
      <c r="VME241" s="201"/>
      <c r="VMF241" s="201"/>
      <c r="VMG241" s="201"/>
      <c r="VMH241" s="201"/>
      <c r="VMI241" s="201"/>
      <c r="VMJ241" s="201"/>
      <c r="VMK241" s="201"/>
      <c r="VML241" s="201"/>
      <c r="VMM241" s="201"/>
      <c r="VMN241" s="201"/>
      <c r="VMO241" s="201"/>
      <c r="VMP241" s="201"/>
      <c r="VMQ241" s="201"/>
      <c r="VMR241" s="201"/>
      <c r="VMS241" s="201"/>
      <c r="VMT241" s="201"/>
      <c r="VMU241" s="201"/>
      <c r="VMV241" s="201"/>
      <c r="VMW241" s="201"/>
      <c r="VMX241" s="201"/>
      <c r="VMY241" s="201"/>
      <c r="VMZ241" s="201"/>
      <c r="VNA241" s="201"/>
      <c r="VNB241" s="201"/>
      <c r="VNC241" s="201"/>
      <c r="VND241" s="201"/>
      <c r="VNE241" s="201"/>
      <c r="VNF241" s="201"/>
      <c r="VNG241" s="201"/>
      <c r="VNH241" s="201"/>
      <c r="VNI241" s="201"/>
      <c r="VNJ241" s="201"/>
      <c r="VNK241" s="201"/>
      <c r="VNL241" s="201"/>
      <c r="VNM241" s="201"/>
      <c r="VNN241" s="201"/>
      <c r="VNO241" s="201"/>
      <c r="VNP241" s="201"/>
      <c r="VNQ241" s="201"/>
      <c r="VNR241" s="201"/>
      <c r="VNS241" s="201"/>
      <c r="VNT241" s="201"/>
      <c r="VNU241" s="201"/>
      <c r="VNV241" s="201"/>
      <c r="VNW241" s="201"/>
      <c r="VNX241" s="201"/>
      <c r="VNY241" s="201"/>
      <c r="VNZ241" s="201"/>
      <c r="VOA241" s="201"/>
      <c r="VOB241" s="201"/>
      <c r="VOC241" s="201"/>
      <c r="VOD241" s="201"/>
      <c r="VOE241" s="201"/>
      <c r="VOF241" s="201"/>
      <c r="VOG241" s="201"/>
      <c r="VOH241" s="201"/>
      <c r="VOI241" s="201"/>
      <c r="VOJ241" s="201"/>
      <c r="VOK241" s="201"/>
      <c r="VOL241" s="201"/>
      <c r="VOM241" s="201"/>
      <c r="VON241" s="201"/>
      <c r="VOO241" s="201"/>
      <c r="VOP241" s="201"/>
      <c r="VOQ241" s="201"/>
      <c r="VOR241" s="201"/>
      <c r="VOS241" s="201"/>
      <c r="VOT241" s="201"/>
      <c r="VOU241" s="201"/>
      <c r="VOV241" s="201"/>
      <c r="VOW241" s="201"/>
      <c r="VOX241" s="201"/>
      <c r="VOY241" s="201"/>
      <c r="VOZ241" s="201"/>
      <c r="VPA241" s="201"/>
      <c r="VPB241" s="201"/>
      <c r="VPC241" s="201"/>
      <c r="VPD241" s="201"/>
      <c r="VPE241" s="201"/>
      <c r="VPF241" s="201"/>
      <c r="VPG241" s="201"/>
      <c r="VPH241" s="201"/>
      <c r="VPI241" s="201"/>
      <c r="VPJ241" s="201"/>
      <c r="VPK241" s="201"/>
      <c r="VPL241" s="201"/>
      <c r="VPM241" s="201"/>
      <c r="VPN241" s="201"/>
      <c r="VPO241" s="201"/>
      <c r="VPP241" s="201"/>
      <c r="VPQ241" s="201"/>
      <c r="VPR241" s="201"/>
      <c r="VPS241" s="201"/>
      <c r="VPT241" s="201"/>
      <c r="VPU241" s="201"/>
      <c r="VPV241" s="201"/>
      <c r="VPW241" s="201"/>
      <c r="VPX241" s="201"/>
      <c r="VPY241" s="201"/>
      <c r="VPZ241" s="201"/>
      <c r="VQA241" s="201"/>
      <c r="VQB241" s="201"/>
      <c r="VQC241" s="201"/>
      <c r="VQD241" s="201"/>
      <c r="VQE241" s="201"/>
      <c r="VQF241" s="201"/>
      <c r="VQG241" s="201"/>
      <c r="VQH241" s="201"/>
      <c r="VQI241" s="201"/>
      <c r="VQJ241" s="201"/>
      <c r="VQK241" s="201"/>
      <c r="VQL241" s="201"/>
      <c r="VQM241" s="201"/>
      <c r="VQN241" s="201"/>
      <c r="VQO241" s="201"/>
      <c r="VQP241" s="201"/>
      <c r="VQQ241" s="201"/>
      <c r="VQR241" s="201"/>
      <c r="VQS241" s="201"/>
      <c r="VQT241" s="201"/>
      <c r="VQU241" s="201"/>
      <c r="VQV241" s="201"/>
      <c r="VQW241" s="201"/>
      <c r="VQX241" s="201"/>
      <c r="VQY241" s="201"/>
      <c r="VQZ241" s="201"/>
      <c r="VRA241" s="201"/>
      <c r="VRB241" s="201"/>
      <c r="VRC241" s="201"/>
      <c r="VRD241" s="201"/>
      <c r="VRE241" s="201"/>
      <c r="VRF241" s="201"/>
      <c r="VRG241" s="201"/>
      <c r="VRH241" s="201"/>
      <c r="VRI241" s="201"/>
      <c r="VRJ241" s="201"/>
      <c r="VRK241" s="201"/>
      <c r="VRL241" s="201"/>
      <c r="VRM241" s="201"/>
      <c r="VRN241" s="201"/>
      <c r="VRO241" s="201"/>
      <c r="VRP241" s="201"/>
      <c r="VRQ241" s="201"/>
      <c r="VRR241" s="201"/>
      <c r="VRS241" s="201"/>
      <c r="VRT241" s="201"/>
      <c r="VRU241" s="201"/>
      <c r="VRV241" s="201"/>
      <c r="VRW241" s="201"/>
      <c r="VRX241" s="201"/>
      <c r="VRY241" s="201"/>
      <c r="VRZ241" s="201"/>
      <c r="VSA241" s="201"/>
      <c r="VSB241" s="201"/>
      <c r="VSC241" s="201"/>
      <c r="VSD241" s="201"/>
      <c r="VSE241" s="201"/>
      <c r="VSF241" s="201"/>
      <c r="VSG241" s="201"/>
      <c r="VSH241" s="201"/>
      <c r="VSI241" s="201"/>
      <c r="VSJ241" s="201"/>
      <c r="VSK241" s="201"/>
      <c r="VSL241" s="201"/>
      <c r="VSM241" s="201"/>
      <c r="VSN241" s="201"/>
      <c r="VSO241" s="201"/>
      <c r="VSP241" s="201"/>
      <c r="VSQ241" s="201"/>
      <c r="VSR241" s="201"/>
      <c r="VSS241" s="201"/>
      <c r="VST241" s="201"/>
      <c r="VSU241" s="201"/>
      <c r="VSV241" s="201"/>
      <c r="VSW241" s="201"/>
      <c r="VSX241" s="201"/>
      <c r="VSY241" s="201"/>
      <c r="VSZ241" s="201"/>
      <c r="VTA241" s="201"/>
      <c r="VTB241" s="201"/>
      <c r="VTC241" s="201"/>
      <c r="VTD241" s="201"/>
      <c r="VTE241" s="201"/>
      <c r="VTF241" s="201"/>
      <c r="VTG241" s="201"/>
      <c r="VTH241" s="201"/>
      <c r="VTI241" s="201"/>
      <c r="VTJ241" s="201"/>
      <c r="VTK241" s="201"/>
      <c r="VTL241" s="201"/>
      <c r="VTM241" s="201"/>
      <c r="VTN241" s="201"/>
      <c r="VTO241" s="201"/>
      <c r="VTP241" s="201"/>
      <c r="VTQ241" s="201"/>
      <c r="VTR241" s="201"/>
      <c r="VTS241" s="201"/>
      <c r="VTT241" s="201"/>
      <c r="VTU241" s="201"/>
      <c r="VTV241" s="201"/>
      <c r="VTW241" s="201"/>
      <c r="VTX241" s="201"/>
      <c r="VTY241" s="201"/>
      <c r="VTZ241" s="201"/>
      <c r="VUA241" s="201"/>
      <c r="VUB241" s="201"/>
      <c r="VUC241" s="201"/>
      <c r="VUD241" s="201"/>
      <c r="VUE241" s="201"/>
      <c r="VUF241" s="201"/>
      <c r="VUG241" s="201"/>
      <c r="VUH241" s="201"/>
      <c r="VUI241" s="201"/>
      <c r="VUJ241" s="201"/>
      <c r="VUK241" s="201"/>
      <c r="VUL241" s="201"/>
      <c r="VUM241" s="201"/>
      <c r="VUN241" s="201"/>
      <c r="VUO241" s="201"/>
      <c r="VUP241" s="201"/>
      <c r="VUQ241" s="201"/>
      <c r="VUR241" s="201"/>
      <c r="VUS241" s="201"/>
      <c r="VUT241" s="201"/>
      <c r="VUU241" s="201"/>
      <c r="VUV241" s="201"/>
      <c r="VUW241" s="201"/>
      <c r="VUX241" s="201"/>
      <c r="VUY241" s="201"/>
      <c r="VUZ241" s="201"/>
      <c r="VVA241" s="201"/>
      <c r="VVB241" s="201"/>
      <c r="VVC241" s="201"/>
      <c r="VVD241" s="201"/>
      <c r="VVE241" s="201"/>
      <c r="VVF241" s="201"/>
      <c r="VVG241" s="201"/>
      <c r="VVH241" s="201"/>
      <c r="VVI241" s="201"/>
      <c r="VVJ241" s="201"/>
      <c r="VVK241" s="201"/>
      <c r="VVL241" s="201"/>
      <c r="VVM241" s="201"/>
      <c r="VVN241" s="201"/>
      <c r="VVO241" s="201"/>
      <c r="VVP241" s="201"/>
      <c r="VVQ241" s="201"/>
      <c r="VVR241" s="201"/>
      <c r="VVS241" s="201"/>
      <c r="VVT241" s="201"/>
      <c r="VVU241" s="201"/>
      <c r="VVV241" s="201"/>
      <c r="VVW241" s="201"/>
      <c r="VVX241" s="201"/>
      <c r="VVY241" s="201"/>
      <c r="VVZ241" s="201"/>
      <c r="VWA241" s="201"/>
      <c r="VWB241" s="201"/>
      <c r="VWC241" s="201"/>
      <c r="VWD241" s="201"/>
      <c r="VWE241" s="201"/>
      <c r="VWF241" s="201"/>
      <c r="VWG241" s="201"/>
      <c r="VWH241" s="201"/>
      <c r="VWI241" s="201"/>
      <c r="VWJ241" s="201"/>
      <c r="VWK241" s="201"/>
      <c r="VWL241" s="201"/>
      <c r="VWM241" s="201"/>
      <c r="VWN241" s="201"/>
      <c r="VWO241" s="201"/>
      <c r="VWP241" s="201"/>
      <c r="VWQ241" s="201"/>
      <c r="VWR241" s="201"/>
      <c r="VWS241" s="201"/>
      <c r="VWT241" s="201"/>
      <c r="VWU241" s="201"/>
      <c r="VWV241" s="201"/>
      <c r="VWW241" s="201"/>
      <c r="VWX241" s="201"/>
      <c r="VWY241" s="201"/>
      <c r="VWZ241" s="201"/>
      <c r="VXA241" s="201"/>
      <c r="VXB241" s="201"/>
      <c r="VXC241" s="201"/>
      <c r="VXD241" s="201"/>
      <c r="VXE241" s="201"/>
      <c r="VXF241" s="201"/>
      <c r="VXG241" s="201"/>
      <c r="VXH241" s="201"/>
      <c r="VXI241" s="201"/>
      <c r="VXJ241" s="201"/>
      <c r="VXK241" s="201"/>
      <c r="VXL241" s="201"/>
      <c r="VXM241" s="201"/>
      <c r="VXN241" s="201"/>
      <c r="VXO241" s="201"/>
      <c r="VXP241" s="201"/>
      <c r="VXQ241" s="201"/>
      <c r="VXR241" s="201"/>
      <c r="VXS241" s="201"/>
      <c r="VXT241" s="201"/>
      <c r="VXU241" s="201"/>
      <c r="VXV241" s="201"/>
      <c r="VXW241" s="201"/>
      <c r="VXX241" s="201"/>
      <c r="VXY241" s="201"/>
      <c r="VXZ241" s="201"/>
      <c r="VYA241" s="201"/>
      <c r="VYB241" s="201"/>
      <c r="VYC241" s="201"/>
      <c r="VYD241" s="201"/>
      <c r="VYE241" s="201"/>
      <c r="VYF241" s="201"/>
      <c r="VYG241" s="201"/>
      <c r="VYH241" s="201"/>
      <c r="VYI241" s="201"/>
      <c r="VYJ241" s="201"/>
      <c r="VYK241" s="201"/>
      <c r="VYL241" s="201"/>
      <c r="VYM241" s="201"/>
      <c r="VYN241" s="201"/>
      <c r="VYO241" s="201"/>
      <c r="VYP241" s="201"/>
      <c r="VYQ241" s="201"/>
      <c r="VYR241" s="201"/>
      <c r="VYS241" s="201"/>
      <c r="VYT241" s="201"/>
      <c r="VYU241" s="201"/>
      <c r="VYV241" s="201"/>
      <c r="VYW241" s="201"/>
      <c r="VYX241" s="201"/>
      <c r="VYY241" s="201"/>
      <c r="VYZ241" s="201"/>
      <c r="VZA241" s="201"/>
      <c r="VZB241" s="201"/>
      <c r="VZC241" s="201"/>
      <c r="VZD241" s="201"/>
      <c r="VZE241" s="201"/>
      <c r="VZF241" s="201"/>
      <c r="VZG241" s="201"/>
      <c r="VZH241" s="201"/>
      <c r="VZI241" s="201"/>
      <c r="VZJ241" s="201"/>
      <c r="VZK241" s="201"/>
      <c r="VZL241" s="201"/>
      <c r="VZM241" s="201"/>
      <c r="VZN241" s="201"/>
      <c r="VZO241" s="201"/>
      <c r="VZP241" s="201"/>
      <c r="VZQ241" s="201"/>
      <c r="VZR241" s="201"/>
      <c r="VZS241" s="201"/>
      <c r="VZT241" s="201"/>
      <c r="VZU241" s="201"/>
      <c r="VZV241" s="201"/>
      <c r="VZW241" s="201"/>
      <c r="VZX241" s="201"/>
      <c r="VZY241" s="201"/>
      <c r="VZZ241" s="201"/>
      <c r="WAA241" s="201"/>
      <c r="WAB241" s="201"/>
      <c r="WAC241" s="201"/>
      <c r="WAD241" s="201"/>
      <c r="WAE241" s="201"/>
      <c r="WAF241" s="201"/>
      <c r="WAG241" s="201"/>
      <c r="WAH241" s="201"/>
      <c r="WAI241" s="201"/>
      <c r="WAJ241" s="201"/>
      <c r="WAK241" s="201"/>
      <c r="WAL241" s="201"/>
      <c r="WAM241" s="201"/>
      <c r="WAN241" s="201"/>
      <c r="WAO241" s="201"/>
      <c r="WAP241" s="201"/>
      <c r="WAQ241" s="201"/>
      <c r="WAR241" s="201"/>
      <c r="WAS241" s="201"/>
      <c r="WAT241" s="201"/>
      <c r="WAU241" s="201"/>
      <c r="WAV241" s="201"/>
      <c r="WAW241" s="201"/>
      <c r="WAX241" s="201"/>
      <c r="WAY241" s="201"/>
      <c r="WAZ241" s="201"/>
      <c r="WBA241" s="201"/>
      <c r="WBB241" s="201"/>
      <c r="WBC241" s="201"/>
      <c r="WBD241" s="201"/>
      <c r="WBE241" s="201"/>
      <c r="WBF241" s="201"/>
      <c r="WBG241" s="201"/>
      <c r="WBH241" s="201"/>
      <c r="WBI241" s="201"/>
      <c r="WBJ241" s="201"/>
      <c r="WBK241" s="201"/>
      <c r="WBL241" s="201"/>
      <c r="WBM241" s="201"/>
      <c r="WBN241" s="201"/>
      <c r="WBO241" s="201"/>
      <c r="WBP241" s="201"/>
      <c r="WBQ241" s="201"/>
      <c r="WBR241" s="201"/>
      <c r="WBS241" s="201"/>
      <c r="WBT241" s="201"/>
      <c r="WBU241" s="201"/>
      <c r="WBV241" s="201"/>
      <c r="WBW241" s="201"/>
      <c r="WBX241" s="201"/>
      <c r="WBY241" s="201"/>
      <c r="WBZ241" s="201"/>
      <c r="WCA241" s="201"/>
      <c r="WCB241" s="201"/>
      <c r="WCC241" s="201"/>
      <c r="WCD241" s="201"/>
      <c r="WCE241" s="201"/>
      <c r="WCF241" s="201"/>
      <c r="WCG241" s="201"/>
      <c r="WCH241" s="201"/>
      <c r="WCI241" s="201"/>
      <c r="WCJ241" s="201"/>
      <c r="WCK241" s="201"/>
      <c r="WCL241" s="201"/>
      <c r="WCM241" s="201"/>
      <c r="WCN241" s="201"/>
      <c r="WCO241" s="201"/>
      <c r="WCP241" s="201"/>
      <c r="WCQ241" s="201"/>
      <c r="WCR241" s="201"/>
      <c r="WCS241" s="201"/>
      <c r="WCT241" s="201"/>
      <c r="WCU241" s="201"/>
      <c r="WCV241" s="201"/>
      <c r="WCW241" s="201"/>
      <c r="WCX241" s="201"/>
      <c r="WCY241" s="201"/>
      <c r="WCZ241" s="201"/>
      <c r="WDA241" s="201"/>
      <c r="WDB241" s="201"/>
      <c r="WDC241" s="201"/>
      <c r="WDD241" s="201"/>
      <c r="WDE241" s="201"/>
      <c r="WDF241" s="201"/>
      <c r="WDG241" s="201"/>
      <c r="WDH241" s="201"/>
      <c r="WDI241" s="201"/>
      <c r="WDJ241" s="201"/>
      <c r="WDK241" s="201"/>
      <c r="WDL241" s="201"/>
      <c r="WDM241" s="201"/>
      <c r="WDN241" s="201"/>
      <c r="WDO241" s="201"/>
      <c r="WDP241" s="201"/>
      <c r="WDQ241" s="201"/>
      <c r="WDR241" s="201"/>
      <c r="WDS241" s="201"/>
      <c r="WDT241" s="201"/>
      <c r="WDU241" s="201"/>
      <c r="WDV241" s="201"/>
      <c r="WDW241" s="201"/>
      <c r="WDX241" s="201"/>
      <c r="WDY241" s="201"/>
      <c r="WDZ241" s="201"/>
      <c r="WEA241" s="201"/>
      <c r="WEB241" s="201"/>
      <c r="WEC241" s="201"/>
      <c r="WED241" s="201"/>
      <c r="WEE241" s="201"/>
      <c r="WEF241" s="201"/>
      <c r="WEG241" s="201"/>
      <c r="WEH241" s="201"/>
      <c r="WEI241" s="201"/>
      <c r="WEJ241" s="201"/>
      <c r="WEK241" s="201"/>
      <c r="WEL241" s="201"/>
      <c r="WEM241" s="201"/>
      <c r="WEN241" s="201"/>
      <c r="WEO241" s="201"/>
      <c r="WEP241" s="201"/>
      <c r="WEQ241" s="201"/>
      <c r="WER241" s="201"/>
      <c r="WES241" s="201"/>
      <c r="WET241" s="201"/>
      <c r="WEU241" s="201"/>
      <c r="WEV241" s="201"/>
      <c r="WEW241" s="201"/>
      <c r="WEX241" s="201"/>
      <c r="WEY241" s="201"/>
      <c r="WEZ241" s="201"/>
      <c r="WFA241" s="201"/>
      <c r="WFB241" s="201"/>
      <c r="WFC241" s="201"/>
      <c r="WFD241" s="201"/>
      <c r="WFE241" s="201"/>
      <c r="WFF241" s="201"/>
      <c r="WFG241" s="201"/>
      <c r="WFH241" s="201"/>
      <c r="WFI241" s="201"/>
      <c r="WFJ241" s="201"/>
      <c r="WFK241" s="201"/>
      <c r="WFL241" s="201"/>
      <c r="WFM241" s="201"/>
      <c r="WFN241" s="201"/>
      <c r="WFO241" s="201"/>
      <c r="WFP241" s="201"/>
      <c r="WFQ241" s="201"/>
      <c r="WFR241" s="201"/>
      <c r="WFS241" s="201"/>
      <c r="WFT241" s="201"/>
      <c r="WFU241" s="201"/>
      <c r="WFV241" s="201"/>
      <c r="WFW241" s="201"/>
      <c r="WFX241" s="201"/>
      <c r="WFY241" s="201"/>
      <c r="WFZ241" s="201"/>
      <c r="WGA241" s="201"/>
      <c r="WGB241" s="201"/>
      <c r="WGC241" s="201"/>
      <c r="WGD241" s="201"/>
      <c r="WGE241" s="201"/>
      <c r="WGF241" s="201"/>
      <c r="WGG241" s="201"/>
      <c r="WGH241" s="201"/>
      <c r="WGI241" s="201"/>
      <c r="WGJ241" s="201"/>
      <c r="WGK241" s="201"/>
      <c r="WGL241" s="201"/>
      <c r="WGM241" s="201"/>
      <c r="WGN241" s="201"/>
      <c r="WGO241" s="201"/>
      <c r="WGP241" s="201"/>
      <c r="WGQ241" s="201"/>
      <c r="WGR241" s="201"/>
      <c r="WGS241" s="201"/>
      <c r="WGT241" s="201"/>
      <c r="WGU241" s="201"/>
      <c r="WGV241" s="201"/>
      <c r="WGW241" s="201"/>
      <c r="WGX241" s="201"/>
      <c r="WGY241" s="201"/>
      <c r="WGZ241" s="201"/>
      <c r="WHA241" s="201"/>
      <c r="WHB241" s="201"/>
      <c r="WHC241" s="201"/>
      <c r="WHD241" s="201"/>
      <c r="WHE241" s="201"/>
      <c r="WHF241" s="201"/>
      <c r="WHG241" s="201"/>
      <c r="WHH241" s="201"/>
      <c r="WHI241" s="201"/>
      <c r="WHJ241" s="201"/>
      <c r="WHK241" s="201"/>
      <c r="WHL241" s="201"/>
      <c r="WHM241" s="201"/>
      <c r="WHN241" s="201"/>
      <c r="WHO241" s="201"/>
      <c r="WHP241" s="201"/>
      <c r="WHQ241" s="201"/>
      <c r="WHR241" s="201"/>
      <c r="WHS241" s="201"/>
      <c r="WHT241" s="201"/>
      <c r="WHU241" s="201"/>
      <c r="WHV241" s="201"/>
      <c r="WHW241" s="201"/>
      <c r="WHX241" s="201"/>
      <c r="WHY241" s="201"/>
      <c r="WHZ241" s="201"/>
      <c r="WIA241" s="201"/>
      <c r="WIB241" s="201"/>
      <c r="WIC241" s="201"/>
      <c r="WID241" s="201"/>
      <c r="WIE241" s="201"/>
      <c r="WIF241" s="201"/>
      <c r="WIG241" s="201"/>
      <c r="WIH241" s="201"/>
      <c r="WII241" s="201"/>
      <c r="WIJ241" s="201"/>
      <c r="WIK241" s="201"/>
      <c r="WIL241" s="201"/>
      <c r="WIM241" s="201"/>
      <c r="WIN241" s="201"/>
      <c r="WIO241" s="201"/>
      <c r="WIP241" s="201"/>
      <c r="WIQ241" s="201"/>
      <c r="WIR241" s="201"/>
      <c r="WIS241" s="201"/>
      <c r="WIT241" s="201"/>
      <c r="WIU241" s="201"/>
      <c r="WIV241" s="201"/>
      <c r="WIW241" s="201"/>
      <c r="WIX241" s="201"/>
      <c r="WIY241" s="201"/>
      <c r="WIZ241" s="201"/>
      <c r="WJA241" s="201"/>
      <c r="WJB241" s="201"/>
      <c r="WJC241" s="201"/>
      <c r="WJD241" s="201"/>
      <c r="WJE241" s="201"/>
      <c r="WJF241" s="201"/>
      <c r="WJG241" s="201"/>
      <c r="WJH241" s="201"/>
      <c r="WJI241" s="201"/>
      <c r="WJJ241" s="201"/>
      <c r="WJK241" s="201"/>
      <c r="WJL241" s="201"/>
      <c r="WJM241" s="201"/>
      <c r="WJN241" s="201"/>
      <c r="WJO241" s="201"/>
      <c r="WJP241" s="201"/>
      <c r="WJQ241" s="201"/>
      <c r="WJR241" s="201"/>
      <c r="WJS241" s="201"/>
      <c r="WJT241" s="201"/>
      <c r="WJU241" s="201"/>
      <c r="WJV241" s="201"/>
      <c r="WJW241" s="201"/>
      <c r="WJX241" s="201"/>
      <c r="WJY241" s="201"/>
      <c r="WJZ241" s="201"/>
      <c r="WKA241" s="201"/>
      <c r="WKB241" s="201"/>
      <c r="WKC241" s="201"/>
      <c r="WKD241" s="201"/>
      <c r="WKE241" s="201"/>
      <c r="WKF241" s="201"/>
      <c r="WKG241" s="201"/>
      <c r="WKH241" s="201"/>
      <c r="WKI241" s="201"/>
      <c r="WKJ241" s="201"/>
      <c r="WKK241" s="201"/>
      <c r="WKL241" s="201"/>
      <c r="WKM241" s="201"/>
      <c r="WKN241" s="201"/>
      <c r="WKO241" s="201"/>
      <c r="WKP241" s="201"/>
      <c r="WKQ241" s="201"/>
      <c r="WKR241" s="201"/>
      <c r="WKS241" s="201"/>
      <c r="WKT241" s="201"/>
      <c r="WKU241" s="201"/>
      <c r="WKV241" s="201"/>
      <c r="WKW241" s="201"/>
      <c r="WKX241" s="201"/>
      <c r="WKY241" s="201"/>
      <c r="WKZ241" s="201"/>
      <c r="WLA241" s="201"/>
      <c r="WLB241" s="201"/>
      <c r="WLC241" s="201"/>
      <c r="WLD241" s="201"/>
      <c r="WLE241" s="201"/>
      <c r="WLF241" s="201"/>
      <c r="WLG241" s="201"/>
      <c r="WLH241" s="201"/>
      <c r="WLI241" s="201"/>
      <c r="WLJ241" s="201"/>
      <c r="WLK241" s="201"/>
      <c r="WLL241" s="201"/>
      <c r="WLM241" s="201"/>
      <c r="WLN241" s="201"/>
      <c r="WLO241" s="201"/>
      <c r="WLP241" s="201"/>
      <c r="WLQ241" s="201"/>
      <c r="WLR241" s="201"/>
      <c r="WLS241" s="201"/>
      <c r="WLT241" s="201"/>
      <c r="WLU241" s="201"/>
      <c r="WLV241" s="201"/>
      <c r="WLW241" s="201"/>
      <c r="WLX241" s="201"/>
      <c r="WLY241" s="201"/>
      <c r="WLZ241" s="201"/>
      <c r="WMA241" s="201"/>
      <c r="WMB241" s="201"/>
      <c r="WMC241" s="201"/>
      <c r="WMD241" s="201"/>
      <c r="WME241" s="201"/>
      <c r="WMF241" s="201"/>
      <c r="WMG241" s="201"/>
      <c r="WMH241" s="201"/>
      <c r="WMI241" s="201"/>
      <c r="WMJ241" s="201"/>
      <c r="WMK241" s="201"/>
      <c r="WML241" s="201"/>
      <c r="WMM241" s="201"/>
      <c r="WMN241" s="201"/>
      <c r="WMO241" s="201"/>
      <c r="WMP241" s="201"/>
      <c r="WMQ241" s="201"/>
      <c r="WMR241" s="201"/>
      <c r="WMS241" s="201"/>
      <c r="WMT241" s="201"/>
      <c r="WMU241" s="201"/>
      <c r="WMV241" s="201"/>
      <c r="WMW241" s="201"/>
      <c r="WMX241" s="201"/>
      <c r="WMY241" s="201"/>
      <c r="WMZ241" s="201"/>
      <c r="WNA241" s="201"/>
      <c r="WNB241" s="201"/>
      <c r="WNC241" s="201"/>
      <c r="WND241" s="201"/>
      <c r="WNE241" s="201"/>
      <c r="WNF241" s="201"/>
      <c r="WNG241" s="201"/>
      <c r="WNH241" s="201"/>
      <c r="WNI241" s="201"/>
      <c r="WNJ241" s="201"/>
      <c r="WNK241" s="201"/>
      <c r="WNL241" s="201"/>
      <c r="WNM241" s="201"/>
      <c r="WNN241" s="201"/>
      <c r="WNO241" s="201"/>
      <c r="WNP241" s="201"/>
      <c r="WNQ241" s="201"/>
      <c r="WNR241" s="201"/>
      <c r="WNS241" s="201"/>
      <c r="WNT241" s="201"/>
      <c r="WNU241" s="201"/>
      <c r="WNV241" s="201"/>
      <c r="WNW241" s="201"/>
      <c r="WNX241" s="201"/>
      <c r="WNY241" s="201"/>
      <c r="WNZ241" s="201"/>
      <c r="WOA241" s="201"/>
      <c r="WOB241" s="201"/>
      <c r="WOC241" s="201"/>
      <c r="WOD241" s="201"/>
      <c r="WOE241" s="201"/>
      <c r="WOF241" s="201"/>
      <c r="WOG241" s="201"/>
      <c r="WOH241" s="201"/>
      <c r="WOI241" s="201"/>
      <c r="WOJ241" s="201"/>
      <c r="WOK241" s="201"/>
      <c r="WOL241" s="201"/>
      <c r="WOM241" s="201"/>
      <c r="WON241" s="201"/>
      <c r="WOO241" s="201"/>
      <c r="WOP241" s="201"/>
      <c r="WOQ241" s="201"/>
      <c r="WOR241" s="201"/>
      <c r="WOS241" s="201"/>
      <c r="WOT241" s="201"/>
      <c r="WOU241" s="201"/>
      <c r="WOV241" s="201"/>
      <c r="WOW241" s="201"/>
      <c r="WOX241" s="201"/>
      <c r="WOY241" s="201"/>
      <c r="WOZ241" s="201"/>
      <c r="WPA241" s="201"/>
      <c r="WPB241" s="201"/>
      <c r="WPC241" s="201"/>
      <c r="WPD241" s="201"/>
      <c r="WPE241" s="201"/>
      <c r="WPF241" s="201"/>
      <c r="WPG241" s="201"/>
      <c r="WPH241" s="201"/>
      <c r="WPI241" s="201"/>
      <c r="WPJ241" s="201"/>
      <c r="WPK241" s="201"/>
      <c r="WPL241" s="201"/>
      <c r="WPM241" s="201"/>
      <c r="WPN241" s="201"/>
      <c r="WPO241" s="201"/>
      <c r="WPP241" s="201"/>
      <c r="WPQ241" s="201"/>
      <c r="WPR241" s="201"/>
      <c r="WPS241" s="201"/>
      <c r="WPT241" s="201"/>
      <c r="WPU241" s="201"/>
      <c r="WPV241" s="201"/>
      <c r="WPW241" s="201"/>
      <c r="WPX241" s="201"/>
      <c r="WPY241" s="201"/>
      <c r="WPZ241" s="201"/>
      <c r="WQA241" s="201"/>
      <c r="WQB241" s="201"/>
      <c r="WQC241" s="201"/>
      <c r="WQD241" s="201"/>
      <c r="WQE241" s="201"/>
      <c r="WQF241" s="201"/>
      <c r="WQG241" s="201"/>
      <c r="WQH241" s="201"/>
      <c r="WQI241" s="201"/>
      <c r="WQJ241" s="201"/>
      <c r="WQK241" s="201"/>
      <c r="WQL241" s="201"/>
      <c r="WQM241" s="201"/>
      <c r="WQN241" s="201"/>
      <c r="WQO241" s="201"/>
      <c r="WQP241" s="201"/>
      <c r="WQQ241" s="201"/>
      <c r="WQR241" s="201"/>
      <c r="WQS241" s="201"/>
      <c r="WQT241" s="201"/>
      <c r="WQU241" s="201"/>
      <c r="WQV241" s="201"/>
      <c r="WQW241" s="201"/>
      <c r="WQX241" s="201"/>
      <c r="WQY241" s="201"/>
      <c r="WQZ241" s="201"/>
      <c r="WRA241" s="201"/>
      <c r="WRB241" s="201"/>
      <c r="WRC241" s="201"/>
      <c r="WRD241" s="201"/>
      <c r="WRE241" s="201"/>
      <c r="WRF241" s="201"/>
      <c r="WRG241" s="201"/>
      <c r="WRH241" s="201"/>
      <c r="WRI241" s="201"/>
      <c r="WRJ241" s="201"/>
      <c r="WRK241" s="201"/>
      <c r="WRL241" s="201"/>
      <c r="WRM241" s="201"/>
      <c r="WRN241" s="201"/>
      <c r="WRO241" s="201"/>
      <c r="WRP241" s="201"/>
      <c r="WRQ241" s="201"/>
      <c r="WRR241" s="201"/>
      <c r="WRS241" s="201"/>
      <c r="WRT241" s="201"/>
      <c r="WRU241" s="201"/>
      <c r="WRV241" s="201"/>
      <c r="WRW241" s="201"/>
      <c r="WRX241" s="201"/>
      <c r="WRY241" s="201"/>
      <c r="WRZ241" s="201"/>
      <c r="WSA241" s="201"/>
      <c r="WSB241" s="201"/>
      <c r="WSC241" s="201"/>
      <c r="WSD241" s="201"/>
      <c r="WSE241" s="201"/>
      <c r="WSF241" s="201"/>
      <c r="WSG241" s="201"/>
      <c r="WSH241" s="201"/>
      <c r="WSI241" s="201"/>
      <c r="WSJ241" s="201"/>
      <c r="WSK241" s="201"/>
      <c r="WSL241" s="201"/>
      <c r="WSM241" s="201"/>
      <c r="WSN241" s="201"/>
      <c r="WSO241" s="201"/>
      <c r="WSP241" s="201"/>
      <c r="WSQ241" s="201"/>
      <c r="WSR241" s="201"/>
      <c r="WSS241" s="201"/>
      <c r="WST241" s="201"/>
      <c r="WSU241" s="201"/>
      <c r="WSV241" s="201"/>
      <c r="WSW241" s="201"/>
      <c r="WSX241" s="201"/>
      <c r="WSY241" s="201"/>
      <c r="WSZ241" s="201"/>
      <c r="WTA241" s="201"/>
      <c r="WTB241" s="201"/>
      <c r="WTC241" s="201"/>
      <c r="WTD241" s="201"/>
      <c r="WTE241" s="201"/>
      <c r="WTF241" s="201"/>
      <c r="WTG241" s="201"/>
      <c r="WTH241" s="201"/>
      <c r="WTI241" s="201"/>
      <c r="WTJ241" s="201"/>
      <c r="WTK241" s="201"/>
      <c r="WTL241" s="201"/>
      <c r="WTM241" s="201"/>
      <c r="WTN241" s="201"/>
      <c r="WTO241" s="201"/>
      <c r="WTP241" s="201"/>
      <c r="WTQ241" s="201"/>
      <c r="WTR241" s="201"/>
      <c r="WTS241" s="201"/>
      <c r="WTT241" s="201"/>
      <c r="WTU241" s="201"/>
      <c r="WTV241" s="201"/>
      <c r="WTW241" s="201"/>
      <c r="WTX241" s="201"/>
      <c r="WTY241" s="201"/>
      <c r="WTZ241" s="201"/>
      <c r="WUA241" s="201"/>
      <c r="WUB241" s="201"/>
      <c r="WUC241" s="201"/>
      <c r="WUD241" s="201"/>
      <c r="WUE241" s="201"/>
      <c r="WUF241" s="201"/>
      <c r="WUG241" s="201"/>
      <c r="WUH241" s="201"/>
      <c r="WUI241" s="201"/>
      <c r="WUJ241" s="201"/>
      <c r="WUK241" s="201"/>
      <c r="WUL241" s="201"/>
      <c r="WUM241" s="201"/>
      <c r="WUN241" s="201"/>
      <c r="WUO241" s="201"/>
      <c r="WUP241" s="201"/>
      <c r="WUQ241" s="201"/>
      <c r="WUR241" s="201"/>
      <c r="WUS241" s="201"/>
      <c r="WUT241" s="201"/>
      <c r="WUU241" s="201"/>
      <c r="WUV241" s="201"/>
      <c r="WUW241" s="201"/>
      <c r="WUX241" s="201"/>
      <c r="WUY241" s="201"/>
      <c r="WUZ241" s="201"/>
      <c r="WVA241" s="201"/>
      <c r="WVB241" s="201"/>
      <c r="WVC241" s="201"/>
      <c r="WVD241" s="201"/>
      <c r="WVE241" s="201"/>
      <c r="WVF241" s="201"/>
      <c r="WVG241" s="201"/>
      <c r="WVH241" s="201"/>
      <c r="WVI241" s="201"/>
      <c r="WVJ241" s="201"/>
      <c r="WVK241" s="201"/>
      <c r="WVL241" s="201"/>
      <c r="WVM241" s="201"/>
      <c r="WVN241" s="201"/>
      <c r="WVO241" s="201"/>
      <c r="WVP241" s="201"/>
      <c r="WVQ241" s="201"/>
      <c r="WVR241" s="201"/>
      <c r="WVS241" s="201"/>
      <c r="WVT241" s="201"/>
      <c r="WVU241" s="201"/>
      <c r="WVV241" s="201"/>
      <c r="WVW241" s="201"/>
      <c r="WVX241" s="201"/>
      <c r="WVY241" s="201"/>
      <c r="WVZ241" s="201"/>
      <c r="WWA241" s="201"/>
      <c r="WWB241" s="201"/>
      <c r="WWC241" s="201"/>
      <c r="WWD241" s="201"/>
      <c r="WWE241" s="201"/>
      <c r="WWF241" s="201"/>
      <c r="WWG241" s="201"/>
      <c r="WWH241" s="201"/>
      <c r="WWI241" s="201"/>
      <c r="WWJ241" s="201"/>
      <c r="WWK241" s="201"/>
      <c r="WWL241" s="201"/>
      <c r="WWM241" s="201"/>
      <c r="WWN241" s="201"/>
      <c r="WWO241" s="201"/>
      <c r="WWP241" s="201"/>
      <c r="WWQ241" s="201"/>
      <c r="WWR241" s="201"/>
      <c r="WWS241" s="201"/>
      <c r="WWT241" s="201"/>
      <c r="WWU241" s="201"/>
      <c r="WWV241" s="201"/>
      <c r="WWW241" s="201"/>
      <c r="WWX241" s="201"/>
      <c r="WWY241" s="201"/>
      <c r="WWZ241" s="201"/>
      <c r="WXA241" s="201"/>
      <c r="WXB241" s="201"/>
      <c r="WXC241" s="201"/>
      <c r="WXD241" s="201"/>
      <c r="WXE241" s="201"/>
      <c r="WXF241" s="201"/>
      <c r="WXG241" s="201"/>
      <c r="WXH241" s="201"/>
      <c r="WXI241" s="201"/>
      <c r="WXJ241" s="201"/>
      <c r="WXK241" s="201"/>
      <c r="WXL241" s="201"/>
      <c r="WXM241" s="201"/>
      <c r="WXN241" s="201"/>
      <c r="WXO241" s="201"/>
      <c r="WXP241" s="201"/>
      <c r="WXQ241" s="201"/>
      <c r="WXR241" s="201"/>
      <c r="WXS241" s="201"/>
      <c r="WXT241" s="201"/>
      <c r="WXU241" s="201"/>
      <c r="WXV241" s="201"/>
      <c r="WXW241" s="201"/>
      <c r="WXX241" s="201"/>
      <c r="WXY241" s="201"/>
      <c r="WXZ241" s="201"/>
      <c r="WYA241" s="201"/>
      <c r="WYB241" s="201"/>
      <c r="WYC241" s="201"/>
      <c r="WYD241" s="201"/>
      <c r="WYE241" s="201"/>
      <c r="WYF241" s="201"/>
      <c r="WYG241" s="201"/>
      <c r="WYH241" s="201"/>
      <c r="WYI241" s="201"/>
      <c r="WYJ241" s="201"/>
      <c r="WYK241" s="201"/>
      <c r="WYL241" s="201"/>
      <c r="WYM241" s="201"/>
      <c r="WYN241" s="201"/>
      <c r="WYO241" s="201"/>
      <c r="WYP241" s="201"/>
      <c r="WYQ241" s="201"/>
      <c r="WYR241" s="201"/>
      <c r="WYS241" s="201"/>
      <c r="WYT241" s="201"/>
      <c r="WYU241" s="201"/>
      <c r="WYV241" s="201"/>
      <c r="WYW241" s="201"/>
      <c r="WYX241" s="201"/>
      <c r="WYY241" s="201"/>
      <c r="WYZ241" s="201"/>
      <c r="WZA241" s="201"/>
      <c r="WZB241" s="201"/>
      <c r="WZC241" s="201"/>
      <c r="WZD241" s="201"/>
      <c r="WZE241" s="201"/>
      <c r="WZF241" s="201"/>
      <c r="WZG241" s="201"/>
      <c r="WZH241" s="201"/>
      <c r="WZI241" s="201"/>
      <c r="WZJ241" s="201"/>
      <c r="WZK241" s="201"/>
      <c r="WZL241" s="201"/>
      <c r="WZM241" s="201"/>
      <c r="WZN241" s="201"/>
      <c r="WZO241" s="201"/>
      <c r="WZP241" s="201"/>
      <c r="WZQ241" s="201"/>
      <c r="WZR241" s="201"/>
      <c r="WZS241" s="201"/>
      <c r="WZT241" s="201"/>
      <c r="WZU241" s="201"/>
      <c r="WZV241" s="201"/>
      <c r="WZW241" s="201"/>
      <c r="WZX241" s="201"/>
      <c r="WZY241" s="201"/>
      <c r="WZZ241" s="201"/>
      <c r="XAA241" s="201"/>
      <c r="XAB241" s="201"/>
      <c r="XAC241" s="201"/>
      <c r="XAD241" s="201"/>
      <c r="XAE241" s="201"/>
      <c r="XAF241" s="201"/>
      <c r="XAG241" s="201"/>
      <c r="XAH241" s="201"/>
      <c r="XAI241" s="201"/>
      <c r="XAJ241" s="201"/>
      <c r="XAK241" s="201"/>
      <c r="XAL241" s="201"/>
      <c r="XAM241" s="201"/>
      <c r="XAN241" s="201"/>
      <c r="XAO241" s="201"/>
      <c r="XAP241" s="201"/>
      <c r="XAQ241" s="201"/>
      <c r="XAR241" s="201"/>
      <c r="XAS241" s="201"/>
      <c r="XAT241" s="201"/>
      <c r="XAU241" s="201"/>
      <c r="XAV241" s="201"/>
      <c r="XAW241" s="201"/>
      <c r="XAX241" s="201"/>
      <c r="XAY241" s="201"/>
      <c r="XAZ241" s="201"/>
      <c r="XBA241" s="201"/>
      <c r="XBB241" s="201"/>
      <c r="XBC241" s="201"/>
      <c r="XBD241" s="201"/>
      <c r="XBE241" s="201"/>
      <c r="XBF241" s="201"/>
      <c r="XBG241" s="201"/>
      <c r="XBH241" s="201"/>
      <c r="XBI241" s="201"/>
      <c r="XBJ241" s="201"/>
      <c r="XBK241" s="201"/>
      <c r="XBL241" s="201"/>
      <c r="XBM241" s="201"/>
      <c r="XBN241" s="201"/>
      <c r="XBO241" s="201"/>
      <c r="XBP241" s="201"/>
      <c r="XBQ241" s="201"/>
      <c r="XBR241" s="201"/>
      <c r="XBS241" s="201"/>
      <c r="XBT241" s="201"/>
      <c r="XBU241" s="201"/>
      <c r="XBV241" s="201"/>
      <c r="XBW241" s="201"/>
      <c r="XBX241" s="201"/>
      <c r="XBY241" s="201"/>
      <c r="XBZ241" s="201"/>
      <c r="XCA241" s="201"/>
      <c r="XCB241" s="201"/>
      <c r="XCC241" s="201"/>
      <c r="XCD241" s="201"/>
      <c r="XCE241" s="201"/>
      <c r="XCF241" s="201"/>
      <c r="XCG241" s="201"/>
      <c r="XCH241" s="201"/>
      <c r="XCI241" s="201"/>
      <c r="XCJ241" s="201"/>
      <c r="XCK241" s="201"/>
      <c r="XCL241" s="201"/>
      <c r="XCM241" s="201"/>
      <c r="XCN241" s="201"/>
      <c r="XCO241" s="201"/>
      <c r="XCP241" s="201"/>
      <c r="XCQ241" s="201"/>
      <c r="XCR241" s="201"/>
      <c r="XCS241" s="201"/>
      <c r="XCT241" s="201"/>
      <c r="XCU241" s="201"/>
      <c r="XCV241" s="201"/>
      <c r="XCW241" s="201"/>
      <c r="XCX241" s="201"/>
      <c r="XCY241" s="201"/>
      <c r="XCZ241" s="201"/>
      <c r="XDA241" s="201"/>
      <c r="XDB241" s="201"/>
      <c r="XDC241" s="201"/>
      <c r="XDD241" s="201"/>
      <c r="XDE241" s="201"/>
      <c r="XDF241" s="201"/>
      <c r="XDG241" s="201"/>
      <c r="XDH241" s="201"/>
      <c r="XDI241" s="201"/>
      <c r="XDJ241" s="201"/>
      <c r="XDK241" s="201"/>
      <c r="XDL241" s="201"/>
      <c r="XDM241" s="201"/>
      <c r="XDN241" s="201"/>
      <c r="XDO241" s="201"/>
      <c r="XDP241" s="201"/>
      <c r="XDQ241" s="201"/>
      <c r="XDR241" s="201"/>
      <c r="XDS241" s="201"/>
      <c r="XDT241" s="201"/>
      <c r="XDU241" s="201"/>
      <c r="XDV241" s="201"/>
      <c r="XDW241" s="201"/>
      <c r="XDX241" s="201"/>
      <c r="XDY241" s="201"/>
      <c r="XDZ241" s="201"/>
      <c r="XEA241" s="201"/>
      <c r="XEB241" s="201"/>
      <c r="XEC241" s="201"/>
      <c r="XED241" s="201"/>
      <c r="XEE241" s="201"/>
      <c r="XEF241" s="201"/>
      <c r="XEG241" s="201"/>
      <c r="XEH241" s="201"/>
      <c r="XEI241" s="201"/>
      <c r="XEJ241" s="201"/>
      <c r="XEK241" s="201"/>
      <c r="XEL241" s="201"/>
      <c r="XEM241" s="201"/>
      <c r="XEN241" s="201"/>
      <c r="XEO241" s="201"/>
      <c r="XEP241" s="201"/>
      <c r="XEQ241" s="201"/>
      <c r="XER241" s="201"/>
      <c r="XES241" s="201"/>
      <c r="XET241" s="201"/>
      <c r="XEU241" s="201"/>
      <c r="XEV241" s="201"/>
      <c r="XEW241" s="201"/>
      <c r="XEX241" s="201"/>
      <c r="XEY241" s="201"/>
      <c r="XEZ241" s="201"/>
      <c r="XFA241" s="201"/>
      <c r="XFB241" s="201"/>
      <c r="XFC241" s="201"/>
    </row>
    <row r="242" spans="1:16383" ht="70.150000000000006" customHeight="1">
      <c r="A242" s="107">
        <v>243</v>
      </c>
      <c r="B242" s="124" t="s">
        <v>1531</v>
      </c>
      <c r="C242" s="90" t="s">
        <v>1532</v>
      </c>
      <c r="D242" s="95" t="s">
        <v>53</v>
      </c>
      <c r="E242" s="95" t="s">
        <v>68</v>
      </c>
      <c r="F242" s="95"/>
      <c r="G242" s="95"/>
      <c r="H242" s="95"/>
      <c r="I242" s="95"/>
      <c r="J242" s="115" t="s">
        <v>1270</v>
      </c>
      <c r="K242" s="193" t="s">
        <v>1533</v>
      </c>
      <c r="L242" s="121"/>
      <c r="M242" s="172"/>
      <c r="N242" s="93" t="s">
        <v>1534</v>
      </c>
      <c r="O242" s="92" t="s">
        <v>1535</v>
      </c>
      <c r="P242" s="88" t="s">
        <v>166</v>
      </c>
      <c r="Q242" s="88" t="s">
        <v>48</v>
      </c>
      <c r="R242" s="86">
        <v>9444840075</v>
      </c>
      <c r="S242" s="88" t="s">
        <v>1076</v>
      </c>
      <c r="T242" s="94"/>
      <c r="U242" s="125" t="s">
        <v>818</v>
      </c>
      <c r="V242" s="125" t="s">
        <v>818</v>
      </c>
      <c r="W242" s="140"/>
      <c r="X242" s="140"/>
      <c r="Y242" s="141"/>
      <c r="Z242" s="131"/>
      <c r="AA242" s="131"/>
      <c r="AB242" s="131"/>
      <c r="AC242" s="131"/>
      <c r="AD242" s="127"/>
      <c r="AF242" s="121"/>
      <c r="AG242" s="121"/>
      <c r="AH242" s="121"/>
      <c r="AI242" s="121">
        <f>COUNTA('All Details for ACID Pastor'!$U242:$AB242)</f>
        <v>2</v>
      </c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63"/>
      <c r="AX242" s="163"/>
      <c r="AZ242" s="121" t="s">
        <v>139</v>
      </c>
      <c r="BA242" s="163"/>
      <c r="BB242" s="163"/>
      <c r="BC242" s="163"/>
      <c r="BF242" s="163">
        <f>COUNTA('All Details for ACID Pastor'!$T242:$AB242)</f>
        <v>2</v>
      </c>
    </row>
    <row r="243" spans="1:16383" ht="70.150000000000006" customHeight="1">
      <c r="A243" s="107">
        <v>244</v>
      </c>
      <c r="B243" s="124" t="s">
        <v>1536</v>
      </c>
      <c r="C243" s="90" t="s">
        <v>1537</v>
      </c>
      <c r="D243" s="95" t="s">
        <v>53</v>
      </c>
      <c r="E243" s="95" t="s">
        <v>54</v>
      </c>
      <c r="F243" s="95"/>
      <c r="G243" s="95"/>
      <c r="H243" s="95"/>
      <c r="I243" s="95"/>
      <c r="J243" s="115" t="s">
        <v>1270</v>
      </c>
      <c r="K243" s="193" t="s">
        <v>1538</v>
      </c>
      <c r="L243" s="121"/>
      <c r="M243" s="172"/>
      <c r="N243" s="93" t="s">
        <v>1539</v>
      </c>
      <c r="O243" s="92" t="s">
        <v>1540</v>
      </c>
      <c r="P243" s="88" t="s">
        <v>1509</v>
      </c>
      <c r="Q243" s="88" t="s">
        <v>48</v>
      </c>
      <c r="R243" s="86">
        <v>8526134817</v>
      </c>
      <c r="S243" s="88" t="s">
        <v>1076</v>
      </c>
      <c r="T243" s="94"/>
      <c r="U243" s="140"/>
      <c r="V243" s="140"/>
      <c r="W243" s="140"/>
      <c r="X243" s="140"/>
      <c r="Y243" s="141"/>
      <c r="Z243" s="131"/>
      <c r="AA243" s="131"/>
      <c r="AB243" s="131"/>
      <c r="AC243" s="131"/>
      <c r="AD243" s="127"/>
      <c r="AF243" s="121"/>
      <c r="AG243" s="121"/>
      <c r="AH243" s="121"/>
      <c r="AI243" s="121">
        <f>COUNTA('All Details for ACID Pastor'!$U243:$AB243)</f>
        <v>0</v>
      </c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63"/>
      <c r="AX243" s="163"/>
      <c r="AZ243" s="121" t="s">
        <v>139</v>
      </c>
      <c r="BA243" s="163"/>
      <c r="BB243" s="163"/>
      <c r="BC243" s="163"/>
      <c r="BF243" s="163">
        <f>COUNTA('All Details for ACID Pastor'!$T243:$AB243)</f>
        <v>0</v>
      </c>
    </row>
    <row r="244" spans="1:16383" ht="70.150000000000006" customHeight="1">
      <c r="A244" s="107">
        <v>245</v>
      </c>
      <c r="B244" s="124" t="s">
        <v>1541</v>
      </c>
      <c r="C244" s="90" t="s">
        <v>1542</v>
      </c>
      <c r="D244" s="95" t="s">
        <v>53</v>
      </c>
      <c r="E244" s="95" t="s">
        <v>54</v>
      </c>
      <c r="F244" s="95"/>
      <c r="G244" s="95"/>
      <c r="H244" s="95"/>
      <c r="I244" s="95"/>
      <c r="J244" s="115" t="s">
        <v>1543</v>
      </c>
      <c r="K244" s="193" t="s">
        <v>1544</v>
      </c>
      <c r="L244" s="121"/>
      <c r="M244" s="172"/>
      <c r="N244" s="93" t="s">
        <v>1545</v>
      </c>
      <c r="O244" s="92" t="s">
        <v>1546</v>
      </c>
      <c r="P244" s="88" t="s">
        <v>1509</v>
      </c>
      <c r="Q244" s="88" t="s">
        <v>48</v>
      </c>
      <c r="R244" s="86">
        <v>9159465576</v>
      </c>
      <c r="S244" s="88" t="s">
        <v>1076</v>
      </c>
      <c r="T244" s="94"/>
      <c r="U244" s="125" t="s">
        <v>119</v>
      </c>
      <c r="V244" s="140"/>
      <c r="W244" s="140"/>
      <c r="X244" s="140"/>
      <c r="Y244" s="141"/>
      <c r="Z244" s="131"/>
      <c r="AA244" s="131"/>
      <c r="AB244" s="131"/>
      <c r="AC244" s="131"/>
      <c r="AD244" s="127"/>
      <c r="AF244" s="121"/>
      <c r="AG244" s="121"/>
      <c r="AH244" s="121"/>
      <c r="AI244" s="121">
        <f>COUNTA('All Details for ACID Pastor'!$U244:$AB244)</f>
        <v>1</v>
      </c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63"/>
      <c r="AX244" s="163"/>
      <c r="AZ244" s="121" t="s">
        <v>139</v>
      </c>
      <c r="BA244" s="163"/>
      <c r="BB244" s="163"/>
      <c r="BC244" s="163"/>
      <c r="BF244" s="163">
        <f>COUNTA('All Details for ACID Pastor'!$T244:$AB244)</f>
        <v>1</v>
      </c>
    </row>
    <row r="245" spans="1:16383" ht="70.150000000000006" customHeight="1">
      <c r="A245" s="107">
        <v>246</v>
      </c>
      <c r="B245" s="124" t="s">
        <v>1547</v>
      </c>
      <c r="C245" s="90" t="s">
        <v>1548</v>
      </c>
      <c r="D245" s="95" t="s">
        <v>53</v>
      </c>
      <c r="E245" s="95" t="s">
        <v>54</v>
      </c>
      <c r="F245" s="95"/>
      <c r="G245" s="95"/>
      <c r="H245" s="95"/>
      <c r="I245" s="95"/>
      <c r="J245" s="115" t="s">
        <v>1543</v>
      </c>
      <c r="K245" s="193" t="s">
        <v>1549</v>
      </c>
      <c r="L245" s="121"/>
      <c r="M245" s="172"/>
      <c r="N245" s="93" t="s">
        <v>1550</v>
      </c>
      <c r="O245" s="92" t="s">
        <v>1551</v>
      </c>
      <c r="P245" s="88" t="s">
        <v>1552</v>
      </c>
      <c r="Q245" s="88" t="s">
        <v>48</v>
      </c>
      <c r="R245" s="86"/>
      <c r="S245" s="88" t="s">
        <v>1076</v>
      </c>
      <c r="T245" s="94"/>
      <c r="U245" s="140"/>
      <c r="V245" s="140"/>
      <c r="W245" s="140"/>
      <c r="X245" s="140"/>
      <c r="Y245" s="141"/>
      <c r="Z245" s="131"/>
      <c r="AA245" s="131"/>
      <c r="AB245" s="131"/>
      <c r="AC245" s="131"/>
      <c r="AD245" s="127"/>
      <c r="AF245" s="121"/>
      <c r="AG245" s="121"/>
      <c r="AH245" s="121"/>
      <c r="AI245" s="121">
        <f>COUNTA('All Details for ACID Pastor'!$U245:$AB245)</f>
        <v>0</v>
      </c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63"/>
      <c r="AX245" s="163"/>
      <c r="AZ245" s="121" t="s">
        <v>139</v>
      </c>
      <c r="BA245" s="163"/>
      <c r="BB245" s="163"/>
      <c r="BC245" s="163"/>
      <c r="BF245" s="163">
        <f>COUNTA('All Details for ACID Pastor'!$T245:$AB245)</f>
        <v>0</v>
      </c>
    </row>
    <row r="246" spans="1:16383" ht="70.150000000000006" customHeight="1">
      <c r="A246" s="107">
        <v>247</v>
      </c>
      <c r="B246" s="124" t="s">
        <v>1553</v>
      </c>
      <c r="C246" s="90" t="s">
        <v>1554</v>
      </c>
      <c r="D246" s="95" t="s">
        <v>53</v>
      </c>
      <c r="E246" s="95" t="s">
        <v>54</v>
      </c>
      <c r="F246" s="95"/>
      <c r="G246" s="95"/>
      <c r="H246" s="95"/>
      <c r="I246" s="95"/>
      <c r="J246" s="115" t="s">
        <v>1543</v>
      </c>
      <c r="K246" s="193" t="s">
        <v>1555</v>
      </c>
      <c r="L246" s="121"/>
      <c r="M246" s="172" t="s">
        <v>1556</v>
      </c>
      <c r="N246" s="93" t="s">
        <v>1557</v>
      </c>
      <c r="O246" s="92" t="s">
        <v>1558</v>
      </c>
      <c r="P246" s="88" t="s">
        <v>1552</v>
      </c>
      <c r="Q246" s="88" t="s">
        <v>48</v>
      </c>
      <c r="R246" s="86">
        <v>9092057239</v>
      </c>
      <c r="S246" s="88" t="s">
        <v>1076</v>
      </c>
      <c r="T246" s="94"/>
      <c r="U246" s="140"/>
      <c r="V246" s="140"/>
      <c r="W246" s="140"/>
      <c r="X246" s="140"/>
      <c r="Y246" s="141"/>
      <c r="Z246" s="131"/>
      <c r="AA246" s="131"/>
      <c r="AB246" s="131"/>
      <c r="AC246" s="131"/>
      <c r="AD246" s="127"/>
      <c r="AF246" s="121"/>
      <c r="AG246" s="121"/>
      <c r="AH246" s="121"/>
      <c r="AI246" s="121">
        <f>COUNTA('All Details for ACID Pastor'!$U246:$AB246)</f>
        <v>0</v>
      </c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63"/>
      <c r="AX246" s="163"/>
      <c r="AZ246" s="121" t="s">
        <v>139</v>
      </c>
      <c r="BA246" s="163"/>
      <c r="BB246" s="163"/>
      <c r="BC246" s="163"/>
      <c r="BF246" s="163">
        <f>COUNTA('All Details for ACID Pastor'!$T246:$AB246)</f>
        <v>0</v>
      </c>
    </row>
    <row r="247" spans="1:16383" ht="70.150000000000006" customHeight="1">
      <c r="A247" s="107">
        <v>248</v>
      </c>
      <c r="B247" s="124" t="s">
        <v>1559</v>
      </c>
      <c r="C247" s="90" t="s">
        <v>1560</v>
      </c>
      <c r="D247" s="95" t="s">
        <v>53</v>
      </c>
      <c r="E247" s="95" t="s">
        <v>54</v>
      </c>
      <c r="F247" s="95"/>
      <c r="G247" s="95"/>
      <c r="H247" s="95"/>
      <c r="I247" s="95"/>
      <c r="J247" s="115" t="s">
        <v>1543</v>
      </c>
      <c r="K247" s="193" t="s">
        <v>1561</v>
      </c>
      <c r="L247" s="121"/>
      <c r="M247" s="172" t="s">
        <v>1562</v>
      </c>
      <c r="N247" s="93" t="s">
        <v>1563</v>
      </c>
      <c r="O247" s="92" t="s">
        <v>1564</v>
      </c>
      <c r="P247" s="88" t="s">
        <v>1509</v>
      </c>
      <c r="Q247" s="88" t="s">
        <v>48</v>
      </c>
      <c r="R247" s="86">
        <v>9894882252</v>
      </c>
      <c r="S247" s="88" t="s">
        <v>1076</v>
      </c>
      <c r="T247" s="94"/>
      <c r="U247" s="125" t="s">
        <v>119</v>
      </c>
      <c r="V247" s="125" t="s">
        <v>1218</v>
      </c>
      <c r="W247" s="125" t="s">
        <v>184</v>
      </c>
      <c r="X247" s="125" t="s">
        <v>78</v>
      </c>
      <c r="Y247" s="126" t="s">
        <v>99</v>
      </c>
      <c r="Z247" s="126" t="s">
        <v>99</v>
      </c>
      <c r="AA247" s="126" t="s">
        <v>99</v>
      </c>
      <c r="AB247" s="131"/>
      <c r="AC247" s="131"/>
      <c r="AD247" s="127"/>
      <c r="AF247" s="121"/>
      <c r="AG247" s="121"/>
      <c r="AH247" s="121"/>
      <c r="AI247" s="121">
        <f>COUNTA('All Details for ACID Pastor'!$U247:$AB247)</f>
        <v>7</v>
      </c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63"/>
      <c r="AX247" s="163"/>
      <c r="AZ247" s="121" t="s">
        <v>49</v>
      </c>
      <c r="BA247" s="163"/>
      <c r="BB247" s="163"/>
      <c r="BC247" s="163"/>
      <c r="BF247" s="163">
        <f>COUNTA('All Details for ACID Pastor'!$T247:$AB247)</f>
        <v>7</v>
      </c>
    </row>
    <row r="248" spans="1:16383" ht="70.150000000000006" customHeight="1">
      <c r="A248" s="107">
        <v>249</v>
      </c>
      <c r="B248" s="124" t="s">
        <v>1565</v>
      </c>
      <c r="C248" s="90" t="s">
        <v>1566</v>
      </c>
      <c r="D248" s="95" t="s">
        <v>53</v>
      </c>
      <c r="E248" s="95" t="s">
        <v>54</v>
      </c>
      <c r="F248" s="95"/>
      <c r="G248" s="95"/>
      <c r="H248" s="95"/>
      <c r="I248" s="95"/>
      <c r="J248" s="115" t="s">
        <v>1543</v>
      </c>
      <c r="K248" s="193" t="s">
        <v>1567</v>
      </c>
      <c r="L248" s="121"/>
      <c r="M248" s="172"/>
      <c r="N248" s="93" t="s">
        <v>1568</v>
      </c>
      <c r="O248" s="92" t="s">
        <v>1569</v>
      </c>
      <c r="P248" s="88" t="s">
        <v>1509</v>
      </c>
      <c r="Q248" s="88" t="s">
        <v>48</v>
      </c>
      <c r="R248" s="86">
        <v>9524435091</v>
      </c>
      <c r="S248" s="88" t="s">
        <v>1076</v>
      </c>
      <c r="T248" s="94"/>
      <c r="U248" s="140"/>
      <c r="V248" s="140"/>
      <c r="W248" s="140"/>
      <c r="X248" s="140"/>
      <c r="Y248" s="141"/>
      <c r="Z248" s="131"/>
      <c r="AA248" s="131"/>
      <c r="AB248" s="131"/>
      <c r="AC248" s="131"/>
      <c r="AD248" s="127"/>
      <c r="AF248" s="121"/>
      <c r="AG248" s="121"/>
      <c r="AH248" s="121"/>
      <c r="AI248" s="121">
        <f>COUNTA('All Details for ACID Pastor'!$U248:$AB248)</f>
        <v>0</v>
      </c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63"/>
      <c r="AX248" s="163"/>
      <c r="AZ248" s="121" t="s">
        <v>139</v>
      </c>
      <c r="BA248" s="163"/>
      <c r="BB248" s="163"/>
      <c r="BC248" s="163"/>
      <c r="BF248" s="163">
        <f>COUNTA('All Details for ACID Pastor'!$T248:$AB248)</f>
        <v>0</v>
      </c>
    </row>
    <row r="249" spans="1:16383" ht="70.150000000000006" customHeight="1">
      <c r="A249" s="107">
        <v>250</v>
      </c>
      <c r="B249" s="124" t="s">
        <v>1570</v>
      </c>
      <c r="C249" s="90" t="s">
        <v>1571</v>
      </c>
      <c r="D249" s="95" t="s">
        <v>53</v>
      </c>
      <c r="E249" s="95" t="s">
        <v>54</v>
      </c>
      <c r="F249" s="95"/>
      <c r="G249" s="95"/>
      <c r="H249" s="95"/>
      <c r="I249" s="95"/>
      <c r="J249" s="115" t="s">
        <v>1543</v>
      </c>
      <c r="K249" s="193" t="s">
        <v>1572</v>
      </c>
      <c r="L249" s="121"/>
      <c r="M249" s="172" t="s">
        <v>1573</v>
      </c>
      <c r="N249" s="93" t="s">
        <v>1574</v>
      </c>
      <c r="O249" s="92" t="s">
        <v>1575</v>
      </c>
      <c r="P249" s="88" t="s">
        <v>1509</v>
      </c>
      <c r="Q249" s="88" t="s">
        <v>48</v>
      </c>
      <c r="R249" s="86">
        <v>8973140009</v>
      </c>
      <c r="S249" s="88" t="s">
        <v>1076</v>
      </c>
      <c r="T249" s="94"/>
      <c r="U249" s="140"/>
      <c r="V249" s="140"/>
      <c r="W249" s="140"/>
      <c r="X249" s="140"/>
      <c r="Y249" s="141"/>
      <c r="Z249" s="131"/>
      <c r="AA249" s="131"/>
      <c r="AB249" s="131"/>
      <c r="AC249" s="131"/>
      <c r="AD249" s="127"/>
      <c r="AF249" s="121"/>
      <c r="AG249" s="121"/>
      <c r="AH249" s="121"/>
      <c r="AI249" s="121">
        <f>COUNTA('All Details for ACID Pastor'!$U249:$AB249)</f>
        <v>0</v>
      </c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63"/>
      <c r="AX249" s="163"/>
      <c r="AZ249" s="121" t="s">
        <v>139</v>
      </c>
      <c r="BA249" s="163"/>
      <c r="BB249" s="163"/>
      <c r="BC249" s="163"/>
      <c r="BF249" s="163">
        <f>COUNTA('All Details for ACID Pastor'!$T249:$AB249)</f>
        <v>0</v>
      </c>
    </row>
    <row r="250" spans="1:16383" ht="70.150000000000006" customHeight="1">
      <c r="A250" s="107">
        <v>251</v>
      </c>
      <c r="B250" s="124" t="s">
        <v>1576</v>
      </c>
      <c r="C250" s="90" t="s">
        <v>1577</v>
      </c>
      <c r="D250" s="95" t="s">
        <v>53</v>
      </c>
      <c r="E250" s="95" t="s">
        <v>54</v>
      </c>
      <c r="F250" s="95"/>
      <c r="G250" s="95"/>
      <c r="H250" s="95"/>
      <c r="I250" s="95"/>
      <c r="J250" s="115" t="s">
        <v>1543</v>
      </c>
      <c r="K250" s="193" t="s">
        <v>1578</v>
      </c>
      <c r="L250" s="121"/>
      <c r="M250" s="172"/>
      <c r="N250" s="93" t="s">
        <v>1579</v>
      </c>
      <c r="O250" s="92" t="s">
        <v>1580</v>
      </c>
      <c r="P250" s="88" t="s">
        <v>1509</v>
      </c>
      <c r="Q250" s="88" t="s">
        <v>48</v>
      </c>
      <c r="R250" s="86">
        <v>9791862974</v>
      </c>
      <c r="S250" s="88" t="s">
        <v>1076</v>
      </c>
      <c r="T250" s="94"/>
      <c r="U250" s="140"/>
      <c r="V250" s="140"/>
      <c r="W250" s="140"/>
      <c r="X250" s="140"/>
      <c r="Y250" s="141"/>
      <c r="Z250" s="131"/>
      <c r="AA250" s="131"/>
      <c r="AB250" s="131"/>
      <c r="AC250" s="131"/>
      <c r="AD250" s="127"/>
      <c r="AF250" s="121"/>
      <c r="AG250" s="121"/>
      <c r="AH250" s="121"/>
      <c r="AI250" s="121">
        <f>COUNTA('All Details for ACID Pastor'!$U250:$AB250)</f>
        <v>0</v>
      </c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63"/>
      <c r="AX250" s="163"/>
      <c r="AZ250" s="121" t="s">
        <v>139</v>
      </c>
      <c r="BA250" s="163"/>
      <c r="BB250" s="163"/>
      <c r="BC250" s="163"/>
      <c r="BF250" s="163">
        <f>COUNTA('All Details for ACID Pastor'!$T250:$AB250)</f>
        <v>0</v>
      </c>
    </row>
    <row r="251" spans="1:16383" ht="70.150000000000006" customHeight="1">
      <c r="A251" s="107">
        <v>252</v>
      </c>
      <c r="B251" s="124" t="s">
        <v>1581</v>
      </c>
      <c r="C251" s="90" t="s">
        <v>1582</v>
      </c>
      <c r="D251" s="95" t="s">
        <v>53</v>
      </c>
      <c r="E251" s="95" t="s">
        <v>54</v>
      </c>
      <c r="F251" s="95"/>
      <c r="G251" s="95"/>
      <c r="H251" s="95"/>
      <c r="I251" s="95"/>
      <c r="J251" s="115" t="s">
        <v>1543</v>
      </c>
      <c r="K251" s="193" t="s">
        <v>1583</v>
      </c>
      <c r="L251" s="121"/>
      <c r="M251" s="172"/>
      <c r="N251" s="93" t="s">
        <v>1584</v>
      </c>
      <c r="O251" s="92" t="s">
        <v>1585</v>
      </c>
      <c r="P251" s="88" t="s">
        <v>1509</v>
      </c>
      <c r="Q251" s="88" t="s">
        <v>48</v>
      </c>
      <c r="R251" s="86">
        <v>9787563899</v>
      </c>
      <c r="S251" s="88" t="s">
        <v>1076</v>
      </c>
      <c r="T251" s="94"/>
      <c r="U251" s="140"/>
      <c r="V251" s="140"/>
      <c r="W251" s="140"/>
      <c r="X251" s="140"/>
      <c r="Y251" s="141"/>
      <c r="Z251" s="131"/>
      <c r="AA251" s="131"/>
      <c r="AB251" s="131"/>
      <c r="AC251" s="131"/>
      <c r="AD251" s="127"/>
      <c r="AF251" s="121"/>
      <c r="AG251" s="121"/>
      <c r="AH251" s="121"/>
      <c r="AI251" s="121">
        <f>COUNTA('All Details for ACID Pastor'!$U251:$AB251)</f>
        <v>0</v>
      </c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63"/>
      <c r="AX251" s="163"/>
      <c r="AZ251" s="121" t="s">
        <v>139</v>
      </c>
      <c r="BA251" s="163"/>
      <c r="BB251" s="163"/>
      <c r="BC251" s="163"/>
      <c r="BF251" s="163">
        <f>COUNTA('All Details for ACID Pastor'!$T251:$AB251)</f>
        <v>0</v>
      </c>
    </row>
    <row r="252" spans="1:16383" ht="70.150000000000006" customHeight="1">
      <c r="A252" s="107">
        <v>253</v>
      </c>
      <c r="B252" s="124" t="s">
        <v>1586</v>
      </c>
      <c r="C252" s="90" t="s">
        <v>1587</v>
      </c>
      <c r="D252" s="95" t="s">
        <v>53</v>
      </c>
      <c r="E252" s="95" t="s">
        <v>54</v>
      </c>
      <c r="F252" s="95"/>
      <c r="G252" s="95"/>
      <c r="H252" s="95"/>
      <c r="I252" s="95"/>
      <c r="J252" s="115" t="s">
        <v>922</v>
      </c>
      <c r="K252" s="193" t="s">
        <v>1588</v>
      </c>
      <c r="L252" s="121"/>
      <c r="M252" s="172"/>
      <c r="N252" s="93" t="s">
        <v>1589</v>
      </c>
      <c r="O252" s="92" t="s">
        <v>1590</v>
      </c>
      <c r="P252" s="88" t="s">
        <v>86</v>
      </c>
      <c r="Q252" s="88" t="s">
        <v>48</v>
      </c>
      <c r="R252" s="86">
        <v>8344477336</v>
      </c>
      <c r="S252" s="88" t="s">
        <v>1076</v>
      </c>
      <c r="T252" s="94"/>
      <c r="U252" s="125" t="s">
        <v>874</v>
      </c>
      <c r="V252" s="125" t="s">
        <v>874</v>
      </c>
      <c r="W252" s="125" t="s">
        <v>184</v>
      </c>
      <c r="X252" s="125" t="s">
        <v>110</v>
      </c>
      <c r="Y252" s="126" t="s">
        <v>99</v>
      </c>
      <c r="Z252" s="126" t="s">
        <v>99</v>
      </c>
      <c r="AA252" s="126" t="s">
        <v>99</v>
      </c>
      <c r="AB252" s="131"/>
      <c r="AC252" s="131"/>
      <c r="AD252" s="127"/>
      <c r="AF252" s="121"/>
      <c r="AG252" s="121"/>
      <c r="AH252" s="121"/>
      <c r="AI252" s="121">
        <f>COUNTA('All Details for ACID Pastor'!$U252:$AB252)</f>
        <v>7</v>
      </c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63"/>
      <c r="AX252" s="163"/>
      <c r="AZ252" s="121" t="s">
        <v>49</v>
      </c>
      <c r="BA252" s="163"/>
      <c r="BB252" s="163"/>
      <c r="BC252" s="163"/>
      <c r="BF252" s="163">
        <f>COUNTA('All Details for ACID Pastor'!$T252:$AB252)</f>
        <v>7</v>
      </c>
    </row>
    <row r="253" spans="1:16383" ht="70.150000000000006" customHeight="1">
      <c r="A253" s="107">
        <v>254</v>
      </c>
      <c r="B253" s="124" t="s">
        <v>1591</v>
      </c>
      <c r="C253" s="90" t="s">
        <v>1592</v>
      </c>
      <c r="D253" s="95" t="s">
        <v>53</v>
      </c>
      <c r="E253" s="95" t="s">
        <v>160</v>
      </c>
      <c r="F253" s="95"/>
      <c r="G253" s="95"/>
      <c r="H253" s="95"/>
      <c r="I253" s="95"/>
      <c r="J253" s="115" t="s">
        <v>922</v>
      </c>
      <c r="K253" s="193" t="s">
        <v>1593</v>
      </c>
      <c r="L253" s="121"/>
      <c r="M253" s="172"/>
      <c r="N253" s="93" t="s">
        <v>1594</v>
      </c>
      <c r="O253" s="92" t="s">
        <v>1590</v>
      </c>
      <c r="P253" s="88" t="s">
        <v>86</v>
      </c>
      <c r="Q253" s="88" t="s">
        <v>48</v>
      </c>
      <c r="R253" s="86">
        <v>8344477336</v>
      </c>
      <c r="S253" s="88" t="s">
        <v>1076</v>
      </c>
      <c r="T253" s="94"/>
      <c r="U253" s="125" t="s">
        <v>874</v>
      </c>
      <c r="V253" s="125" t="s">
        <v>874</v>
      </c>
      <c r="W253" s="125" t="s">
        <v>184</v>
      </c>
      <c r="X253" s="125" t="s">
        <v>110</v>
      </c>
      <c r="Y253" s="126" t="s">
        <v>99</v>
      </c>
      <c r="Z253" s="126" t="s">
        <v>99</v>
      </c>
      <c r="AA253" s="126" t="s">
        <v>99</v>
      </c>
      <c r="AB253" s="131"/>
      <c r="AC253" s="131"/>
      <c r="AD253" s="127"/>
      <c r="AF253" s="121"/>
      <c r="AG253" s="121"/>
      <c r="AH253" s="121"/>
      <c r="AI253" s="121">
        <f>COUNTA('All Details for ACID Pastor'!$U253:$AB253)</f>
        <v>7</v>
      </c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63"/>
      <c r="AX253" s="163"/>
      <c r="AZ253" s="121" t="s">
        <v>49</v>
      </c>
      <c r="BA253" s="163"/>
      <c r="BB253" s="163"/>
      <c r="BC253" s="163"/>
      <c r="BF253" s="163">
        <f>COUNTA('All Details for ACID Pastor'!$T253:$AB253)</f>
        <v>7</v>
      </c>
    </row>
    <row r="254" spans="1:16383" ht="70.150000000000006" customHeight="1">
      <c r="A254" s="107">
        <v>255</v>
      </c>
      <c r="B254" s="124" t="s">
        <v>1595</v>
      </c>
      <c r="C254" s="90" t="s">
        <v>1596</v>
      </c>
      <c r="D254" s="95" t="s">
        <v>53</v>
      </c>
      <c r="E254" s="95" t="s">
        <v>54</v>
      </c>
      <c r="F254" s="95"/>
      <c r="G254" s="95"/>
      <c r="H254" s="95"/>
      <c r="I254" s="95"/>
      <c r="J254" s="115" t="s">
        <v>1270</v>
      </c>
      <c r="K254" s="193" t="s">
        <v>1597</v>
      </c>
      <c r="L254" s="121"/>
      <c r="M254" s="172"/>
      <c r="N254" s="93" t="s">
        <v>1598</v>
      </c>
      <c r="O254" s="92" t="s">
        <v>1599</v>
      </c>
      <c r="P254" s="88" t="s">
        <v>166</v>
      </c>
      <c r="Q254" s="88" t="s">
        <v>48</v>
      </c>
      <c r="R254" s="86">
        <v>9688443153</v>
      </c>
      <c r="S254" s="88" t="s">
        <v>1076</v>
      </c>
      <c r="T254" s="94"/>
      <c r="U254" s="125" t="s">
        <v>1279</v>
      </c>
      <c r="V254" s="125" t="s">
        <v>1600</v>
      </c>
      <c r="W254" s="125" t="s">
        <v>98</v>
      </c>
      <c r="X254" s="125" t="s">
        <v>78</v>
      </c>
      <c r="Y254" s="126" t="s">
        <v>78</v>
      </c>
      <c r="Z254" s="131"/>
      <c r="AA254" s="131"/>
      <c r="AB254" s="131"/>
      <c r="AC254" s="131"/>
      <c r="AD254" s="127"/>
      <c r="AF254" s="121"/>
      <c r="AG254" s="121"/>
      <c r="AH254" s="121"/>
      <c r="AI254" s="121">
        <f>COUNTA('All Details for ACID Pastor'!$U254:$AB254)</f>
        <v>5</v>
      </c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63"/>
      <c r="AX254" s="163"/>
      <c r="AZ254" s="121" t="s">
        <v>49</v>
      </c>
      <c r="BA254" s="163"/>
      <c r="BB254" s="163"/>
      <c r="BC254" s="163"/>
      <c r="BF254" s="163">
        <f>COUNTA('All Details for ACID Pastor'!$T254:$AB254)</f>
        <v>5</v>
      </c>
    </row>
    <row r="255" spans="1:16383" ht="70.150000000000006" customHeight="1">
      <c r="A255" s="107">
        <v>256</v>
      </c>
      <c r="B255" s="124" t="s">
        <v>1601</v>
      </c>
      <c r="C255" s="90" t="s">
        <v>1602</v>
      </c>
      <c r="D255" s="95" t="s">
        <v>53</v>
      </c>
      <c r="E255" s="95" t="s">
        <v>54</v>
      </c>
      <c r="F255" s="95"/>
      <c r="G255" s="95"/>
      <c r="H255" s="95"/>
      <c r="I255" s="95"/>
      <c r="J255" s="115" t="s">
        <v>1140</v>
      </c>
      <c r="K255" s="193" t="s">
        <v>1603</v>
      </c>
      <c r="L255" s="121"/>
      <c r="M255" s="172"/>
      <c r="N255" s="93" t="s">
        <v>1604</v>
      </c>
      <c r="O255" s="92" t="s">
        <v>1605</v>
      </c>
      <c r="P255" s="88" t="s">
        <v>166</v>
      </c>
      <c r="Q255" s="88" t="s">
        <v>48</v>
      </c>
      <c r="R255" s="86">
        <v>8903882775</v>
      </c>
      <c r="S255" s="88" t="s">
        <v>1606</v>
      </c>
      <c r="T255" s="94"/>
      <c r="U255" s="140"/>
      <c r="V255" s="140"/>
      <c r="W255" s="140"/>
      <c r="X255" s="140"/>
      <c r="Y255" s="141"/>
      <c r="Z255" s="131"/>
      <c r="AA255" s="131"/>
      <c r="AB255" s="131"/>
      <c r="AC255" s="131"/>
      <c r="AD255" s="127"/>
      <c r="AF255" s="121"/>
      <c r="AG255" s="121"/>
      <c r="AH255" s="121"/>
      <c r="AI255" s="121"/>
      <c r="AJ255" s="121">
        <f>COUNTA('All Details for ACID Pastor'!$V255:$AB255)</f>
        <v>0</v>
      </c>
      <c r="AK255" s="121"/>
      <c r="AL255" s="121"/>
      <c r="AM255" s="121"/>
      <c r="AN255" s="121"/>
      <c r="AO255" s="121"/>
      <c r="AP255" s="121"/>
      <c r="AQ255" s="121"/>
      <c r="AR255" s="121"/>
      <c r="AS255" s="121"/>
      <c r="AT255" s="121"/>
      <c r="AU255" s="121"/>
      <c r="AV255" s="121"/>
      <c r="AW255" s="163"/>
      <c r="AX255" s="163"/>
      <c r="AZ255" s="121" t="s">
        <v>139</v>
      </c>
      <c r="BA255" s="163"/>
      <c r="BB255" s="163"/>
      <c r="BC255" s="163"/>
      <c r="BF255" s="163">
        <f>COUNTA('All Details for ACID Pastor'!$T255:$AB255)</f>
        <v>0</v>
      </c>
    </row>
    <row r="256" spans="1:16383" ht="70.150000000000006" customHeight="1">
      <c r="A256" s="107">
        <v>257</v>
      </c>
      <c r="B256" s="124" t="s">
        <v>1607</v>
      </c>
      <c r="C256" s="90" t="s">
        <v>1608</v>
      </c>
      <c r="D256" s="95" t="s">
        <v>53</v>
      </c>
      <c r="E256" s="95" t="s">
        <v>54</v>
      </c>
      <c r="F256" s="95"/>
      <c r="G256" s="95"/>
      <c r="H256" s="95"/>
      <c r="I256" s="95"/>
      <c r="J256" s="115" t="s">
        <v>1609</v>
      </c>
      <c r="K256" s="193" t="s">
        <v>1610</v>
      </c>
      <c r="L256" s="121"/>
      <c r="M256" s="172"/>
      <c r="N256" s="93" t="s">
        <v>1611</v>
      </c>
      <c r="O256" s="92" t="s">
        <v>1612</v>
      </c>
      <c r="P256" s="88" t="s">
        <v>1613</v>
      </c>
      <c r="Q256" s="88" t="s">
        <v>48</v>
      </c>
      <c r="R256" s="86">
        <v>8903123453</v>
      </c>
      <c r="S256" s="88" t="s">
        <v>1606</v>
      </c>
      <c r="T256" s="94"/>
      <c r="U256" s="140"/>
      <c r="V256" s="140"/>
      <c r="W256" s="140"/>
      <c r="X256" s="140"/>
      <c r="Y256" s="141"/>
      <c r="Z256" s="131"/>
      <c r="AA256" s="131"/>
      <c r="AB256" s="131"/>
      <c r="AC256" s="131"/>
      <c r="AD256" s="127"/>
      <c r="AE256" s="244"/>
      <c r="AF256" s="121"/>
      <c r="AG256" s="121"/>
      <c r="AH256" s="121"/>
      <c r="AI256" s="121"/>
      <c r="AJ256" s="121">
        <f>COUNTA('All Details for ACID Pastor'!$V256:$AB256)</f>
        <v>0</v>
      </c>
      <c r="AK256" s="121"/>
      <c r="AL256" s="121"/>
      <c r="AM256" s="121"/>
      <c r="AN256" s="121"/>
      <c r="AO256" s="121"/>
      <c r="AP256" s="121"/>
      <c r="AQ256" s="121"/>
      <c r="AR256" s="121"/>
      <c r="AS256" s="121"/>
      <c r="AT256" s="121"/>
      <c r="AU256" s="121"/>
      <c r="AV256" s="121"/>
      <c r="AW256" s="163"/>
      <c r="AX256" s="163"/>
      <c r="AZ256" s="121" t="s">
        <v>139</v>
      </c>
      <c r="BA256" s="163"/>
      <c r="BB256" s="163"/>
      <c r="BC256" s="163"/>
      <c r="BF256" s="163">
        <f>COUNTA('All Details for ACID Pastor'!$T256:$AB256)</f>
        <v>0</v>
      </c>
    </row>
    <row r="257" spans="1:74" s="174" customFormat="1" ht="70.150000000000006" customHeight="1">
      <c r="A257" s="103">
        <v>258</v>
      </c>
      <c r="B257" s="132" t="s">
        <v>1614</v>
      </c>
      <c r="C257" s="101" t="s">
        <v>1615</v>
      </c>
      <c r="D257" s="102" t="s">
        <v>53</v>
      </c>
      <c r="E257" s="102" t="s">
        <v>54</v>
      </c>
      <c r="F257" s="95"/>
      <c r="G257" s="95"/>
      <c r="H257" s="95"/>
      <c r="I257" s="95"/>
      <c r="J257" s="133" t="s">
        <v>1499</v>
      </c>
      <c r="K257" s="256" t="s">
        <v>1616</v>
      </c>
      <c r="L257" s="232" t="s">
        <v>4209</v>
      </c>
      <c r="M257" s="171" t="s">
        <v>1617</v>
      </c>
      <c r="N257" s="104" t="s">
        <v>1618</v>
      </c>
      <c r="O257" s="105" t="s">
        <v>1619</v>
      </c>
      <c r="P257" s="106" t="s">
        <v>1010</v>
      </c>
      <c r="Q257" s="106" t="s">
        <v>48</v>
      </c>
      <c r="R257" s="134">
        <v>9442597663</v>
      </c>
      <c r="S257" s="106" t="s">
        <v>1606</v>
      </c>
      <c r="T257" s="135"/>
      <c r="U257" s="176"/>
      <c r="V257" s="144" t="s">
        <v>295</v>
      </c>
      <c r="W257" s="144" t="s">
        <v>215</v>
      </c>
      <c r="X257" s="144" t="s">
        <v>184</v>
      </c>
      <c r="Y257" s="145"/>
      <c r="Z257" s="136"/>
      <c r="AA257" s="136"/>
      <c r="AB257" s="136"/>
      <c r="AC257" s="136"/>
      <c r="AD257" s="222"/>
      <c r="AE257" s="240"/>
      <c r="AF257" s="232"/>
      <c r="AG257" s="232"/>
      <c r="AH257" s="232"/>
      <c r="AI257" s="232"/>
      <c r="AJ257" s="232">
        <f>COUNTA('All Details for ACID Pastor'!$V257:$AB257)</f>
        <v>3</v>
      </c>
      <c r="AK257" s="232"/>
      <c r="AL257" s="232"/>
      <c r="AM257" s="232"/>
      <c r="AN257" s="232"/>
      <c r="AO257" s="232"/>
      <c r="AP257" s="232"/>
      <c r="AQ257" s="232"/>
      <c r="AR257" s="232"/>
      <c r="AS257" s="232"/>
      <c r="AT257" s="232"/>
      <c r="AU257" s="232"/>
      <c r="AV257" s="232"/>
      <c r="AW257" s="233"/>
      <c r="AX257" s="233"/>
      <c r="AY257" s="244"/>
      <c r="AZ257" s="232" t="s">
        <v>139</v>
      </c>
      <c r="BA257" s="233"/>
      <c r="BB257" s="233"/>
      <c r="BC257" s="233"/>
      <c r="BD257" s="244"/>
      <c r="BE257" s="277"/>
      <c r="BF257" s="233">
        <f>COUNTA('All Details for ACID Pastor'!$T257:$AB257)</f>
        <v>3</v>
      </c>
      <c r="BG257" s="249"/>
      <c r="BH257" s="249"/>
      <c r="BI257" s="249"/>
      <c r="BJ257" s="249"/>
      <c r="BK257" s="249"/>
      <c r="BL257" s="249"/>
      <c r="BM257" s="249"/>
      <c r="BN257" s="249"/>
      <c r="BO257" s="249"/>
      <c r="BP257" s="249"/>
      <c r="BQ257" s="249"/>
      <c r="BR257" s="249"/>
      <c r="BS257" s="249"/>
      <c r="BT257" s="249"/>
      <c r="BU257" s="249"/>
      <c r="BV257" s="249"/>
    </row>
    <row r="258" spans="1:74" ht="70.150000000000006" customHeight="1">
      <c r="A258" s="107">
        <v>259</v>
      </c>
      <c r="B258" s="124" t="s">
        <v>1620</v>
      </c>
      <c r="C258" s="90" t="s">
        <v>1621</v>
      </c>
      <c r="D258" s="95" t="s">
        <v>53</v>
      </c>
      <c r="E258" s="95" t="s">
        <v>54</v>
      </c>
      <c r="F258" s="95"/>
      <c r="G258" s="95"/>
      <c r="H258" s="95"/>
      <c r="I258" s="95"/>
      <c r="J258" s="115" t="s">
        <v>1499</v>
      </c>
      <c r="K258" s="193" t="s">
        <v>1622</v>
      </c>
      <c r="L258" s="121" t="s">
        <v>4209</v>
      </c>
      <c r="M258" s="172"/>
      <c r="N258" s="93" t="s">
        <v>1623</v>
      </c>
      <c r="O258" s="92" t="s">
        <v>1624</v>
      </c>
      <c r="P258" s="88" t="s">
        <v>1010</v>
      </c>
      <c r="Q258" s="88" t="s">
        <v>48</v>
      </c>
      <c r="R258" s="86">
        <v>9443390461</v>
      </c>
      <c r="S258" s="88" t="s">
        <v>1606</v>
      </c>
      <c r="T258" s="94"/>
      <c r="U258" s="140"/>
      <c r="V258" s="125" t="s">
        <v>1625</v>
      </c>
      <c r="W258" s="125" t="s">
        <v>215</v>
      </c>
      <c r="X258" s="125" t="s">
        <v>184</v>
      </c>
      <c r="Y258" s="126" t="s">
        <v>110</v>
      </c>
      <c r="Z258" s="127" t="s">
        <v>149</v>
      </c>
      <c r="AA258" s="127" t="s">
        <v>1005</v>
      </c>
      <c r="AB258" s="127" t="s">
        <v>1005</v>
      </c>
      <c r="AC258" s="127" t="s">
        <v>1005</v>
      </c>
      <c r="AD258" s="127"/>
      <c r="AF258" s="121"/>
      <c r="AG258" s="121"/>
      <c r="AH258" s="121"/>
      <c r="AI258" s="121"/>
      <c r="AJ258" s="121">
        <f>COUNTA('All Details for ACID Pastor'!$V258:$AB258)</f>
        <v>7</v>
      </c>
      <c r="AK258" s="121"/>
      <c r="AL258" s="121"/>
      <c r="AM258" s="121"/>
      <c r="AN258" s="121"/>
      <c r="AO258" s="121"/>
      <c r="AP258" s="121"/>
      <c r="AQ258" s="121"/>
      <c r="AR258" s="121"/>
      <c r="AS258" s="121"/>
      <c r="AT258" s="121"/>
      <c r="AU258" s="121"/>
      <c r="AV258" s="121"/>
      <c r="AW258" s="163"/>
      <c r="AX258" s="163"/>
      <c r="AZ258" s="121" t="s">
        <v>49</v>
      </c>
      <c r="BA258" s="163"/>
      <c r="BB258" s="163"/>
      <c r="BC258" s="163"/>
      <c r="BF258" s="163">
        <v>10</v>
      </c>
    </row>
    <row r="259" spans="1:74" ht="70.150000000000006" customHeight="1">
      <c r="A259" s="107">
        <v>260</v>
      </c>
      <c r="B259" s="124" t="s">
        <v>1626</v>
      </c>
      <c r="C259" s="90" t="s">
        <v>1627</v>
      </c>
      <c r="D259" s="95" t="s">
        <v>53</v>
      </c>
      <c r="E259" s="95" t="s">
        <v>54</v>
      </c>
      <c r="F259" s="95"/>
      <c r="G259" s="95"/>
      <c r="H259" s="95"/>
      <c r="I259" s="95"/>
      <c r="J259" s="115" t="s">
        <v>1499</v>
      </c>
      <c r="K259" s="193" t="s">
        <v>1628</v>
      </c>
      <c r="L259" s="121" t="s">
        <v>4209</v>
      </c>
      <c r="M259" s="172"/>
      <c r="N259" s="93" t="s">
        <v>1629</v>
      </c>
      <c r="O259" s="92" t="s">
        <v>1630</v>
      </c>
      <c r="P259" s="88" t="s">
        <v>1010</v>
      </c>
      <c r="Q259" s="88" t="s">
        <v>48</v>
      </c>
      <c r="R259" s="86">
        <v>9788590916</v>
      </c>
      <c r="S259" s="88" t="s">
        <v>1606</v>
      </c>
      <c r="T259" s="94"/>
      <c r="U259" s="140"/>
      <c r="V259" s="125" t="s">
        <v>295</v>
      </c>
      <c r="W259" s="125" t="s">
        <v>215</v>
      </c>
      <c r="X259" s="125" t="s">
        <v>184</v>
      </c>
      <c r="Y259" s="126" t="s">
        <v>110</v>
      </c>
      <c r="Z259" s="131"/>
      <c r="AA259" s="131"/>
      <c r="AB259" s="131"/>
      <c r="AC259" s="131"/>
      <c r="AD259" s="127"/>
      <c r="AF259" s="121"/>
      <c r="AG259" s="121"/>
      <c r="AH259" s="121"/>
      <c r="AI259" s="121"/>
      <c r="AJ259" s="121">
        <f>COUNTA('All Details for ACID Pastor'!$V259:$AB259)</f>
        <v>4</v>
      </c>
      <c r="AK259" s="121"/>
      <c r="AL259" s="121"/>
      <c r="AM259" s="121"/>
      <c r="AN259" s="121"/>
      <c r="AO259" s="121"/>
      <c r="AP259" s="121"/>
      <c r="AQ259" s="121"/>
      <c r="AR259" s="121"/>
      <c r="AS259" s="121"/>
      <c r="AT259" s="121"/>
      <c r="AU259" s="121"/>
      <c r="AV259" s="121"/>
      <c r="AW259" s="163"/>
      <c r="AX259" s="163"/>
      <c r="AZ259" s="121" t="s">
        <v>139</v>
      </c>
      <c r="BA259" s="163"/>
      <c r="BB259" s="163"/>
      <c r="BC259" s="163"/>
      <c r="BF259" s="163">
        <f>COUNTA('All Details for ACID Pastor'!$T259:$AB259)</f>
        <v>4</v>
      </c>
    </row>
    <row r="260" spans="1:74" ht="70.150000000000006" customHeight="1">
      <c r="A260" s="107">
        <v>261</v>
      </c>
      <c r="B260" s="124" t="s">
        <v>1631</v>
      </c>
      <c r="C260" s="90" t="s">
        <v>1632</v>
      </c>
      <c r="D260" s="95" t="s">
        <v>53</v>
      </c>
      <c r="E260" s="95" t="s">
        <v>68</v>
      </c>
      <c r="F260" s="95"/>
      <c r="G260" s="95"/>
      <c r="H260" s="95"/>
      <c r="I260" s="95"/>
      <c r="J260" s="115" t="s">
        <v>1633</v>
      </c>
      <c r="K260" s="193" t="s">
        <v>1634</v>
      </c>
      <c r="L260" s="121"/>
      <c r="M260" s="172" t="s">
        <v>1635</v>
      </c>
      <c r="N260" s="93" t="s">
        <v>1636</v>
      </c>
      <c r="O260" s="92" t="s">
        <v>1637</v>
      </c>
      <c r="P260" s="88" t="s">
        <v>1638</v>
      </c>
      <c r="Q260" s="88" t="s">
        <v>48</v>
      </c>
      <c r="R260" s="86">
        <v>9443450319</v>
      </c>
      <c r="S260" s="88" t="s">
        <v>1606</v>
      </c>
      <c r="T260" s="94"/>
      <c r="U260" s="140"/>
      <c r="V260" s="125" t="s">
        <v>295</v>
      </c>
      <c r="W260" s="125" t="s">
        <v>98</v>
      </c>
      <c r="X260" s="125" t="s">
        <v>1436</v>
      </c>
      <c r="Y260" s="126" t="s">
        <v>1436</v>
      </c>
      <c r="Z260" s="131"/>
      <c r="AA260" s="131"/>
      <c r="AB260" s="131"/>
      <c r="AC260" s="131"/>
      <c r="AD260" s="127"/>
      <c r="AE260" s="244"/>
      <c r="AF260" s="121"/>
      <c r="AG260" s="121"/>
      <c r="AH260" s="121"/>
      <c r="AI260" s="121"/>
      <c r="AJ260" s="121">
        <f>COUNTA('All Details for ACID Pastor'!$V260:$AB260)</f>
        <v>4</v>
      </c>
      <c r="AK260" s="121"/>
      <c r="AL260" s="121"/>
      <c r="AM260" s="121"/>
      <c r="AN260" s="121"/>
      <c r="AO260" s="121"/>
      <c r="AP260" s="121"/>
      <c r="AQ260" s="121"/>
      <c r="AR260" s="121"/>
      <c r="AS260" s="121"/>
      <c r="AT260" s="121"/>
      <c r="AU260" s="121"/>
      <c r="AV260" s="121"/>
      <c r="AW260" s="163"/>
      <c r="AX260" s="163"/>
      <c r="AZ260" s="121" t="s">
        <v>139</v>
      </c>
      <c r="BA260" s="163"/>
      <c r="BB260" s="163"/>
      <c r="BC260" s="163"/>
      <c r="BF260" s="163">
        <f>COUNTA('All Details for ACID Pastor'!$T260:$AB260)</f>
        <v>4</v>
      </c>
    </row>
    <row r="261" spans="1:74" s="174" customFormat="1" ht="70.150000000000006" customHeight="1">
      <c r="A261" s="103">
        <v>262</v>
      </c>
      <c r="B261" s="132" t="s">
        <v>1639</v>
      </c>
      <c r="C261" s="101" t="s">
        <v>1640</v>
      </c>
      <c r="D261" s="102" t="s">
        <v>53</v>
      </c>
      <c r="E261" s="102" t="s">
        <v>68</v>
      </c>
      <c r="F261" s="95"/>
      <c r="G261" s="95"/>
      <c r="H261" s="95"/>
      <c r="I261" s="95"/>
      <c r="J261" s="133" t="s">
        <v>1633</v>
      </c>
      <c r="K261" s="256" t="s">
        <v>1641</v>
      </c>
      <c r="L261" s="232" t="s">
        <v>4209</v>
      </c>
      <c r="M261" s="171"/>
      <c r="N261" s="104" t="s">
        <v>1642</v>
      </c>
      <c r="O261" s="105" t="s">
        <v>1643</v>
      </c>
      <c r="P261" s="106" t="s">
        <v>1102</v>
      </c>
      <c r="Q261" s="106" t="s">
        <v>48</v>
      </c>
      <c r="R261" s="134">
        <v>9942041885</v>
      </c>
      <c r="S261" s="106" t="s">
        <v>1606</v>
      </c>
      <c r="T261" s="135"/>
      <c r="U261" s="176"/>
      <c r="V261" s="176"/>
      <c r="W261" s="176"/>
      <c r="X261" s="176"/>
      <c r="Y261" s="145"/>
      <c r="Z261" s="136"/>
      <c r="AA261" s="136"/>
      <c r="AB261" s="136"/>
      <c r="AC261" s="136"/>
      <c r="AD261" s="222"/>
      <c r="AE261" s="240"/>
      <c r="AF261" s="232"/>
      <c r="AG261" s="232"/>
      <c r="AH261" s="232"/>
      <c r="AI261" s="232"/>
      <c r="AJ261" s="232">
        <f>COUNTA('All Details for ACID Pastor'!$V261:$AB261)</f>
        <v>0</v>
      </c>
      <c r="AK261" s="232"/>
      <c r="AL261" s="232"/>
      <c r="AM261" s="232"/>
      <c r="AN261" s="232"/>
      <c r="AO261" s="232"/>
      <c r="AP261" s="232"/>
      <c r="AQ261" s="232"/>
      <c r="AR261" s="232"/>
      <c r="AS261" s="232"/>
      <c r="AT261" s="232"/>
      <c r="AU261" s="232"/>
      <c r="AV261" s="232"/>
      <c r="AW261" s="233"/>
      <c r="AX261" s="233"/>
      <c r="AY261" s="244"/>
      <c r="AZ261" s="232" t="s">
        <v>139</v>
      </c>
      <c r="BA261" s="233"/>
      <c r="BB261" s="233"/>
      <c r="BC261" s="233"/>
      <c r="BD261" s="244"/>
      <c r="BE261" s="277"/>
      <c r="BF261" s="233">
        <f>COUNTA('All Details for ACID Pastor'!$T261:$AB261)</f>
        <v>0</v>
      </c>
      <c r="BG261" s="249"/>
      <c r="BH261" s="249"/>
      <c r="BI261" s="249"/>
      <c r="BJ261" s="249"/>
      <c r="BK261" s="249"/>
      <c r="BL261" s="249"/>
      <c r="BM261" s="249"/>
      <c r="BN261" s="249"/>
      <c r="BO261" s="249"/>
      <c r="BP261" s="249"/>
      <c r="BQ261" s="249"/>
      <c r="BR261" s="249"/>
      <c r="BS261" s="249"/>
      <c r="BT261" s="249"/>
      <c r="BU261" s="249"/>
      <c r="BV261" s="249"/>
    </row>
    <row r="262" spans="1:74" ht="70.150000000000006" customHeight="1">
      <c r="A262" s="107">
        <v>263</v>
      </c>
      <c r="B262" s="124" t="s">
        <v>1644</v>
      </c>
      <c r="C262" s="90" t="s">
        <v>1645</v>
      </c>
      <c r="D262" s="95" t="s">
        <v>53</v>
      </c>
      <c r="E262" s="95" t="s">
        <v>54</v>
      </c>
      <c r="F262" s="95"/>
      <c r="G262" s="95"/>
      <c r="H262" s="95"/>
      <c r="I262" s="95"/>
      <c r="J262" s="115" t="s">
        <v>1633</v>
      </c>
      <c r="K262" s="193" t="s">
        <v>1646</v>
      </c>
      <c r="L262" s="121"/>
      <c r="M262" s="172" t="s">
        <v>1647</v>
      </c>
      <c r="N262" s="93" t="s">
        <v>1648</v>
      </c>
      <c r="O262" s="92" t="s">
        <v>1649</v>
      </c>
      <c r="P262" s="88" t="s">
        <v>94</v>
      </c>
      <c r="Q262" s="88" t="s">
        <v>48</v>
      </c>
      <c r="R262" s="86">
        <v>9095382303</v>
      </c>
      <c r="S262" s="88" t="s">
        <v>1606</v>
      </c>
      <c r="T262" s="94"/>
      <c r="U262" s="140"/>
      <c r="V262" s="125" t="s">
        <v>295</v>
      </c>
      <c r="W262" s="125" t="s">
        <v>98</v>
      </c>
      <c r="X262" s="140"/>
      <c r="Y262" s="141"/>
      <c r="Z262" s="131"/>
      <c r="AA262" s="131"/>
      <c r="AB262" s="131"/>
      <c r="AC262" s="131"/>
      <c r="AD262" s="127"/>
      <c r="AF262" s="121"/>
      <c r="AG262" s="121"/>
      <c r="AH262" s="121"/>
      <c r="AI262" s="121"/>
      <c r="AJ262" s="121">
        <f>COUNTA('All Details for ACID Pastor'!$V262:$AB262)</f>
        <v>2</v>
      </c>
      <c r="AK262" s="121"/>
      <c r="AL262" s="121"/>
      <c r="AM262" s="121"/>
      <c r="AN262" s="121"/>
      <c r="AO262" s="121"/>
      <c r="AP262" s="121"/>
      <c r="AQ262" s="121"/>
      <c r="AR262" s="121"/>
      <c r="AS262" s="121"/>
      <c r="AT262" s="121"/>
      <c r="AU262" s="121"/>
      <c r="AV262" s="121"/>
      <c r="AW262" s="163"/>
      <c r="AX262" s="163"/>
      <c r="AZ262" s="121" t="s">
        <v>100</v>
      </c>
      <c r="BA262" s="163"/>
      <c r="BB262" s="163"/>
      <c r="BC262" s="163"/>
      <c r="BF262" s="163">
        <f>COUNTA('All Details for ACID Pastor'!$T262:$AB262)</f>
        <v>2</v>
      </c>
    </row>
    <row r="263" spans="1:74" ht="70.150000000000006" customHeight="1">
      <c r="A263" s="107">
        <v>264</v>
      </c>
      <c r="B263" s="124" t="s">
        <v>1650</v>
      </c>
      <c r="C263" s="90" t="s">
        <v>1651</v>
      </c>
      <c r="D263" s="95" t="s">
        <v>53</v>
      </c>
      <c r="E263" s="95" t="s">
        <v>54</v>
      </c>
      <c r="F263" s="95"/>
      <c r="G263" s="95"/>
      <c r="H263" s="95"/>
      <c r="I263" s="95"/>
      <c r="J263" s="115" t="s">
        <v>1347</v>
      </c>
      <c r="K263" s="193" t="s">
        <v>1652</v>
      </c>
      <c r="L263" s="121"/>
      <c r="M263" s="172"/>
      <c r="N263" s="93" t="s">
        <v>1653</v>
      </c>
      <c r="O263" s="92" t="s">
        <v>1654</v>
      </c>
      <c r="P263" s="88" t="s">
        <v>1655</v>
      </c>
      <c r="Q263" s="88" t="s">
        <v>48</v>
      </c>
      <c r="R263" s="86">
        <v>8870074161</v>
      </c>
      <c r="S263" s="88" t="s">
        <v>1606</v>
      </c>
      <c r="T263" s="94"/>
      <c r="U263" s="140"/>
      <c r="V263" s="140"/>
      <c r="W263" s="140"/>
      <c r="X263" s="140"/>
      <c r="Y263" s="141"/>
      <c r="Z263" s="131"/>
      <c r="AA263" s="131"/>
      <c r="AB263" s="131"/>
      <c r="AC263" s="131"/>
      <c r="AD263" s="127"/>
      <c r="AF263" s="121"/>
      <c r="AG263" s="121"/>
      <c r="AH263" s="121"/>
      <c r="AI263" s="121"/>
      <c r="AJ263" s="121">
        <f>COUNTA('All Details for ACID Pastor'!$V263:$AB263)</f>
        <v>0</v>
      </c>
      <c r="AK263" s="121"/>
      <c r="AL263" s="121"/>
      <c r="AM263" s="121"/>
      <c r="AN263" s="121"/>
      <c r="AO263" s="121"/>
      <c r="AP263" s="121"/>
      <c r="AQ263" s="121"/>
      <c r="AR263" s="121"/>
      <c r="AS263" s="121"/>
      <c r="AT263" s="121"/>
      <c r="AU263" s="121"/>
      <c r="AV263" s="121"/>
      <c r="AW263" s="163"/>
      <c r="AX263" s="163"/>
      <c r="AZ263" s="121" t="s">
        <v>139</v>
      </c>
      <c r="BA263" s="163"/>
      <c r="BB263" s="163"/>
      <c r="BC263" s="163"/>
      <c r="BF263" s="163">
        <f>COUNTA('All Details for ACID Pastor'!$T263:$AB263)</f>
        <v>0</v>
      </c>
    </row>
    <row r="264" spans="1:74" ht="78.75" customHeight="1">
      <c r="A264" s="107">
        <v>265</v>
      </c>
      <c r="B264" s="124" t="s">
        <v>1656</v>
      </c>
      <c r="C264" s="90" t="s">
        <v>1657</v>
      </c>
      <c r="D264" s="95" t="s">
        <v>53</v>
      </c>
      <c r="E264" s="95" t="s">
        <v>54</v>
      </c>
      <c r="F264" s="95"/>
      <c r="G264" s="95"/>
      <c r="H264" s="95"/>
      <c r="I264" s="95"/>
      <c r="J264" s="115" t="s">
        <v>1140</v>
      </c>
      <c r="K264" s="193" t="s">
        <v>1658</v>
      </c>
      <c r="L264" s="121"/>
      <c r="M264" s="172"/>
      <c r="N264" s="93" t="s">
        <v>1659</v>
      </c>
      <c r="O264" s="92" t="s">
        <v>1660</v>
      </c>
      <c r="P264" s="88" t="s">
        <v>769</v>
      </c>
      <c r="Q264" s="88" t="s">
        <v>48</v>
      </c>
      <c r="R264" s="86">
        <v>9962160636</v>
      </c>
      <c r="S264" s="88" t="s">
        <v>1606</v>
      </c>
      <c r="T264" s="94"/>
      <c r="U264" s="140"/>
      <c r="V264" s="125" t="s">
        <v>295</v>
      </c>
      <c r="W264" s="140"/>
      <c r="X264" s="140"/>
      <c r="Y264" s="141"/>
      <c r="Z264" s="131"/>
      <c r="AA264" s="131"/>
      <c r="AB264" s="131"/>
      <c r="AC264" s="131"/>
      <c r="AD264" s="127"/>
      <c r="AF264" s="121"/>
      <c r="AG264" s="121"/>
      <c r="AH264" s="121"/>
      <c r="AI264" s="121"/>
      <c r="AJ264" s="121">
        <f>COUNTA('All Details for ACID Pastor'!$V264:$AB264)</f>
        <v>1</v>
      </c>
      <c r="AK264" s="121"/>
      <c r="AL264" s="121"/>
      <c r="AM264" s="121"/>
      <c r="AN264" s="121"/>
      <c r="AO264" s="121"/>
      <c r="AP264" s="121"/>
      <c r="AQ264" s="121"/>
      <c r="AR264" s="121"/>
      <c r="AS264" s="121"/>
      <c r="AT264" s="121"/>
      <c r="AU264" s="121"/>
      <c r="AV264" s="121"/>
      <c r="AW264" s="163"/>
      <c r="AX264" s="163"/>
      <c r="AZ264" s="121" t="s">
        <v>139</v>
      </c>
      <c r="BA264" s="163"/>
      <c r="BB264" s="163"/>
      <c r="BC264" s="163"/>
      <c r="BF264" s="163">
        <f>COUNTA('All Details for ACID Pastor'!$T264:$AB264)</f>
        <v>1</v>
      </c>
    </row>
    <row r="265" spans="1:74" ht="70.150000000000006" customHeight="1">
      <c r="A265" s="107">
        <v>266</v>
      </c>
      <c r="B265" s="124" t="s">
        <v>1661</v>
      </c>
      <c r="C265" s="90" t="s">
        <v>1662</v>
      </c>
      <c r="D265" s="95" t="s">
        <v>53</v>
      </c>
      <c r="E265" s="95" t="s">
        <v>54</v>
      </c>
      <c r="F265" s="95"/>
      <c r="G265" s="95"/>
      <c r="H265" s="95"/>
      <c r="I265" s="95"/>
      <c r="J265" s="115" t="s">
        <v>922</v>
      </c>
      <c r="K265" s="193" t="s">
        <v>1663</v>
      </c>
      <c r="L265" s="121"/>
      <c r="M265" s="172"/>
      <c r="N265" s="93" t="s">
        <v>1664</v>
      </c>
      <c r="O265" s="92" t="s">
        <v>1665</v>
      </c>
      <c r="P265" s="88" t="s">
        <v>626</v>
      </c>
      <c r="Q265" s="88" t="s">
        <v>626</v>
      </c>
      <c r="R265" s="86">
        <v>8870240535</v>
      </c>
      <c r="S265" s="88" t="s">
        <v>1606</v>
      </c>
      <c r="T265" s="94"/>
      <c r="U265" s="140"/>
      <c r="V265" s="140"/>
      <c r="W265" s="140"/>
      <c r="X265" s="140"/>
      <c r="Y265" s="141"/>
      <c r="Z265" s="131"/>
      <c r="AA265" s="131"/>
      <c r="AB265" s="131"/>
      <c r="AC265" s="131"/>
      <c r="AD265" s="127"/>
      <c r="AF265" s="121"/>
      <c r="AG265" s="121"/>
      <c r="AH265" s="121"/>
      <c r="AI265" s="121"/>
      <c r="AJ265" s="121">
        <f>COUNTA('All Details for ACID Pastor'!$V265:$AB265)</f>
        <v>0</v>
      </c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63"/>
      <c r="AX265" s="163"/>
      <c r="AZ265" s="121" t="s">
        <v>139</v>
      </c>
      <c r="BA265" s="163"/>
      <c r="BB265" s="163"/>
      <c r="BC265" s="163"/>
      <c r="BF265" s="163">
        <f>COUNTA('All Details for ACID Pastor'!$T265:$AB265)</f>
        <v>0</v>
      </c>
    </row>
    <row r="266" spans="1:74" ht="70.150000000000006" customHeight="1">
      <c r="A266" s="107">
        <v>267</v>
      </c>
      <c r="B266" s="124" t="s">
        <v>1666</v>
      </c>
      <c r="C266" s="90" t="s">
        <v>1667</v>
      </c>
      <c r="D266" s="95" t="s">
        <v>53</v>
      </c>
      <c r="E266" s="95" t="s">
        <v>68</v>
      </c>
      <c r="F266" s="95"/>
      <c r="G266" s="95"/>
      <c r="H266" s="95"/>
      <c r="I266" s="95"/>
      <c r="J266" s="115" t="s">
        <v>922</v>
      </c>
      <c r="K266" s="193" t="s">
        <v>1668</v>
      </c>
      <c r="L266" s="121"/>
      <c r="M266" s="172"/>
      <c r="N266" s="93" t="s">
        <v>1664</v>
      </c>
      <c r="O266" s="92" t="s">
        <v>1665</v>
      </c>
      <c r="P266" s="88" t="s">
        <v>626</v>
      </c>
      <c r="Q266" s="88" t="s">
        <v>626</v>
      </c>
      <c r="R266" s="86">
        <v>8870240535</v>
      </c>
      <c r="S266" s="88" t="s">
        <v>1606</v>
      </c>
      <c r="T266" s="94"/>
      <c r="U266" s="140"/>
      <c r="V266" s="140"/>
      <c r="W266" s="140"/>
      <c r="X266" s="140"/>
      <c r="Y266" s="141"/>
      <c r="Z266" s="131"/>
      <c r="AA266" s="131"/>
      <c r="AB266" s="131"/>
      <c r="AC266" s="131"/>
      <c r="AD266" s="127"/>
      <c r="AF266" s="121"/>
      <c r="AG266" s="121"/>
      <c r="AH266" s="121"/>
      <c r="AI266" s="121"/>
      <c r="AJ266" s="121">
        <f>COUNTA('All Details for ACID Pastor'!$V266:$AB266)</f>
        <v>0</v>
      </c>
      <c r="AK266" s="121"/>
      <c r="AL266" s="121"/>
      <c r="AM266" s="121"/>
      <c r="AN266" s="121"/>
      <c r="AO266" s="121"/>
      <c r="AP266" s="121"/>
      <c r="AQ266" s="121"/>
      <c r="AR266" s="121"/>
      <c r="AS266" s="121"/>
      <c r="AT266" s="121"/>
      <c r="AU266" s="121"/>
      <c r="AV266" s="121"/>
      <c r="AW266" s="163"/>
      <c r="AX266" s="163"/>
      <c r="AZ266" s="121" t="s">
        <v>139</v>
      </c>
      <c r="BA266" s="163"/>
      <c r="BB266" s="163"/>
      <c r="BC266" s="163"/>
      <c r="BF266" s="163">
        <f>COUNTA('All Details for ACID Pastor'!$T266:$AB266)</f>
        <v>0</v>
      </c>
    </row>
    <row r="267" spans="1:74" ht="70.150000000000006" customHeight="1">
      <c r="A267" s="107">
        <v>268</v>
      </c>
      <c r="B267" s="124" t="s">
        <v>1669</v>
      </c>
      <c r="C267" s="90" t="s">
        <v>1670</v>
      </c>
      <c r="D267" s="95" t="s">
        <v>53</v>
      </c>
      <c r="E267" s="95" t="s">
        <v>54</v>
      </c>
      <c r="F267" s="95"/>
      <c r="G267" s="95"/>
      <c r="H267" s="95"/>
      <c r="I267" s="95"/>
      <c r="J267" s="115" t="s">
        <v>947</v>
      </c>
      <c r="K267" s="193" t="s">
        <v>1671</v>
      </c>
      <c r="L267" s="121"/>
      <c r="M267" s="172" t="s">
        <v>1672</v>
      </c>
      <c r="N267" s="93" t="s">
        <v>1673</v>
      </c>
      <c r="O267" s="92" t="s">
        <v>1674</v>
      </c>
      <c r="P267" s="88" t="s">
        <v>786</v>
      </c>
      <c r="Q267" s="88" t="s">
        <v>48</v>
      </c>
      <c r="R267" s="86">
        <v>8098192994</v>
      </c>
      <c r="S267" s="88" t="s">
        <v>1606</v>
      </c>
      <c r="T267" s="94"/>
      <c r="U267" s="140"/>
      <c r="V267" s="140"/>
      <c r="W267" s="140"/>
      <c r="X267" s="140"/>
      <c r="Y267" s="141"/>
      <c r="Z267" s="131"/>
      <c r="AA267" s="131"/>
      <c r="AB267" s="131"/>
      <c r="AC267" s="131"/>
      <c r="AD267" s="127"/>
      <c r="AE267" s="244"/>
      <c r="AF267" s="121"/>
      <c r="AG267" s="121"/>
      <c r="AH267" s="121"/>
      <c r="AI267" s="121"/>
      <c r="AJ267" s="121">
        <f>COUNTA('All Details for ACID Pastor'!$V267:$AB267)</f>
        <v>0</v>
      </c>
      <c r="AK267" s="121"/>
      <c r="AL267" s="121"/>
      <c r="AM267" s="121"/>
      <c r="AN267" s="121"/>
      <c r="AO267" s="121"/>
      <c r="AP267" s="121"/>
      <c r="AQ267" s="121"/>
      <c r="AR267" s="121"/>
      <c r="AS267" s="121"/>
      <c r="AT267" s="121"/>
      <c r="AU267" s="121"/>
      <c r="AV267" s="121"/>
      <c r="AW267" s="163"/>
      <c r="AX267" s="163"/>
      <c r="AZ267" s="121" t="s">
        <v>139</v>
      </c>
      <c r="BA267" s="163"/>
      <c r="BB267" s="163"/>
      <c r="BC267" s="163"/>
      <c r="BF267" s="163">
        <f>COUNTA('All Details for ACID Pastor'!$T267:$AB267)</f>
        <v>0</v>
      </c>
    </row>
    <row r="268" spans="1:74" s="174" customFormat="1" ht="70.150000000000006" customHeight="1">
      <c r="A268" s="103">
        <v>269</v>
      </c>
      <c r="B268" s="132" t="s">
        <v>1675</v>
      </c>
      <c r="C268" s="101" t="s">
        <v>1676</v>
      </c>
      <c r="D268" s="102" t="s">
        <v>53</v>
      </c>
      <c r="E268" s="102" t="s">
        <v>54</v>
      </c>
      <c r="F268" s="95"/>
      <c r="G268" s="95"/>
      <c r="H268" s="95"/>
      <c r="I268" s="95"/>
      <c r="J268" s="175"/>
      <c r="K268" s="256" t="s">
        <v>1677</v>
      </c>
      <c r="L268" s="232" t="s">
        <v>4209</v>
      </c>
      <c r="M268" s="171"/>
      <c r="N268" s="104" t="s">
        <v>1678</v>
      </c>
      <c r="O268" s="105" t="s">
        <v>1679</v>
      </c>
      <c r="P268" s="106" t="s">
        <v>642</v>
      </c>
      <c r="Q268" s="106" t="s">
        <v>517</v>
      </c>
      <c r="R268" s="134">
        <v>9447334881</v>
      </c>
      <c r="S268" s="106" t="s">
        <v>1606</v>
      </c>
      <c r="T268" s="135"/>
      <c r="U268" s="176"/>
      <c r="V268" s="176"/>
      <c r="W268" s="176"/>
      <c r="X268" s="176"/>
      <c r="Y268" s="145"/>
      <c r="Z268" s="136"/>
      <c r="AA268" s="136"/>
      <c r="AB268" s="136"/>
      <c r="AC268" s="136"/>
      <c r="AD268" s="222"/>
      <c r="AE268" s="240"/>
      <c r="AF268" s="232"/>
      <c r="AG268" s="232"/>
      <c r="AH268" s="232"/>
      <c r="AI268" s="232"/>
      <c r="AJ268" s="232">
        <f>COUNTA('All Details for ACID Pastor'!$V268:$AB268)</f>
        <v>0</v>
      </c>
      <c r="AK268" s="232"/>
      <c r="AL268" s="232"/>
      <c r="AM268" s="232"/>
      <c r="AN268" s="232"/>
      <c r="AO268" s="232"/>
      <c r="AP268" s="232"/>
      <c r="AQ268" s="232"/>
      <c r="AR268" s="232"/>
      <c r="AS268" s="232"/>
      <c r="AT268" s="232"/>
      <c r="AU268" s="232"/>
      <c r="AV268" s="232"/>
      <c r="AW268" s="233"/>
      <c r="AX268" s="233"/>
      <c r="AY268" s="244"/>
      <c r="AZ268" s="232" t="s">
        <v>139</v>
      </c>
      <c r="BA268" s="233"/>
      <c r="BB268" s="233"/>
      <c r="BC268" s="233"/>
      <c r="BD268" s="244"/>
      <c r="BE268" s="277"/>
      <c r="BF268" s="233">
        <f>COUNTA('All Details for ACID Pastor'!$T268:$AB268)</f>
        <v>0</v>
      </c>
      <c r="BG268" s="249"/>
      <c r="BH268" s="249"/>
      <c r="BI268" s="249"/>
      <c r="BJ268" s="249"/>
      <c r="BK268" s="249"/>
      <c r="BL268" s="249"/>
      <c r="BM268" s="249"/>
      <c r="BN268" s="249"/>
      <c r="BO268" s="249"/>
      <c r="BP268" s="249"/>
      <c r="BQ268" s="249"/>
      <c r="BR268" s="249"/>
      <c r="BS268" s="249"/>
      <c r="BT268" s="249"/>
      <c r="BU268" s="249"/>
      <c r="BV268" s="249"/>
    </row>
    <row r="269" spans="1:74" ht="70.150000000000006" customHeight="1">
      <c r="A269" s="107">
        <v>270</v>
      </c>
      <c r="B269" s="124" t="s">
        <v>1680</v>
      </c>
      <c r="C269" s="90" t="s">
        <v>1681</v>
      </c>
      <c r="D269" s="95" t="s">
        <v>53</v>
      </c>
      <c r="E269" s="95" t="s">
        <v>54</v>
      </c>
      <c r="F269" s="95"/>
      <c r="G269" s="95"/>
      <c r="H269" s="95"/>
      <c r="I269" s="95"/>
      <c r="J269" s="115" t="s">
        <v>1499</v>
      </c>
      <c r="K269" s="193" t="s">
        <v>1682</v>
      </c>
      <c r="L269" s="121" t="s">
        <v>4209</v>
      </c>
      <c r="M269" s="172"/>
      <c r="N269" s="93" t="s">
        <v>1683</v>
      </c>
      <c r="O269" s="92" t="s">
        <v>1599</v>
      </c>
      <c r="P269" s="88" t="s">
        <v>1010</v>
      </c>
      <c r="Q269" s="88" t="s">
        <v>48</v>
      </c>
      <c r="R269" s="86">
        <v>9626836457</v>
      </c>
      <c r="S269" s="88" t="s">
        <v>1606</v>
      </c>
      <c r="T269" s="94"/>
      <c r="U269" s="140"/>
      <c r="V269" s="125" t="s">
        <v>726</v>
      </c>
      <c r="W269" s="125" t="s">
        <v>215</v>
      </c>
      <c r="X269" s="125" t="s">
        <v>184</v>
      </c>
      <c r="Y269" s="126" t="s">
        <v>110</v>
      </c>
      <c r="Z269" s="131"/>
      <c r="AA269" s="131"/>
      <c r="AB269" s="131"/>
      <c r="AC269" s="131"/>
      <c r="AD269" s="127"/>
      <c r="AE269" s="244"/>
      <c r="AF269" s="121"/>
      <c r="AG269" s="121"/>
      <c r="AH269" s="121"/>
      <c r="AI269" s="121"/>
      <c r="AJ269" s="121">
        <f>COUNTA('All Details for ACID Pastor'!$V269:$AB269)</f>
        <v>4</v>
      </c>
      <c r="AK269" s="121"/>
      <c r="AL269" s="121"/>
      <c r="AM269" s="121"/>
      <c r="AN269" s="121"/>
      <c r="AO269" s="121"/>
      <c r="AP269" s="121"/>
      <c r="AQ269" s="121"/>
      <c r="AR269" s="121"/>
      <c r="AS269" s="121"/>
      <c r="AT269" s="121"/>
      <c r="AU269" s="121"/>
      <c r="AV269" s="121"/>
      <c r="AW269" s="163"/>
      <c r="AX269" s="163"/>
      <c r="AZ269" s="121" t="s">
        <v>139</v>
      </c>
      <c r="BA269" s="163"/>
      <c r="BB269" s="163"/>
      <c r="BC269" s="163"/>
      <c r="BF269" s="163">
        <f>COUNTA('All Details for ACID Pastor'!$T269:$AB269)</f>
        <v>4</v>
      </c>
    </row>
    <row r="270" spans="1:74" s="174" customFormat="1" ht="70.150000000000006" customHeight="1">
      <c r="A270" s="103">
        <v>271</v>
      </c>
      <c r="B270" s="132" t="s">
        <v>1684</v>
      </c>
      <c r="C270" s="101" t="s">
        <v>1685</v>
      </c>
      <c r="D270" s="102" t="s">
        <v>53</v>
      </c>
      <c r="E270" s="102" t="s">
        <v>142</v>
      </c>
      <c r="F270" s="95"/>
      <c r="G270" s="95"/>
      <c r="H270" s="95"/>
      <c r="I270" s="95"/>
      <c r="J270" s="133" t="s">
        <v>1686</v>
      </c>
      <c r="K270" s="256" t="s">
        <v>1687</v>
      </c>
      <c r="L270" s="232" t="s">
        <v>4209</v>
      </c>
      <c r="M270" s="171"/>
      <c r="N270" s="104" t="s">
        <v>1688</v>
      </c>
      <c r="O270" s="105" t="s">
        <v>1689</v>
      </c>
      <c r="P270" s="106" t="s">
        <v>1102</v>
      </c>
      <c r="Q270" s="106" t="s">
        <v>48</v>
      </c>
      <c r="R270" s="134">
        <v>9943277974</v>
      </c>
      <c r="S270" s="106" t="s">
        <v>1606</v>
      </c>
      <c r="T270" s="135"/>
      <c r="U270" s="176"/>
      <c r="V270" s="176"/>
      <c r="W270" s="176"/>
      <c r="X270" s="176"/>
      <c r="Y270" s="145"/>
      <c r="Z270" s="136"/>
      <c r="AA270" s="136"/>
      <c r="AB270" s="136"/>
      <c r="AC270" s="136"/>
      <c r="AD270" s="222"/>
      <c r="AE270" s="244"/>
      <c r="AF270" s="232"/>
      <c r="AG270" s="232"/>
      <c r="AH270" s="232"/>
      <c r="AI270" s="232"/>
      <c r="AJ270" s="232">
        <f>COUNTA('All Details for ACID Pastor'!$V270:$AB270)</f>
        <v>0</v>
      </c>
      <c r="AK270" s="232"/>
      <c r="AL270" s="232"/>
      <c r="AM270" s="232"/>
      <c r="AN270" s="232"/>
      <c r="AO270" s="232"/>
      <c r="AP270" s="232"/>
      <c r="AQ270" s="232"/>
      <c r="AR270" s="232"/>
      <c r="AS270" s="232"/>
      <c r="AT270" s="232"/>
      <c r="AU270" s="232"/>
      <c r="AV270" s="232"/>
      <c r="AW270" s="233"/>
      <c r="AX270" s="233"/>
      <c r="AY270" s="244"/>
      <c r="AZ270" s="232" t="s">
        <v>139</v>
      </c>
      <c r="BA270" s="233"/>
      <c r="BB270" s="233"/>
      <c r="BC270" s="233"/>
      <c r="BD270" s="244"/>
      <c r="BE270" s="277"/>
      <c r="BF270" s="233">
        <f>COUNTA('All Details for ACID Pastor'!$T270:$AB270)</f>
        <v>0</v>
      </c>
      <c r="BG270" s="249"/>
      <c r="BH270" s="249"/>
      <c r="BI270" s="249"/>
      <c r="BJ270" s="249"/>
      <c r="BK270" s="249"/>
      <c r="BL270" s="249"/>
      <c r="BM270" s="249"/>
      <c r="BN270" s="249"/>
      <c r="BO270" s="249"/>
      <c r="BP270" s="249"/>
      <c r="BQ270" s="249"/>
      <c r="BR270" s="249"/>
      <c r="BS270" s="249"/>
      <c r="BT270" s="249"/>
      <c r="BU270" s="249"/>
      <c r="BV270" s="249"/>
    </row>
    <row r="271" spans="1:74" s="174" customFormat="1" ht="70.150000000000006" customHeight="1">
      <c r="A271" s="103">
        <v>272</v>
      </c>
      <c r="B271" s="132" t="s">
        <v>1690</v>
      </c>
      <c r="C271" s="101" t="s">
        <v>1691</v>
      </c>
      <c r="D271" s="102" t="s">
        <v>53</v>
      </c>
      <c r="E271" s="102" t="s">
        <v>1692</v>
      </c>
      <c r="F271" s="95"/>
      <c r="G271" s="95"/>
      <c r="H271" s="95"/>
      <c r="I271" s="95"/>
      <c r="J271" s="133" t="s">
        <v>1686</v>
      </c>
      <c r="K271" s="256" t="s">
        <v>1693</v>
      </c>
      <c r="L271" s="232" t="s">
        <v>4209</v>
      </c>
      <c r="M271" s="171"/>
      <c r="N271" s="104" t="s">
        <v>1688</v>
      </c>
      <c r="O271" s="105" t="s">
        <v>1689</v>
      </c>
      <c r="P271" s="106" t="s">
        <v>1102</v>
      </c>
      <c r="Q271" s="106" t="s">
        <v>48</v>
      </c>
      <c r="R271" s="134">
        <v>9943277974</v>
      </c>
      <c r="S271" s="106" t="s">
        <v>1606</v>
      </c>
      <c r="T271" s="135"/>
      <c r="U271" s="176"/>
      <c r="V271" s="176"/>
      <c r="W271" s="176"/>
      <c r="X271" s="176"/>
      <c r="Y271" s="145"/>
      <c r="Z271" s="136"/>
      <c r="AA271" s="136"/>
      <c r="AB271" s="136"/>
      <c r="AC271" s="136"/>
      <c r="AD271" s="222"/>
      <c r="AE271" s="240"/>
      <c r="AF271" s="232"/>
      <c r="AG271" s="232"/>
      <c r="AH271" s="232"/>
      <c r="AI271" s="232"/>
      <c r="AJ271" s="232">
        <f>COUNTA('All Details for ACID Pastor'!$V271:$AB271)</f>
        <v>0</v>
      </c>
      <c r="AK271" s="232"/>
      <c r="AL271" s="232"/>
      <c r="AM271" s="232"/>
      <c r="AN271" s="232"/>
      <c r="AO271" s="232"/>
      <c r="AP271" s="232"/>
      <c r="AQ271" s="232"/>
      <c r="AR271" s="232"/>
      <c r="AS271" s="232"/>
      <c r="AT271" s="232"/>
      <c r="AU271" s="232"/>
      <c r="AV271" s="232"/>
      <c r="AW271" s="233"/>
      <c r="AX271" s="233"/>
      <c r="AY271" s="244"/>
      <c r="AZ271" s="232" t="s">
        <v>139</v>
      </c>
      <c r="BA271" s="233"/>
      <c r="BB271" s="233"/>
      <c r="BC271" s="233"/>
      <c r="BD271" s="244"/>
      <c r="BE271" s="277"/>
      <c r="BF271" s="233">
        <f>COUNTA('All Details for ACID Pastor'!$T271:$AB271)</f>
        <v>0</v>
      </c>
      <c r="BG271" s="249"/>
      <c r="BH271" s="249"/>
      <c r="BI271" s="249"/>
      <c r="BJ271" s="249"/>
      <c r="BK271" s="249"/>
      <c r="BL271" s="249"/>
      <c r="BM271" s="249"/>
      <c r="BN271" s="249"/>
      <c r="BO271" s="249"/>
      <c r="BP271" s="249"/>
      <c r="BQ271" s="249"/>
      <c r="BR271" s="249"/>
      <c r="BS271" s="249"/>
      <c r="BT271" s="249"/>
      <c r="BU271" s="249"/>
      <c r="BV271" s="249"/>
    </row>
    <row r="272" spans="1:74" ht="70.150000000000006" customHeight="1">
      <c r="A272" s="107">
        <v>273</v>
      </c>
      <c r="B272" s="124" t="s">
        <v>1694</v>
      </c>
      <c r="C272" s="90" t="s">
        <v>1695</v>
      </c>
      <c r="D272" s="95" t="s">
        <v>53</v>
      </c>
      <c r="E272" s="95" t="s">
        <v>54</v>
      </c>
      <c r="F272" s="95"/>
      <c r="G272" s="95"/>
      <c r="H272" s="95"/>
      <c r="I272" s="95"/>
      <c r="J272" s="115" t="s">
        <v>1140</v>
      </c>
      <c r="K272" s="193" t="s">
        <v>90</v>
      </c>
      <c r="L272" s="121"/>
      <c r="M272" s="172"/>
      <c r="N272" s="93" t="s">
        <v>1696</v>
      </c>
      <c r="O272" s="92" t="s">
        <v>1697</v>
      </c>
      <c r="P272" s="88" t="s">
        <v>1698</v>
      </c>
      <c r="Q272" s="88" t="s">
        <v>48</v>
      </c>
      <c r="R272" s="86">
        <v>9245178008</v>
      </c>
      <c r="S272" s="88" t="s">
        <v>1606</v>
      </c>
      <c r="T272" s="94"/>
      <c r="U272" s="140"/>
      <c r="V272" s="125" t="s">
        <v>1699</v>
      </c>
      <c r="W272" s="125" t="s">
        <v>1700</v>
      </c>
      <c r="X272" s="125" t="s">
        <v>819</v>
      </c>
      <c r="Y272" s="141"/>
      <c r="Z272" s="131"/>
      <c r="AA272" s="131"/>
      <c r="AB272" s="131"/>
      <c r="AC272" s="131"/>
      <c r="AD272" s="127"/>
      <c r="AF272" s="121"/>
      <c r="AG272" s="121"/>
      <c r="AH272" s="121"/>
      <c r="AI272" s="121"/>
      <c r="AJ272" s="121">
        <f>COUNTA('All Details for ACID Pastor'!$V272:$AB272)</f>
        <v>3</v>
      </c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63"/>
      <c r="AX272" s="163"/>
      <c r="AZ272" s="121" t="s">
        <v>139</v>
      </c>
      <c r="BA272" s="163"/>
      <c r="BB272" s="163"/>
      <c r="BC272" s="163"/>
      <c r="BF272" s="163">
        <f>COUNTA('All Details for ACID Pastor'!$T272:$AB272)</f>
        <v>3</v>
      </c>
    </row>
    <row r="273" spans="1:74" ht="70.150000000000006" customHeight="1">
      <c r="A273" s="107">
        <v>274</v>
      </c>
      <c r="B273" s="124" t="s">
        <v>1701</v>
      </c>
      <c r="C273" s="90" t="s">
        <v>1702</v>
      </c>
      <c r="D273" s="95" t="s">
        <v>53</v>
      </c>
      <c r="E273" s="95" t="s">
        <v>160</v>
      </c>
      <c r="F273" s="95"/>
      <c r="G273" s="95"/>
      <c r="H273" s="95"/>
      <c r="I273" s="95"/>
      <c r="J273" s="115" t="s">
        <v>1140</v>
      </c>
      <c r="K273" s="193" t="s">
        <v>1703</v>
      </c>
      <c r="L273" s="121"/>
      <c r="M273" s="172"/>
      <c r="N273" s="93" t="s">
        <v>1696</v>
      </c>
      <c r="O273" s="92" t="s">
        <v>1697</v>
      </c>
      <c r="P273" s="88" t="s">
        <v>1698</v>
      </c>
      <c r="Q273" s="88" t="s">
        <v>48</v>
      </c>
      <c r="R273" s="86">
        <v>9003549898</v>
      </c>
      <c r="S273" s="88" t="s">
        <v>1606</v>
      </c>
      <c r="T273" s="94"/>
      <c r="U273" s="140"/>
      <c r="V273" s="125" t="s">
        <v>1699</v>
      </c>
      <c r="W273" s="125" t="s">
        <v>1700</v>
      </c>
      <c r="X273" s="125" t="s">
        <v>819</v>
      </c>
      <c r="Y273" s="141"/>
      <c r="Z273" s="131"/>
      <c r="AA273" s="131"/>
      <c r="AB273" s="131"/>
      <c r="AC273" s="131"/>
      <c r="AD273" s="127"/>
      <c r="AE273" s="244"/>
      <c r="AF273" s="121"/>
      <c r="AG273" s="121"/>
      <c r="AH273" s="121"/>
      <c r="AI273" s="121"/>
      <c r="AJ273" s="121">
        <f>COUNTA('All Details for ACID Pastor'!$V273:$AB273)</f>
        <v>3</v>
      </c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63"/>
      <c r="AX273" s="163"/>
      <c r="AZ273" s="121" t="s">
        <v>139</v>
      </c>
      <c r="BA273" s="163"/>
      <c r="BB273" s="163"/>
      <c r="BC273" s="163"/>
      <c r="BF273" s="163">
        <f>COUNTA('All Details for ACID Pastor'!$T273:$AB273)</f>
        <v>3</v>
      </c>
    </row>
    <row r="274" spans="1:74" s="174" customFormat="1" ht="70.150000000000006" customHeight="1">
      <c r="A274" s="103">
        <v>275</v>
      </c>
      <c r="B274" s="132" t="s">
        <v>1704</v>
      </c>
      <c r="C274" s="101" t="s">
        <v>1705</v>
      </c>
      <c r="D274" s="102" t="s">
        <v>53</v>
      </c>
      <c r="E274" s="102" t="s">
        <v>54</v>
      </c>
      <c r="F274" s="95"/>
      <c r="G274" s="95"/>
      <c r="H274" s="95"/>
      <c r="I274" s="95"/>
      <c r="J274" s="133" t="s">
        <v>1140</v>
      </c>
      <c r="K274" s="256" t="s">
        <v>1706</v>
      </c>
      <c r="L274" s="232" t="s">
        <v>4209</v>
      </c>
      <c r="M274" s="171"/>
      <c r="N274" s="104" t="s">
        <v>1707</v>
      </c>
      <c r="O274" s="105" t="s">
        <v>1708</v>
      </c>
      <c r="P274" s="106" t="s">
        <v>1102</v>
      </c>
      <c r="Q274" s="106" t="s">
        <v>48</v>
      </c>
      <c r="R274" s="134">
        <v>9042715054</v>
      </c>
      <c r="S274" s="106" t="s">
        <v>1606</v>
      </c>
      <c r="T274" s="135"/>
      <c r="U274" s="176"/>
      <c r="V274" s="176"/>
      <c r="W274" s="176"/>
      <c r="X274" s="176"/>
      <c r="Y274" s="145"/>
      <c r="Z274" s="136"/>
      <c r="AA274" s="136"/>
      <c r="AB274" s="136"/>
      <c r="AC274" s="136"/>
      <c r="AD274" s="222"/>
      <c r="AE274" s="244"/>
      <c r="AF274" s="232"/>
      <c r="AG274" s="232"/>
      <c r="AH274" s="232"/>
      <c r="AI274" s="232"/>
      <c r="AJ274" s="232">
        <f>COUNTA('All Details for ACID Pastor'!$V274:$AB274)</f>
        <v>0</v>
      </c>
      <c r="AK274" s="232"/>
      <c r="AL274" s="232"/>
      <c r="AM274" s="232"/>
      <c r="AN274" s="232"/>
      <c r="AO274" s="232"/>
      <c r="AP274" s="232"/>
      <c r="AQ274" s="232"/>
      <c r="AR274" s="232"/>
      <c r="AS274" s="232"/>
      <c r="AT274" s="232"/>
      <c r="AU274" s="232"/>
      <c r="AV274" s="232"/>
      <c r="AW274" s="233"/>
      <c r="AX274" s="233"/>
      <c r="AY274" s="244"/>
      <c r="AZ274" s="232" t="s">
        <v>139</v>
      </c>
      <c r="BA274" s="233"/>
      <c r="BB274" s="233"/>
      <c r="BC274" s="233"/>
      <c r="BD274" s="244"/>
      <c r="BE274" s="277"/>
      <c r="BF274" s="233">
        <f>COUNTA('All Details for ACID Pastor'!$T274:$AB274)</f>
        <v>0</v>
      </c>
      <c r="BG274" s="249"/>
      <c r="BH274" s="249"/>
      <c r="BI274" s="249"/>
      <c r="BJ274" s="249"/>
      <c r="BK274" s="249"/>
      <c r="BL274" s="249"/>
      <c r="BM274" s="249"/>
      <c r="BN274" s="249"/>
      <c r="BO274" s="249"/>
      <c r="BP274" s="249"/>
      <c r="BQ274" s="249"/>
      <c r="BR274" s="249"/>
      <c r="BS274" s="249"/>
      <c r="BT274" s="249"/>
      <c r="BU274" s="249"/>
      <c r="BV274" s="249"/>
    </row>
    <row r="275" spans="1:74" s="174" customFormat="1" ht="70.150000000000006" customHeight="1">
      <c r="A275" s="103">
        <v>276</v>
      </c>
      <c r="B275" s="132" t="s">
        <v>1709</v>
      </c>
      <c r="C275" s="101" t="s">
        <v>1710</v>
      </c>
      <c r="D275" s="102" t="s">
        <v>53</v>
      </c>
      <c r="E275" s="102" t="s">
        <v>160</v>
      </c>
      <c r="F275" s="95"/>
      <c r="G275" s="95"/>
      <c r="H275" s="95"/>
      <c r="I275" s="95"/>
      <c r="J275" s="133" t="s">
        <v>1140</v>
      </c>
      <c r="K275" s="256" t="s">
        <v>1711</v>
      </c>
      <c r="L275" s="232" t="s">
        <v>4201</v>
      </c>
      <c r="M275" s="171"/>
      <c r="N275" s="104" t="s">
        <v>1712</v>
      </c>
      <c r="O275" s="105" t="s">
        <v>1708</v>
      </c>
      <c r="P275" s="106" t="s">
        <v>1102</v>
      </c>
      <c r="Q275" s="106" t="s">
        <v>48</v>
      </c>
      <c r="R275" s="134">
        <v>9042715054</v>
      </c>
      <c r="S275" s="106" t="s">
        <v>1606</v>
      </c>
      <c r="T275" s="135"/>
      <c r="U275" s="176"/>
      <c r="V275" s="176"/>
      <c r="W275" s="176"/>
      <c r="X275" s="176"/>
      <c r="Y275" s="145"/>
      <c r="Z275" s="136"/>
      <c r="AA275" s="136"/>
      <c r="AB275" s="136"/>
      <c r="AC275" s="136"/>
      <c r="AD275" s="222"/>
      <c r="AE275" s="244"/>
      <c r="AF275" s="232"/>
      <c r="AG275" s="232"/>
      <c r="AH275" s="232"/>
      <c r="AI275" s="232"/>
      <c r="AJ275" s="232">
        <f>COUNTA('All Details for ACID Pastor'!$V275:$AB275)</f>
        <v>0</v>
      </c>
      <c r="AK275" s="232"/>
      <c r="AL275" s="232"/>
      <c r="AM275" s="232"/>
      <c r="AN275" s="232"/>
      <c r="AO275" s="232"/>
      <c r="AP275" s="232"/>
      <c r="AQ275" s="232"/>
      <c r="AR275" s="232"/>
      <c r="AS275" s="232"/>
      <c r="AT275" s="232"/>
      <c r="AU275" s="232"/>
      <c r="AV275" s="232"/>
      <c r="AW275" s="233"/>
      <c r="AX275" s="233"/>
      <c r="AY275" s="244"/>
      <c r="AZ275" s="232" t="s">
        <v>139</v>
      </c>
      <c r="BA275" s="233"/>
      <c r="BB275" s="233"/>
      <c r="BC275" s="233"/>
      <c r="BD275" s="244"/>
      <c r="BE275" s="277"/>
      <c r="BF275" s="233">
        <f>COUNTA('All Details for ACID Pastor'!$T275:$AB275)</f>
        <v>0</v>
      </c>
      <c r="BG275" s="249"/>
      <c r="BH275" s="249"/>
      <c r="BI275" s="249"/>
      <c r="BJ275" s="249"/>
      <c r="BK275" s="249"/>
      <c r="BL275" s="249"/>
      <c r="BM275" s="249"/>
      <c r="BN275" s="249"/>
      <c r="BO275" s="249"/>
      <c r="BP275" s="249"/>
      <c r="BQ275" s="249"/>
      <c r="BR275" s="249"/>
      <c r="BS275" s="249"/>
      <c r="BT275" s="249"/>
      <c r="BU275" s="249"/>
      <c r="BV275" s="249"/>
    </row>
    <row r="276" spans="1:74" s="174" customFormat="1" ht="70.150000000000006" customHeight="1">
      <c r="A276" s="103">
        <v>277</v>
      </c>
      <c r="B276" s="132" t="s">
        <v>1713</v>
      </c>
      <c r="C276" s="101" t="s">
        <v>1714</v>
      </c>
      <c r="D276" s="102" t="s">
        <v>53</v>
      </c>
      <c r="E276" s="102" t="s">
        <v>54</v>
      </c>
      <c r="F276" s="95"/>
      <c r="G276" s="95"/>
      <c r="H276" s="95"/>
      <c r="I276" s="95"/>
      <c r="J276" s="133" t="s">
        <v>1140</v>
      </c>
      <c r="K276" s="256" t="s">
        <v>1715</v>
      </c>
      <c r="L276" s="232" t="s">
        <v>4209</v>
      </c>
      <c r="M276" s="171" t="s">
        <v>1716</v>
      </c>
      <c r="N276" s="104" t="s">
        <v>1717</v>
      </c>
      <c r="O276" s="105" t="s">
        <v>1429</v>
      </c>
      <c r="P276" s="106" t="s">
        <v>1102</v>
      </c>
      <c r="Q276" s="106" t="s">
        <v>48</v>
      </c>
      <c r="R276" s="134">
        <v>9965767953</v>
      </c>
      <c r="S276" s="106" t="s">
        <v>1606</v>
      </c>
      <c r="T276" s="135"/>
      <c r="U276" s="176"/>
      <c r="V276" s="144" t="s">
        <v>1218</v>
      </c>
      <c r="W276" s="176"/>
      <c r="X276" s="176"/>
      <c r="Y276" s="145"/>
      <c r="Z276" s="136"/>
      <c r="AA276" s="136"/>
      <c r="AB276" s="136"/>
      <c r="AC276" s="136"/>
      <c r="AD276" s="222"/>
      <c r="AE276" s="244"/>
      <c r="AF276" s="232"/>
      <c r="AG276" s="232"/>
      <c r="AH276" s="232"/>
      <c r="AI276" s="232"/>
      <c r="AJ276" s="232">
        <f>COUNTA('All Details for ACID Pastor'!$V276:$AB276)</f>
        <v>1</v>
      </c>
      <c r="AK276" s="232"/>
      <c r="AL276" s="232"/>
      <c r="AM276" s="232"/>
      <c r="AN276" s="232"/>
      <c r="AO276" s="232"/>
      <c r="AP276" s="232"/>
      <c r="AQ276" s="232"/>
      <c r="AR276" s="232"/>
      <c r="AS276" s="232"/>
      <c r="AT276" s="232"/>
      <c r="AU276" s="232"/>
      <c r="AV276" s="232"/>
      <c r="AW276" s="233"/>
      <c r="AX276" s="233"/>
      <c r="AY276" s="244"/>
      <c r="AZ276" s="232" t="s">
        <v>139</v>
      </c>
      <c r="BA276" s="233"/>
      <c r="BB276" s="233"/>
      <c r="BC276" s="233"/>
      <c r="BD276" s="244"/>
      <c r="BE276" s="277"/>
      <c r="BF276" s="233">
        <f>COUNTA('All Details for ACID Pastor'!$T276:$AB276)</f>
        <v>1</v>
      </c>
      <c r="BG276" s="249"/>
      <c r="BH276" s="249"/>
      <c r="BI276" s="249"/>
      <c r="BJ276" s="249"/>
      <c r="BK276" s="249"/>
      <c r="BL276" s="249"/>
      <c r="BM276" s="249"/>
      <c r="BN276" s="249"/>
      <c r="BO276" s="249"/>
      <c r="BP276" s="249"/>
      <c r="BQ276" s="249"/>
      <c r="BR276" s="249"/>
      <c r="BS276" s="249"/>
      <c r="BT276" s="249"/>
      <c r="BU276" s="249"/>
      <c r="BV276" s="249"/>
    </row>
    <row r="277" spans="1:74" s="174" customFormat="1" ht="70.150000000000006" customHeight="1">
      <c r="A277" s="103">
        <v>278</v>
      </c>
      <c r="B277" s="132" t="s">
        <v>1718</v>
      </c>
      <c r="C277" s="101" t="s">
        <v>1719</v>
      </c>
      <c r="D277" s="102" t="s">
        <v>53</v>
      </c>
      <c r="E277" s="102" t="s">
        <v>160</v>
      </c>
      <c r="F277" s="95"/>
      <c r="G277" s="95"/>
      <c r="H277" s="95"/>
      <c r="I277" s="95"/>
      <c r="J277" s="133" t="s">
        <v>1140</v>
      </c>
      <c r="K277" s="256" t="s">
        <v>1720</v>
      </c>
      <c r="L277" s="232" t="s">
        <v>4201</v>
      </c>
      <c r="M277" s="171" t="s">
        <v>1716</v>
      </c>
      <c r="N277" s="104" t="s">
        <v>1717</v>
      </c>
      <c r="O277" s="105" t="s">
        <v>1429</v>
      </c>
      <c r="P277" s="106" t="s">
        <v>1102</v>
      </c>
      <c r="Q277" s="106" t="s">
        <v>48</v>
      </c>
      <c r="R277" s="134">
        <v>8883198486</v>
      </c>
      <c r="S277" s="106" t="s">
        <v>1606</v>
      </c>
      <c r="T277" s="135"/>
      <c r="U277" s="176"/>
      <c r="V277" s="144" t="s">
        <v>1218</v>
      </c>
      <c r="W277" s="176"/>
      <c r="X277" s="176"/>
      <c r="Y277" s="145"/>
      <c r="Z277" s="136"/>
      <c r="AA277" s="136"/>
      <c r="AB277" s="136"/>
      <c r="AC277" s="136"/>
      <c r="AD277" s="222"/>
      <c r="AE277" s="240"/>
      <c r="AF277" s="232"/>
      <c r="AG277" s="232"/>
      <c r="AH277" s="232"/>
      <c r="AI277" s="232"/>
      <c r="AJ277" s="232">
        <f>COUNTA('All Details for ACID Pastor'!$V277:$AB277)</f>
        <v>1</v>
      </c>
      <c r="AK277" s="232"/>
      <c r="AL277" s="232"/>
      <c r="AM277" s="232"/>
      <c r="AN277" s="232"/>
      <c r="AO277" s="232"/>
      <c r="AP277" s="232"/>
      <c r="AQ277" s="232"/>
      <c r="AR277" s="232"/>
      <c r="AS277" s="232"/>
      <c r="AT277" s="232"/>
      <c r="AU277" s="232"/>
      <c r="AV277" s="232"/>
      <c r="AW277" s="233"/>
      <c r="AX277" s="233"/>
      <c r="AY277" s="244"/>
      <c r="AZ277" s="232" t="s">
        <v>139</v>
      </c>
      <c r="BA277" s="233"/>
      <c r="BB277" s="233"/>
      <c r="BC277" s="233"/>
      <c r="BD277" s="244"/>
      <c r="BE277" s="277"/>
      <c r="BF277" s="233">
        <f>COUNTA('All Details for ACID Pastor'!$T277:$AB277)</f>
        <v>1</v>
      </c>
      <c r="BG277" s="249"/>
      <c r="BH277" s="249"/>
      <c r="BI277" s="249"/>
      <c r="BJ277" s="249"/>
      <c r="BK277" s="249"/>
      <c r="BL277" s="249"/>
      <c r="BM277" s="249"/>
      <c r="BN277" s="249"/>
      <c r="BO277" s="249"/>
      <c r="BP277" s="249"/>
      <c r="BQ277" s="249"/>
      <c r="BR277" s="249"/>
      <c r="BS277" s="249"/>
      <c r="BT277" s="249"/>
      <c r="BU277" s="249"/>
      <c r="BV277" s="249"/>
    </row>
    <row r="278" spans="1:74" ht="70.150000000000006" customHeight="1">
      <c r="A278" s="107">
        <v>279</v>
      </c>
      <c r="B278" s="124" t="s">
        <v>1721</v>
      </c>
      <c r="C278" s="90" t="s">
        <v>1722</v>
      </c>
      <c r="D278" s="95" t="s">
        <v>53</v>
      </c>
      <c r="E278" s="95" t="s">
        <v>68</v>
      </c>
      <c r="F278" s="95"/>
      <c r="G278" s="95"/>
      <c r="H278" s="95"/>
      <c r="I278" s="95"/>
      <c r="J278" s="115" t="s">
        <v>1140</v>
      </c>
      <c r="K278" s="193" t="s">
        <v>1723</v>
      </c>
      <c r="L278" s="121" t="s">
        <v>4209</v>
      </c>
      <c r="M278" s="172"/>
      <c r="N278" s="93" t="s">
        <v>1724</v>
      </c>
      <c r="O278" s="92" t="s">
        <v>1725</v>
      </c>
      <c r="P278" s="88" t="s">
        <v>1102</v>
      </c>
      <c r="Q278" s="88" t="s">
        <v>48</v>
      </c>
      <c r="R278" s="86">
        <v>8428837812</v>
      </c>
      <c r="S278" s="88" t="s">
        <v>1606</v>
      </c>
      <c r="T278" s="94"/>
      <c r="U278" s="140"/>
      <c r="V278" s="125" t="s">
        <v>1726</v>
      </c>
      <c r="W278" s="125" t="s">
        <v>98</v>
      </c>
      <c r="X278" s="125" t="s">
        <v>78</v>
      </c>
      <c r="Y278" s="141"/>
      <c r="Z278" s="131"/>
      <c r="AA278" s="127" t="s">
        <v>165</v>
      </c>
      <c r="AB278" s="127" t="s">
        <v>165</v>
      </c>
      <c r="AC278" s="127" t="s">
        <v>1236</v>
      </c>
      <c r="AD278" s="127"/>
      <c r="AF278" s="121"/>
      <c r="AG278" s="121"/>
      <c r="AH278" s="121"/>
      <c r="AI278" s="121"/>
      <c r="AJ278" s="121">
        <f>COUNTA('All Details for ACID Pastor'!$V278:$AB278)</f>
        <v>5</v>
      </c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63"/>
      <c r="AX278" s="163"/>
      <c r="AZ278" s="121" t="s">
        <v>49</v>
      </c>
      <c r="BA278" s="163"/>
      <c r="BB278" s="163"/>
      <c r="BC278" s="163"/>
      <c r="BF278" s="163">
        <v>6</v>
      </c>
    </row>
    <row r="279" spans="1:74" ht="70.150000000000006" customHeight="1">
      <c r="A279" s="107">
        <v>280</v>
      </c>
      <c r="B279" s="124" t="s">
        <v>1727</v>
      </c>
      <c r="C279" s="90" t="s">
        <v>1728</v>
      </c>
      <c r="D279" s="95" t="s">
        <v>53</v>
      </c>
      <c r="E279" s="95" t="s">
        <v>160</v>
      </c>
      <c r="F279" s="95"/>
      <c r="G279" s="95"/>
      <c r="H279" s="95"/>
      <c r="I279" s="95"/>
      <c r="J279" s="115" t="s">
        <v>1140</v>
      </c>
      <c r="K279" s="193" t="s">
        <v>1729</v>
      </c>
      <c r="L279" s="121" t="s">
        <v>4201</v>
      </c>
      <c r="M279" s="172" t="s">
        <v>1730</v>
      </c>
      <c r="N279" s="93" t="s">
        <v>1731</v>
      </c>
      <c r="O279" s="92" t="s">
        <v>1732</v>
      </c>
      <c r="P279" s="88" t="s">
        <v>1102</v>
      </c>
      <c r="Q279" s="88" t="s">
        <v>48</v>
      </c>
      <c r="R279" s="86">
        <v>8760236722</v>
      </c>
      <c r="S279" s="88" t="s">
        <v>1606</v>
      </c>
      <c r="T279" s="94"/>
      <c r="U279" s="140"/>
      <c r="V279" s="125" t="s">
        <v>295</v>
      </c>
      <c r="W279" s="125" t="s">
        <v>98</v>
      </c>
      <c r="X279" s="125" t="s">
        <v>78</v>
      </c>
      <c r="Y279" s="126" t="s">
        <v>99</v>
      </c>
      <c r="Z279" s="126" t="s">
        <v>99</v>
      </c>
      <c r="AA279" s="126" t="s">
        <v>99</v>
      </c>
      <c r="AB279" s="131"/>
      <c r="AC279" s="131"/>
      <c r="AD279" s="127"/>
      <c r="AF279" s="121"/>
      <c r="AG279" s="121"/>
      <c r="AH279" s="121"/>
      <c r="AI279" s="121"/>
      <c r="AJ279" s="121">
        <f>COUNTA('All Details for ACID Pastor'!$V279:$AB279)</f>
        <v>6</v>
      </c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63"/>
      <c r="AX279" s="163"/>
      <c r="AZ279" s="121" t="s">
        <v>49</v>
      </c>
      <c r="BA279" s="163"/>
      <c r="BB279" s="163"/>
      <c r="BC279" s="163"/>
      <c r="BF279" s="163">
        <f>COUNTA('All Details for ACID Pastor'!$T279:$AB279)</f>
        <v>6</v>
      </c>
    </row>
    <row r="280" spans="1:74" ht="78.75" customHeight="1">
      <c r="A280" s="107">
        <v>281</v>
      </c>
      <c r="B280" s="124" t="s">
        <v>1733</v>
      </c>
      <c r="C280" s="90" t="s">
        <v>1734</v>
      </c>
      <c r="D280" s="95" t="s">
        <v>53</v>
      </c>
      <c r="E280" s="95" t="s">
        <v>54</v>
      </c>
      <c r="F280" s="95"/>
      <c r="G280" s="95"/>
      <c r="H280" s="95"/>
      <c r="I280" s="95"/>
      <c r="J280" s="115" t="s">
        <v>1140</v>
      </c>
      <c r="K280" s="193" t="s">
        <v>1735</v>
      </c>
      <c r="L280" s="121"/>
      <c r="M280" s="172" t="s">
        <v>1736</v>
      </c>
      <c r="N280" s="93" t="s">
        <v>1737</v>
      </c>
      <c r="O280" s="92" t="s">
        <v>1738</v>
      </c>
      <c r="P280" s="88" t="s">
        <v>64</v>
      </c>
      <c r="Q280" s="88" t="s">
        <v>48</v>
      </c>
      <c r="R280" s="86">
        <v>9488274660</v>
      </c>
      <c r="S280" s="88" t="s">
        <v>1606</v>
      </c>
      <c r="T280" s="94"/>
      <c r="U280" s="140"/>
      <c r="V280" s="125" t="s">
        <v>825</v>
      </c>
      <c r="W280" s="125" t="s">
        <v>1105</v>
      </c>
      <c r="X280" s="125" t="s">
        <v>1105</v>
      </c>
      <c r="Y280" s="126" t="s">
        <v>1105</v>
      </c>
      <c r="Z280" s="131"/>
      <c r="AA280" s="131"/>
      <c r="AB280" s="131"/>
      <c r="AC280" s="131"/>
      <c r="AD280" s="127"/>
      <c r="AF280" s="121"/>
      <c r="AG280" s="121"/>
      <c r="AH280" s="121"/>
      <c r="AI280" s="121"/>
      <c r="AJ280" s="121">
        <f>COUNTA('All Details for ACID Pastor'!$V280:$AB280)</f>
        <v>4</v>
      </c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63"/>
      <c r="AX280" s="163"/>
      <c r="AZ280" s="121" t="s">
        <v>49</v>
      </c>
      <c r="BA280" s="163"/>
      <c r="BB280" s="163"/>
      <c r="BC280" s="163"/>
      <c r="BF280" s="163">
        <f>COUNTA('All Details for ACID Pastor'!$T280:$AB280)</f>
        <v>4</v>
      </c>
    </row>
    <row r="281" spans="1:74" ht="70.150000000000006" customHeight="1">
      <c r="A281" s="107">
        <v>282</v>
      </c>
      <c r="B281" s="124" t="s">
        <v>1739</v>
      </c>
      <c r="C281" s="90" t="s">
        <v>1740</v>
      </c>
      <c r="D281" s="95" t="s">
        <v>53</v>
      </c>
      <c r="E281" s="95" t="s">
        <v>54</v>
      </c>
      <c r="F281" s="95"/>
      <c r="G281" s="95"/>
      <c r="H281" s="95"/>
      <c r="I281" s="95"/>
      <c r="J281" s="115" t="s">
        <v>1140</v>
      </c>
      <c r="K281" s="193" t="s">
        <v>1741</v>
      </c>
      <c r="L281" s="121"/>
      <c r="M281" s="172" t="s">
        <v>1742</v>
      </c>
      <c r="N281" s="93" t="s">
        <v>1743</v>
      </c>
      <c r="O281" s="92" t="s">
        <v>1744</v>
      </c>
      <c r="P281" s="88" t="s">
        <v>1509</v>
      </c>
      <c r="Q281" s="88" t="s">
        <v>48</v>
      </c>
      <c r="R281" s="86">
        <v>9842149310</v>
      </c>
      <c r="S281" s="88" t="s">
        <v>1606</v>
      </c>
      <c r="T281" s="94"/>
      <c r="U281" s="140"/>
      <c r="V281" s="125" t="s">
        <v>1745</v>
      </c>
      <c r="W281" s="125" t="s">
        <v>1746</v>
      </c>
      <c r="X281" s="125" t="s">
        <v>184</v>
      </c>
      <c r="Y281" s="141"/>
      <c r="Z281" s="131"/>
      <c r="AA281" s="131"/>
      <c r="AB281" s="131"/>
      <c r="AC281" s="131"/>
      <c r="AD281" s="127"/>
      <c r="AE281" s="244"/>
      <c r="AF281" s="121"/>
      <c r="AG281" s="121"/>
      <c r="AH281" s="121"/>
      <c r="AI281" s="121"/>
      <c r="AJ281" s="121">
        <f>COUNTA('All Details for ACID Pastor'!$V281:$AB281)</f>
        <v>3</v>
      </c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63"/>
      <c r="AX281" s="163"/>
      <c r="AZ281" s="121" t="s">
        <v>139</v>
      </c>
      <c r="BA281" s="163"/>
      <c r="BB281" s="163"/>
      <c r="BC281" s="163"/>
      <c r="BF281" s="163">
        <f>COUNTA('All Details for ACID Pastor'!$T281:$AB281)</f>
        <v>3</v>
      </c>
    </row>
    <row r="282" spans="1:74" s="174" customFormat="1" ht="70.150000000000006" customHeight="1">
      <c r="A282" s="103">
        <v>283</v>
      </c>
      <c r="B282" s="132" t="s">
        <v>1747</v>
      </c>
      <c r="C282" s="101" t="s">
        <v>1748</v>
      </c>
      <c r="D282" s="102" t="s">
        <v>53</v>
      </c>
      <c r="E282" s="102" t="s">
        <v>54</v>
      </c>
      <c r="F282" s="95"/>
      <c r="G282" s="95"/>
      <c r="H282" s="95"/>
      <c r="I282" s="95"/>
      <c r="J282" s="133" t="s">
        <v>1140</v>
      </c>
      <c r="K282" s="256" t="s">
        <v>1749</v>
      </c>
      <c r="L282" s="232" t="s">
        <v>4209</v>
      </c>
      <c r="M282" s="171" t="s">
        <v>1750</v>
      </c>
      <c r="N282" s="104" t="s">
        <v>1751</v>
      </c>
      <c r="O282" s="105" t="s">
        <v>1752</v>
      </c>
      <c r="P282" s="106" t="s">
        <v>1102</v>
      </c>
      <c r="Q282" s="106" t="s">
        <v>48</v>
      </c>
      <c r="R282" s="134">
        <v>9842491924</v>
      </c>
      <c r="S282" s="106" t="s">
        <v>1606</v>
      </c>
      <c r="T282" s="135"/>
      <c r="U282" s="176"/>
      <c r="V282" s="144" t="s">
        <v>77</v>
      </c>
      <c r="W282" s="144" t="s">
        <v>98</v>
      </c>
      <c r="X282" s="176"/>
      <c r="Y282" s="145"/>
      <c r="Z282" s="136"/>
      <c r="AA282" s="136"/>
      <c r="AB282" s="136"/>
      <c r="AC282" s="136"/>
      <c r="AD282" s="222"/>
      <c r="AE282" s="240"/>
      <c r="AF282" s="232"/>
      <c r="AG282" s="232"/>
      <c r="AH282" s="232"/>
      <c r="AI282" s="232"/>
      <c r="AJ282" s="232">
        <f>COUNTA('All Details for ACID Pastor'!$V282:$AB282)</f>
        <v>2</v>
      </c>
      <c r="AK282" s="232"/>
      <c r="AL282" s="232"/>
      <c r="AM282" s="232"/>
      <c r="AN282" s="232"/>
      <c r="AO282" s="232"/>
      <c r="AP282" s="232"/>
      <c r="AQ282" s="232"/>
      <c r="AR282" s="232"/>
      <c r="AS282" s="232"/>
      <c r="AT282" s="232"/>
      <c r="AU282" s="232"/>
      <c r="AV282" s="232"/>
      <c r="AW282" s="233"/>
      <c r="AX282" s="233"/>
      <c r="AY282" s="244"/>
      <c r="AZ282" s="232" t="s">
        <v>139</v>
      </c>
      <c r="BA282" s="233"/>
      <c r="BB282" s="233"/>
      <c r="BC282" s="233"/>
      <c r="BD282" s="244"/>
      <c r="BE282" s="277"/>
      <c r="BF282" s="233">
        <f>COUNTA('All Details for ACID Pastor'!$T282:$AB282)</f>
        <v>2</v>
      </c>
      <c r="BG282" s="249"/>
      <c r="BH282" s="249"/>
      <c r="BI282" s="249"/>
      <c r="BJ282" s="249"/>
      <c r="BK282" s="249"/>
      <c r="BL282" s="249"/>
      <c r="BM282" s="249"/>
      <c r="BN282" s="249"/>
      <c r="BO282" s="249"/>
      <c r="BP282" s="249"/>
      <c r="BQ282" s="249"/>
      <c r="BR282" s="249"/>
      <c r="BS282" s="249"/>
      <c r="BT282" s="249"/>
      <c r="BU282" s="249"/>
      <c r="BV282" s="249"/>
    </row>
    <row r="283" spans="1:74" ht="70.150000000000006" customHeight="1">
      <c r="A283" s="107">
        <v>284</v>
      </c>
      <c r="B283" s="124" t="s">
        <v>1753</v>
      </c>
      <c r="C283" s="90" t="s">
        <v>1754</v>
      </c>
      <c r="D283" s="95" t="s">
        <v>53</v>
      </c>
      <c r="E283" s="95" t="s">
        <v>54</v>
      </c>
      <c r="F283" s="95"/>
      <c r="G283" s="95"/>
      <c r="H283" s="95"/>
      <c r="I283" s="95"/>
      <c r="J283" s="115" t="s">
        <v>1140</v>
      </c>
      <c r="K283" s="193" t="s">
        <v>1755</v>
      </c>
      <c r="L283" s="121"/>
      <c r="M283" s="172"/>
      <c r="N283" s="93" t="s">
        <v>1756</v>
      </c>
      <c r="O283" s="92" t="s">
        <v>1757</v>
      </c>
      <c r="P283" s="88" t="s">
        <v>1758</v>
      </c>
      <c r="Q283" s="88" t="s">
        <v>48</v>
      </c>
      <c r="R283" s="86">
        <v>9524735420</v>
      </c>
      <c r="S283" s="88" t="s">
        <v>1606</v>
      </c>
      <c r="T283" s="94"/>
      <c r="U283" s="140"/>
      <c r="V283" s="125" t="s">
        <v>295</v>
      </c>
      <c r="W283" s="125" t="s">
        <v>184</v>
      </c>
      <c r="X283" s="125" t="s">
        <v>184</v>
      </c>
      <c r="Y283" s="126" t="s">
        <v>110</v>
      </c>
      <c r="Z283" s="131"/>
      <c r="AA283" s="131"/>
      <c r="AB283" s="127" t="s">
        <v>165</v>
      </c>
      <c r="AC283" s="131"/>
      <c r="AD283" s="127"/>
      <c r="AF283" s="121"/>
      <c r="AG283" s="121"/>
      <c r="AH283" s="121"/>
      <c r="AI283" s="121"/>
      <c r="AJ283" s="121">
        <f>COUNTA('All Details for ACID Pastor'!$V283:$AB283)</f>
        <v>5</v>
      </c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63"/>
      <c r="AX283" s="163"/>
      <c r="AZ283" s="121" t="s">
        <v>49</v>
      </c>
      <c r="BA283" s="163"/>
      <c r="BB283" s="163"/>
      <c r="BC283" s="163"/>
      <c r="BF283" s="163">
        <f>COUNTA('All Details for ACID Pastor'!$T283:$AB283)</f>
        <v>5</v>
      </c>
    </row>
    <row r="284" spans="1:74" ht="70.150000000000006" customHeight="1">
      <c r="A284" s="107">
        <v>285</v>
      </c>
      <c r="B284" s="124" t="s">
        <v>1759</v>
      </c>
      <c r="C284" s="90" t="s">
        <v>1760</v>
      </c>
      <c r="D284" s="95" t="s">
        <v>53</v>
      </c>
      <c r="E284" s="95" t="s">
        <v>54</v>
      </c>
      <c r="F284" s="95"/>
      <c r="G284" s="95"/>
      <c r="H284" s="95"/>
      <c r="I284" s="95"/>
      <c r="J284" s="115" t="s">
        <v>1140</v>
      </c>
      <c r="K284" s="193" t="s">
        <v>1761</v>
      </c>
      <c r="L284" s="121"/>
      <c r="M284" s="172"/>
      <c r="N284" s="93" t="s">
        <v>1762</v>
      </c>
      <c r="O284" s="92" t="s">
        <v>1763</v>
      </c>
      <c r="P284" s="88" t="s">
        <v>1509</v>
      </c>
      <c r="Q284" s="88" t="s">
        <v>48</v>
      </c>
      <c r="R284" s="86">
        <v>9443560971</v>
      </c>
      <c r="S284" s="88" t="s">
        <v>1606</v>
      </c>
      <c r="T284" s="94"/>
      <c r="U284" s="140"/>
      <c r="V284" s="140"/>
      <c r="W284" s="140"/>
      <c r="X284" s="140"/>
      <c r="Y284" s="141"/>
      <c r="Z284" s="131"/>
      <c r="AA284" s="131"/>
      <c r="AB284" s="131"/>
      <c r="AC284" s="131"/>
      <c r="AD284" s="127"/>
      <c r="AF284" s="121"/>
      <c r="AG284" s="121"/>
      <c r="AH284" s="121"/>
      <c r="AI284" s="121"/>
      <c r="AJ284" s="121">
        <f>COUNTA('All Details for ACID Pastor'!$V284:$AB284)</f>
        <v>0</v>
      </c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63"/>
      <c r="AX284" s="163"/>
      <c r="AZ284" s="121" t="s">
        <v>139</v>
      </c>
      <c r="BA284" s="163"/>
      <c r="BB284" s="163"/>
      <c r="BC284" s="163"/>
      <c r="BF284" s="163">
        <f>COUNTA('All Details for ACID Pastor'!$T284:$AB284)</f>
        <v>0</v>
      </c>
    </row>
    <row r="285" spans="1:74" ht="70.150000000000006" customHeight="1">
      <c r="A285" s="107">
        <v>286</v>
      </c>
      <c r="B285" s="124" t="s">
        <v>1764</v>
      </c>
      <c r="C285" s="90" t="s">
        <v>1765</v>
      </c>
      <c r="D285" s="95" t="s">
        <v>53</v>
      </c>
      <c r="E285" s="95" t="s">
        <v>54</v>
      </c>
      <c r="F285" s="95"/>
      <c r="G285" s="95"/>
      <c r="H285" s="95"/>
      <c r="I285" s="95"/>
      <c r="J285" s="115" t="s">
        <v>1140</v>
      </c>
      <c r="K285" s="193" t="s">
        <v>1766</v>
      </c>
      <c r="L285" s="121"/>
      <c r="M285" s="172"/>
      <c r="N285" s="93" t="s">
        <v>1767</v>
      </c>
      <c r="O285" s="92" t="s">
        <v>1768</v>
      </c>
      <c r="P285" s="88" t="s">
        <v>73</v>
      </c>
      <c r="Q285" s="88" t="s">
        <v>48</v>
      </c>
      <c r="R285" s="86">
        <v>9894584283</v>
      </c>
      <c r="S285" s="88" t="s">
        <v>1606</v>
      </c>
      <c r="T285" s="94"/>
      <c r="U285" s="140"/>
      <c r="V285" s="140"/>
      <c r="W285" s="140"/>
      <c r="X285" s="140"/>
      <c r="Y285" s="141"/>
      <c r="Z285" s="131"/>
      <c r="AA285" s="131"/>
      <c r="AB285" s="131"/>
      <c r="AC285" s="131"/>
      <c r="AD285" s="127"/>
      <c r="AF285" s="121"/>
      <c r="AG285" s="121"/>
      <c r="AH285" s="121"/>
      <c r="AI285" s="121"/>
      <c r="AJ285" s="121">
        <f>COUNTA('All Details for ACID Pastor'!$V285:$AB285)</f>
        <v>0</v>
      </c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63"/>
      <c r="AX285" s="163"/>
      <c r="AZ285" s="121" t="s">
        <v>139</v>
      </c>
      <c r="BA285" s="163"/>
      <c r="BB285" s="163"/>
      <c r="BC285" s="163"/>
      <c r="BF285" s="163">
        <f>COUNTA('All Details for ACID Pastor'!$T285:$AB285)</f>
        <v>0</v>
      </c>
    </row>
    <row r="286" spans="1:74" ht="78.75" customHeight="1">
      <c r="A286" s="107">
        <v>287</v>
      </c>
      <c r="B286" s="124" t="s">
        <v>1769</v>
      </c>
      <c r="C286" s="90" t="s">
        <v>1770</v>
      </c>
      <c r="D286" s="95" t="s">
        <v>53</v>
      </c>
      <c r="E286" s="95" t="s">
        <v>54</v>
      </c>
      <c r="F286" s="95"/>
      <c r="G286" s="95"/>
      <c r="H286" s="95"/>
      <c r="I286" s="95"/>
      <c r="J286" s="115" t="s">
        <v>1140</v>
      </c>
      <c r="K286" s="193" t="s">
        <v>1771</v>
      </c>
      <c r="L286" s="121"/>
      <c r="M286" s="172" t="s">
        <v>1772</v>
      </c>
      <c r="N286" s="93" t="s">
        <v>1773</v>
      </c>
      <c r="O286" s="92" t="s">
        <v>1774</v>
      </c>
      <c r="P286" s="88" t="s">
        <v>64</v>
      </c>
      <c r="Q286" s="88" t="s">
        <v>48</v>
      </c>
      <c r="R286" s="86">
        <v>9962330061</v>
      </c>
      <c r="S286" s="88" t="s">
        <v>1606</v>
      </c>
      <c r="T286" s="94"/>
      <c r="U286" s="140"/>
      <c r="V286" s="125" t="s">
        <v>295</v>
      </c>
      <c r="W286" s="140"/>
      <c r="X286" s="140"/>
      <c r="Y286" s="141"/>
      <c r="Z286" s="131"/>
      <c r="AA286" s="131"/>
      <c r="AB286" s="131"/>
      <c r="AC286" s="131"/>
      <c r="AD286" s="127"/>
      <c r="AF286" s="121"/>
      <c r="AG286" s="121"/>
      <c r="AH286" s="121"/>
      <c r="AI286" s="121"/>
      <c r="AJ286" s="121">
        <f>COUNTA('All Details for ACID Pastor'!$V286:$AB286)</f>
        <v>1</v>
      </c>
      <c r="AK286" s="121"/>
      <c r="AL286" s="121"/>
      <c r="AM286" s="121"/>
      <c r="AN286" s="121"/>
      <c r="AO286" s="121"/>
      <c r="AP286" s="121"/>
      <c r="AQ286" s="121"/>
      <c r="AR286" s="121"/>
      <c r="AS286" s="121"/>
      <c r="AT286" s="121"/>
      <c r="AU286" s="121"/>
      <c r="AV286" s="121"/>
      <c r="AW286" s="163"/>
      <c r="AX286" s="163"/>
      <c r="AZ286" s="121" t="s">
        <v>139</v>
      </c>
      <c r="BA286" s="163"/>
      <c r="BB286" s="163"/>
      <c r="BC286" s="163"/>
      <c r="BF286" s="163">
        <f>COUNTA('All Details for ACID Pastor'!$T286:$AB286)</f>
        <v>1</v>
      </c>
    </row>
    <row r="287" spans="1:74" ht="70.150000000000006" customHeight="1">
      <c r="A287" s="107">
        <v>288</v>
      </c>
      <c r="B287" s="124" t="s">
        <v>1775</v>
      </c>
      <c r="C287" s="90" t="s">
        <v>1776</v>
      </c>
      <c r="D287" s="95" t="s">
        <v>53</v>
      </c>
      <c r="E287" s="95" t="s">
        <v>54</v>
      </c>
      <c r="F287" s="95"/>
      <c r="G287" s="95"/>
      <c r="H287" s="95"/>
      <c r="I287" s="95"/>
      <c r="J287" s="115" t="s">
        <v>1140</v>
      </c>
      <c r="K287" s="193" t="s">
        <v>1777</v>
      </c>
      <c r="L287" s="121"/>
      <c r="M287" s="172" t="s">
        <v>1778</v>
      </c>
      <c r="N287" s="93" t="s">
        <v>1779</v>
      </c>
      <c r="O287" s="92" t="s">
        <v>1780</v>
      </c>
      <c r="P287" s="88" t="s">
        <v>166</v>
      </c>
      <c r="Q287" s="88" t="s">
        <v>48</v>
      </c>
      <c r="R287" s="86">
        <v>7598250309</v>
      </c>
      <c r="S287" s="88" t="s">
        <v>1606</v>
      </c>
      <c r="T287" s="94"/>
      <c r="U287" s="140"/>
      <c r="V287" s="125" t="s">
        <v>1781</v>
      </c>
      <c r="W287" s="140"/>
      <c r="X287" s="140"/>
      <c r="Y287" s="141"/>
      <c r="Z287" s="131"/>
      <c r="AA287" s="131"/>
      <c r="AB287" s="131"/>
      <c r="AC287" s="131"/>
      <c r="AD287" s="127"/>
      <c r="AF287" s="121"/>
      <c r="AG287" s="121"/>
      <c r="AH287" s="121"/>
      <c r="AI287" s="121"/>
      <c r="AJ287" s="121">
        <f>COUNTA('All Details for ACID Pastor'!$V287:$AB287)</f>
        <v>1</v>
      </c>
      <c r="AK287" s="121"/>
      <c r="AL287" s="121"/>
      <c r="AM287" s="121"/>
      <c r="AN287" s="121"/>
      <c r="AO287" s="121"/>
      <c r="AP287" s="121"/>
      <c r="AQ287" s="121"/>
      <c r="AR287" s="121"/>
      <c r="AS287" s="121"/>
      <c r="AT287" s="121"/>
      <c r="AU287" s="121"/>
      <c r="AV287" s="121"/>
      <c r="AW287" s="163"/>
      <c r="AX287" s="163"/>
      <c r="AZ287" s="121" t="s">
        <v>139</v>
      </c>
      <c r="BA287" s="163"/>
      <c r="BB287" s="163"/>
      <c r="BC287" s="163"/>
      <c r="BF287" s="163">
        <f>COUNTA('All Details for ACID Pastor'!$T287:$AB287)</f>
        <v>1</v>
      </c>
    </row>
    <row r="288" spans="1:74" ht="70.150000000000006" customHeight="1">
      <c r="A288" s="107">
        <v>289</v>
      </c>
      <c r="B288" s="124" t="s">
        <v>1782</v>
      </c>
      <c r="C288" s="90" t="s">
        <v>1783</v>
      </c>
      <c r="D288" s="95" t="s">
        <v>53</v>
      </c>
      <c r="E288" s="95" t="s">
        <v>160</v>
      </c>
      <c r="F288" s="95"/>
      <c r="G288" s="95"/>
      <c r="H288" s="95"/>
      <c r="I288" s="95"/>
      <c r="J288" s="115" t="s">
        <v>1140</v>
      </c>
      <c r="K288" s="193" t="s">
        <v>1784</v>
      </c>
      <c r="L288" s="121"/>
      <c r="M288" s="172" t="s">
        <v>1785</v>
      </c>
      <c r="N288" s="93" t="s">
        <v>1786</v>
      </c>
      <c r="O288" s="92" t="s">
        <v>1124</v>
      </c>
      <c r="P288" s="88" t="s">
        <v>166</v>
      </c>
      <c r="Q288" s="88" t="s">
        <v>48</v>
      </c>
      <c r="R288" s="86">
        <v>9445212558</v>
      </c>
      <c r="S288" s="88" t="s">
        <v>1606</v>
      </c>
      <c r="T288" s="94"/>
      <c r="U288" s="140"/>
      <c r="V288" s="140"/>
      <c r="W288" s="140"/>
      <c r="X288" s="140"/>
      <c r="Y288" s="141"/>
      <c r="Z288" s="131"/>
      <c r="AA288" s="131"/>
      <c r="AB288" s="131"/>
      <c r="AC288" s="131"/>
      <c r="AD288" s="127"/>
      <c r="AE288" s="244"/>
      <c r="AF288" s="121"/>
      <c r="AG288" s="121"/>
      <c r="AH288" s="121"/>
      <c r="AI288" s="121"/>
      <c r="AJ288" s="121">
        <f>COUNTA('All Details for ACID Pastor'!$V288:$AB288)</f>
        <v>0</v>
      </c>
      <c r="AK288" s="121"/>
      <c r="AL288" s="121"/>
      <c r="AM288" s="121"/>
      <c r="AN288" s="121"/>
      <c r="AO288" s="121"/>
      <c r="AP288" s="121"/>
      <c r="AQ288" s="121"/>
      <c r="AR288" s="121"/>
      <c r="AS288" s="121"/>
      <c r="AT288" s="121"/>
      <c r="AU288" s="121"/>
      <c r="AV288" s="121"/>
      <c r="AW288" s="163"/>
      <c r="AX288" s="163"/>
      <c r="AZ288" s="121" t="s">
        <v>139</v>
      </c>
      <c r="BA288" s="163"/>
      <c r="BB288" s="163"/>
      <c r="BC288" s="163"/>
      <c r="BF288" s="163">
        <f>COUNTA('All Details for ACID Pastor'!$T288:$AB288)</f>
        <v>0</v>
      </c>
    </row>
    <row r="289" spans="1:74" s="174" customFormat="1" ht="70.150000000000006" customHeight="1">
      <c r="A289" s="103">
        <v>290</v>
      </c>
      <c r="B289" s="132" t="s">
        <v>1787</v>
      </c>
      <c r="C289" s="101" t="s">
        <v>1788</v>
      </c>
      <c r="D289" s="102" t="s">
        <v>53</v>
      </c>
      <c r="E289" s="102" t="s">
        <v>54</v>
      </c>
      <c r="F289" s="95"/>
      <c r="G289" s="95"/>
      <c r="H289" s="95"/>
      <c r="I289" s="95"/>
      <c r="J289" s="133" t="s">
        <v>1140</v>
      </c>
      <c r="K289" s="256" t="s">
        <v>1789</v>
      </c>
      <c r="L289" s="232" t="s">
        <v>4209</v>
      </c>
      <c r="M289" s="171"/>
      <c r="N289" s="104" t="s">
        <v>1790</v>
      </c>
      <c r="O289" s="105" t="s">
        <v>1791</v>
      </c>
      <c r="P289" s="106" t="s">
        <v>1102</v>
      </c>
      <c r="Q289" s="106" t="s">
        <v>48</v>
      </c>
      <c r="R289" s="134">
        <v>9629300456</v>
      </c>
      <c r="S289" s="106" t="s">
        <v>1606</v>
      </c>
      <c r="T289" s="135"/>
      <c r="U289" s="176"/>
      <c r="V289" s="144" t="s">
        <v>1218</v>
      </c>
      <c r="W289" s="176"/>
      <c r="X289" s="176"/>
      <c r="Y289" s="145"/>
      <c r="Z289" s="136"/>
      <c r="AA289" s="136"/>
      <c r="AB289" s="136"/>
      <c r="AC289" s="136"/>
      <c r="AD289" s="222"/>
      <c r="AE289" s="240"/>
      <c r="AF289" s="232"/>
      <c r="AG289" s="232"/>
      <c r="AH289" s="232"/>
      <c r="AI289" s="232"/>
      <c r="AJ289" s="232">
        <f>COUNTA('All Details for ACID Pastor'!$V289:$AB289)</f>
        <v>1</v>
      </c>
      <c r="AK289" s="232"/>
      <c r="AL289" s="232"/>
      <c r="AM289" s="232"/>
      <c r="AN289" s="232"/>
      <c r="AO289" s="232"/>
      <c r="AP289" s="232"/>
      <c r="AQ289" s="232"/>
      <c r="AR289" s="232"/>
      <c r="AS289" s="232"/>
      <c r="AT289" s="232"/>
      <c r="AU289" s="232"/>
      <c r="AV289" s="232"/>
      <c r="AW289" s="233"/>
      <c r="AX289" s="233"/>
      <c r="AY289" s="244"/>
      <c r="AZ289" s="232" t="s">
        <v>139</v>
      </c>
      <c r="BA289" s="233"/>
      <c r="BB289" s="233"/>
      <c r="BC289" s="233"/>
      <c r="BD289" s="244"/>
      <c r="BE289" s="277"/>
      <c r="BF289" s="233">
        <f>COUNTA('All Details for ACID Pastor'!$T289:$AB289)</f>
        <v>1</v>
      </c>
      <c r="BG289" s="249"/>
      <c r="BH289" s="249"/>
      <c r="BI289" s="249"/>
      <c r="BJ289" s="249"/>
      <c r="BK289" s="249"/>
      <c r="BL289" s="249"/>
      <c r="BM289" s="249"/>
      <c r="BN289" s="249"/>
      <c r="BO289" s="249"/>
      <c r="BP289" s="249"/>
      <c r="BQ289" s="249"/>
      <c r="BR289" s="249"/>
      <c r="BS289" s="249"/>
      <c r="BT289" s="249"/>
      <c r="BU289" s="249"/>
      <c r="BV289" s="249"/>
    </row>
    <row r="290" spans="1:74" ht="70.150000000000006" customHeight="1">
      <c r="A290" s="107">
        <v>291</v>
      </c>
      <c r="B290" s="124" t="s">
        <v>1792</v>
      </c>
      <c r="C290" s="90" t="s">
        <v>1793</v>
      </c>
      <c r="D290" s="95" t="s">
        <v>53</v>
      </c>
      <c r="E290" s="95" t="s">
        <v>54</v>
      </c>
      <c r="F290" s="95"/>
      <c r="G290" s="95"/>
      <c r="H290" s="95"/>
      <c r="I290" s="95"/>
      <c r="J290" s="115" t="s">
        <v>1794</v>
      </c>
      <c r="K290" s="193" t="s">
        <v>1795</v>
      </c>
      <c r="L290" s="121"/>
      <c r="M290" s="172"/>
      <c r="N290" s="93" t="s">
        <v>1796</v>
      </c>
      <c r="O290" s="92" t="s">
        <v>1797</v>
      </c>
      <c r="P290" s="88" t="s">
        <v>47</v>
      </c>
      <c r="Q290" s="88" t="s">
        <v>48</v>
      </c>
      <c r="R290" s="86">
        <v>8760055757</v>
      </c>
      <c r="S290" s="88" t="s">
        <v>1606</v>
      </c>
      <c r="T290" s="94"/>
      <c r="U290" s="140"/>
      <c r="V290" s="125" t="s">
        <v>1699</v>
      </c>
      <c r="W290" s="140"/>
      <c r="X290" s="140"/>
      <c r="Y290" s="141"/>
      <c r="Z290" s="131"/>
      <c r="AA290" s="131"/>
      <c r="AB290" s="131"/>
      <c r="AC290" s="131"/>
      <c r="AD290" s="127"/>
      <c r="AE290" s="244"/>
      <c r="AF290" s="121"/>
      <c r="AG290" s="121"/>
      <c r="AH290" s="121"/>
      <c r="AI290" s="121"/>
      <c r="AJ290" s="121">
        <f>COUNTA('All Details for ACID Pastor'!$V290:$AB290)</f>
        <v>1</v>
      </c>
      <c r="AK290" s="121"/>
      <c r="AL290" s="121"/>
      <c r="AM290" s="121"/>
      <c r="AN290" s="121"/>
      <c r="AO290" s="121"/>
      <c r="AP290" s="121"/>
      <c r="AQ290" s="121"/>
      <c r="AR290" s="121"/>
      <c r="AS290" s="121"/>
      <c r="AT290" s="121"/>
      <c r="AU290" s="121"/>
      <c r="AV290" s="121"/>
      <c r="AW290" s="163"/>
      <c r="AX290" s="163"/>
      <c r="AZ290" s="121" t="s">
        <v>139</v>
      </c>
      <c r="BA290" s="163"/>
      <c r="BB290" s="163"/>
      <c r="BC290" s="163"/>
      <c r="BF290" s="163">
        <f>COUNTA('All Details for ACID Pastor'!$T290:$AB290)</f>
        <v>1</v>
      </c>
    </row>
    <row r="291" spans="1:74" s="174" customFormat="1" ht="70.150000000000006" customHeight="1">
      <c r="A291" s="103">
        <v>292</v>
      </c>
      <c r="B291" s="132" t="s">
        <v>1798</v>
      </c>
      <c r="C291" s="101" t="s">
        <v>1799</v>
      </c>
      <c r="D291" s="102" t="s">
        <v>53</v>
      </c>
      <c r="E291" s="102" t="s">
        <v>54</v>
      </c>
      <c r="F291" s="95"/>
      <c r="G291" s="95"/>
      <c r="H291" s="95"/>
      <c r="I291" s="95"/>
      <c r="J291" s="133" t="s">
        <v>1140</v>
      </c>
      <c r="K291" s="256" t="s">
        <v>1800</v>
      </c>
      <c r="L291" s="232" t="s">
        <v>4209</v>
      </c>
      <c r="M291" s="171" t="s">
        <v>1801</v>
      </c>
      <c r="N291" s="104" t="s">
        <v>1802</v>
      </c>
      <c r="O291" s="105" t="s">
        <v>1803</v>
      </c>
      <c r="P291" s="106" t="s">
        <v>1102</v>
      </c>
      <c r="Q291" s="106" t="s">
        <v>48</v>
      </c>
      <c r="R291" s="134">
        <v>9442285997</v>
      </c>
      <c r="S291" s="106" t="s">
        <v>1606</v>
      </c>
      <c r="T291" s="135"/>
      <c r="U291" s="176"/>
      <c r="V291" s="176"/>
      <c r="W291" s="176"/>
      <c r="X291" s="176"/>
      <c r="Y291" s="145"/>
      <c r="Z291" s="136"/>
      <c r="AA291" s="136"/>
      <c r="AB291" s="136"/>
      <c r="AC291" s="136"/>
      <c r="AD291" s="222"/>
      <c r="AE291" s="244"/>
      <c r="AF291" s="232"/>
      <c r="AG291" s="232"/>
      <c r="AH291" s="232"/>
      <c r="AI291" s="232"/>
      <c r="AJ291" s="232">
        <f>COUNTA('All Details for ACID Pastor'!$V291:$AB291)</f>
        <v>0</v>
      </c>
      <c r="AK291" s="232"/>
      <c r="AL291" s="232"/>
      <c r="AM291" s="232"/>
      <c r="AN291" s="232"/>
      <c r="AO291" s="232"/>
      <c r="AP291" s="232"/>
      <c r="AQ291" s="232"/>
      <c r="AR291" s="232"/>
      <c r="AS291" s="232"/>
      <c r="AT291" s="232"/>
      <c r="AU291" s="232"/>
      <c r="AV291" s="232"/>
      <c r="AW291" s="233"/>
      <c r="AX291" s="233"/>
      <c r="AY291" s="244"/>
      <c r="AZ291" s="232" t="s">
        <v>139</v>
      </c>
      <c r="BA291" s="233"/>
      <c r="BB291" s="233"/>
      <c r="BC291" s="233"/>
      <c r="BD291" s="244"/>
      <c r="BE291" s="277"/>
      <c r="BF291" s="233">
        <f>COUNTA('All Details for ACID Pastor'!$T291:$AB291)</f>
        <v>0</v>
      </c>
      <c r="BG291" s="249"/>
      <c r="BH291" s="249"/>
      <c r="BI291" s="249"/>
      <c r="BJ291" s="249"/>
      <c r="BK291" s="249"/>
      <c r="BL291" s="249"/>
      <c r="BM291" s="249"/>
      <c r="BN291" s="249"/>
      <c r="BO291" s="249"/>
      <c r="BP291" s="249"/>
      <c r="BQ291" s="249"/>
      <c r="BR291" s="249"/>
      <c r="BS291" s="249"/>
      <c r="BT291" s="249"/>
      <c r="BU291" s="249"/>
      <c r="BV291" s="249"/>
    </row>
    <row r="292" spans="1:74" s="174" customFormat="1" ht="70.150000000000006" customHeight="1">
      <c r="A292" s="103">
        <v>293</v>
      </c>
      <c r="B292" s="132" t="s">
        <v>1804</v>
      </c>
      <c r="C292" s="101" t="s">
        <v>1805</v>
      </c>
      <c r="D292" s="102" t="s">
        <v>53</v>
      </c>
      <c r="E292" s="102" t="s">
        <v>54</v>
      </c>
      <c r="F292" s="95"/>
      <c r="G292" s="95"/>
      <c r="H292" s="95"/>
      <c r="I292" s="95"/>
      <c r="J292" s="133" t="s">
        <v>1140</v>
      </c>
      <c r="K292" s="256" t="s">
        <v>1806</v>
      </c>
      <c r="L292" s="232" t="s">
        <v>4209</v>
      </c>
      <c r="M292" s="171" t="s">
        <v>1807</v>
      </c>
      <c r="N292" s="104" t="s">
        <v>1808</v>
      </c>
      <c r="O292" s="105" t="s">
        <v>1809</v>
      </c>
      <c r="P292" s="106" t="s">
        <v>1102</v>
      </c>
      <c r="Q292" s="106" t="s">
        <v>48</v>
      </c>
      <c r="R292" s="134">
        <v>8438450508</v>
      </c>
      <c r="S292" s="106" t="s">
        <v>1606</v>
      </c>
      <c r="T292" s="135"/>
      <c r="U292" s="176"/>
      <c r="V292" s="176"/>
      <c r="W292" s="176"/>
      <c r="X292" s="176"/>
      <c r="Y292" s="145"/>
      <c r="Z292" s="136"/>
      <c r="AA292" s="136"/>
      <c r="AB292" s="136"/>
      <c r="AC292" s="136"/>
      <c r="AD292" s="222"/>
      <c r="AE292" s="240"/>
      <c r="AF292" s="232"/>
      <c r="AG292" s="232"/>
      <c r="AH292" s="232"/>
      <c r="AI292" s="232"/>
      <c r="AJ292" s="232">
        <f>COUNTA('All Details for ACID Pastor'!$V292:$AB292)</f>
        <v>0</v>
      </c>
      <c r="AK292" s="232"/>
      <c r="AL292" s="232"/>
      <c r="AM292" s="232" t="s">
        <v>4210</v>
      </c>
      <c r="AN292" s="232"/>
      <c r="AO292" s="232"/>
      <c r="AP292" s="232"/>
      <c r="AQ292" s="232"/>
      <c r="AR292" s="232"/>
      <c r="AS292" s="232"/>
      <c r="AT292" s="232"/>
      <c r="AU292" s="232"/>
      <c r="AV292" s="232"/>
      <c r="AW292" s="233"/>
      <c r="AX292" s="233"/>
      <c r="AY292" s="244"/>
      <c r="AZ292" s="232" t="s">
        <v>139</v>
      </c>
      <c r="BA292" s="233"/>
      <c r="BB292" s="233"/>
      <c r="BC292" s="233"/>
      <c r="BD292" s="244"/>
      <c r="BE292" s="277"/>
      <c r="BF292" s="233">
        <f>COUNTA('All Details for ACID Pastor'!$T292:$AB292)</f>
        <v>0</v>
      </c>
      <c r="BG292" s="249"/>
      <c r="BH292" s="249"/>
      <c r="BI292" s="249"/>
      <c r="BJ292" s="249"/>
      <c r="BK292" s="249"/>
      <c r="BL292" s="249"/>
      <c r="BM292" s="249"/>
      <c r="BN292" s="249"/>
      <c r="BO292" s="249"/>
      <c r="BP292" s="249"/>
      <c r="BQ292" s="249"/>
      <c r="BR292" s="249"/>
      <c r="BS292" s="249"/>
      <c r="BT292" s="249"/>
      <c r="BU292" s="249"/>
      <c r="BV292" s="249"/>
    </row>
    <row r="293" spans="1:74" ht="70.150000000000006" customHeight="1">
      <c r="A293" s="107">
        <v>294</v>
      </c>
      <c r="B293" s="124" t="s">
        <v>1810</v>
      </c>
      <c r="C293" s="90" t="s">
        <v>1811</v>
      </c>
      <c r="D293" s="95" t="s">
        <v>53</v>
      </c>
      <c r="E293" s="95" t="s">
        <v>54</v>
      </c>
      <c r="F293" s="95"/>
      <c r="G293" s="95"/>
      <c r="H293" s="95"/>
      <c r="I293" s="95"/>
      <c r="J293" s="115" t="s">
        <v>1140</v>
      </c>
      <c r="K293" s="193" t="s">
        <v>1812</v>
      </c>
      <c r="L293" s="121"/>
      <c r="M293" s="172" t="s">
        <v>1813</v>
      </c>
      <c r="N293" s="93" t="s">
        <v>1814</v>
      </c>
      <c r="O293" s="92" t="s">
        <v>1809</v>
      </c>
      <c r="P293" s="88" t="s">
        <v>1509</v>
      </c>
      <c r="Q293" s="88" t="s">
        <v>48</v>
      </c>
      <c r="R293" s="86">
        <v>9865025372</v>
      </c>
      <c r="S293" s="88" t="s">
        <v>1606</v>
      </c>
      <c r="T293" s="94"/>
      <c r="U293" s="140"/>
      <c r="V293" s="140"/>
      <c r="W293" s="140"/>
      <c r="X293" s="140"/>
      <c r="Y293" s="141"/>
      <c r="Z293" s="131"/>
      <c r="AA293" s="131"/>
      <c r="AB293" s="131"/>
      <c r="AC293" s="131"/>
      <c r="AD293" s="127"/>
      <c r="AF293" s="121"/>
      <c r="AG293" s="121"/>
      <c r="AH293" s="121"/>
      <c r="AI293" s="121"/>
      <c r="AJ293" s="121">
        <f>COUNTA('All Details for ACID Pastor'!$V293:$AB293)</f>
        <v>0</v>
      </c>
      <c r="AK293" s="121"/>
      <c r="AL293" s="121"/>
      <c r="AM293" s="121"/>
      <c r="AN293" s="121"/>
      <c r="AO293" s="121"/>
      <c r="AP293" s="121"/>
      <c r="AQ293" s="121"/>
      <c r="AR293" s="121"/>
      <c r="AS293" s="121"/>
      <c r="AT293" s="121"/>
      <c r="AU293" s="121"/>
      <c r="AV293" s="121"/>
      <c r="AW293" s="163"/>
      <c r="AX293" s="163"/>
      <c r="AZ293" s="121" t="s">
        <v>139</v>
      </c>
      <c r="BA293" s="163"/>
      <c r="BB293" s="163"/>
      <c r="BC293" s="163"/>
      <c r="BF293" s="163">
        <f>COUNTA('All Details for ACID Pastor'!$T293:$AB293)</f>
        <v>0</v>
      </c>
    </row>
    <row r="294" spans="1:74" ht="70.150000000000006" customHeight="1">
      <c r="A294" s="107">
        <v>295</v>
      </c>
      <c r="B294" s="124" t="s">
        <v>1815</v>
      </c>
      <c r="C294" s="90" t="s">
        <v>1816</v>
      </c>
      <c r="D294" s="95" t="s">
        <v>53</v>
      </c>
      <c r="E294" s="95" t="s">
        <v>54</v>
      </c>
      <c r="F294" s="95"/>
      <c r="G294" s="95"/>
      <c r="H294" s="95"/>
      <c r="I294" s="95"/>
      <c r="J294" s="115" t="s">
        <v>1140</v>
      </c>
      <c r="K294" s="193" t="s">
        <v>1817</v>
      </c>
      <c r="L294" s="121"/>
      <c r="M294" s="172"/>
      <c r="N294" s="93" t="s">
        <v>1818</v>
      </c>
      <c r="O294" s="92" t="s">
        <v>1809</v>
      </c>
      <c r="P294" s="88" t="s">
        <v>1509</v>
      </c>
      <c r="Q294" s="88" t="s">
        <v>48</v>
      </c>
      <c r="R294" s="86">
        <v>9655127071</v>
      </c>
      <c r="S294" s="88" t="s">
        <v>1606</v>
      </c>
      <c r="T294" s="94"/>
      <c r="U294" s="140"/>
      <c r="V294" s="140"/>
      <c r="W294" s="140"/>
      <c r="X294" s="140"/>
      <c r="Y294" s="141"/>
      <c r="Z294" s="131"/>
      <c r="AA294" s="131"/>
      <c r="AB294" s="131"/>
      <c r="AC294" s="131"/>
      <c r="AD294" s="127"/>
      <c r="AF294" s="121"/>
      <c r="AG294" s="121"/>
      <c r="AH294" s="121"/>
      <c r="AI294" s="121"/>
      <c r="AJ294" s="121">
        <f>COUNTA('All Details for ACID Pastor'!$V294:$AB294)</f>
        <v>0</v>
      </c>
      <c r="AK294" s="121"/>
      <c r="AL294" s="121"/>
      <c r="AM294" s="121"/>
      <c r="AN294" s="121"/>
      <c r="AO294" s="121"/>
      <c r="AP294" s="121"/>
      <c r="AQ294" s="121"/>
      <c r="AR294" s="121"/>
      <c r="AS294" s="121"/>
      <c r="AT294" s="121"/>
      <c r="AU294" s="121"/>
      <c r="AV294" s="121"/>
      <c r="AW294" s="163"/>
      <c r="AX294" s="163"/>
      <c r="AZ294" s="121" t="s">
        <v>139</v>
      </c>
      <c r="BA294" s="163"/>
      <c r="BB294" s="163"/>
      <c r="BC294" s="163"/>
      <c r="BF294" s="163">
        <f>COUNTA('All Details for ACID Pastor'!$T294:$AB294)</f>
        <v>0</v>
      </c>
    </row>
    <row r="295" spans="1:74" ht="70.150000000000006" customHeight="1">
      <c r="A295" s="107">
        <v>296</v>
      </c>
      <c r="B295" s="124" t="s">
        <v>1819</v>
      </c>
      <c r="C295" s="90" t="s">
        <v>1820</v>
      </c>
      <c r="D295" s="95" t="s">
        <v>53</v>
      </c>
      <c r="E295" s="95" t="s">
        <v>54</v>
      </c>
      <c r="F295" s="95"/>
      <c r="G295" s="95"/>
      <c r="H295" s="95"/>
      <c r="I295" s="95"/>
      <c r="J295" s="115" t="s">
        <v>1140</v>
      </c>
      <c r="K295" s="193" t="s">
        <v>1821</v>
      </c>
      <c r="L295" s="121"/>
      <c r="M295" s="172"/>
      <c r="N295" s="93" t="s">
        <v>1818</v>
      </c>
      <c r="O295" s="92" t="s">
        <v>1809</v>
      </c>
      <c r="P295" s="88" t="s">
        <v>1509</v>
      </c>
      <c r="Q295" s="88" t="s">
        <v>48</v>
      </c>
      <c r="R295" s="86">
        <v>9786872850</v>
      </c>
      <c r="S295" s="88" t="s">
        <v>1606</v>
      </c>
      <c r="T295" s="94"/>
      <c r="U295" s="140"/>
      <c r="V295" s="140"/>
      <c r="W295" s="140"/>
      <c r="X295" s="140"/>
      <c r="Y295" s="141"/>
      <c r="Z295" s="131"/>
      <c r="AA295" s="131"/>
      <c r="AB295" s="131"/>
      <c r="AC295" s="131"/>
      <c r="AD295" s="127"/>
      <c r="AF295" s="121"/>
      <c r="AG295" s="121"/>
      <c r="AH295" s="121"/>
      <c r="AI295" s="121"/>
      <c r="AJ295" s="121">
        <f>COUNTA('All Details for ACID Pastor'!$V295:$AB295)</f>
        <v>0</v>
      </c>
      <c r="AK295" s="121"/>
      <c r="AL295" s="121"/>
      <c r="AM295" s="121"/>
      <c r="AN295" s="121"/>
      <c r="AO295" s="121"/>
      <c r="AP295" s="121"/>
      <c r="AQ295" s="121"/>
      <c r="AR295" s="121"/>
      <c r="AS295" s="121"/>
      <c r="AT295" s="121"/>
      <c r="AU295" s="121"/>
      <c r="AV295" s="121"/>
      <c r="AW295" s="163"/>
      <c r="AX295" s="163"/>
      <c r="AZ295" s="121" t="s">
        <v>139</v>
      </c>
      <c r="BA295" s="163"/>
      <c r="BB295" s="163"/>
      <c r="BC295" s="163"/>
      <c r="BF295" s="163">
        <f>COUNTA('All Details for ACID Pastor'!$T295:$AB295)</f>
        <v>0</v>
      </c>
    </row>
    <row r="296" spans="1:74" ht="70.150000000000006" customHeight="1">
      <c r="A296" s="107">
        <v>297</v>
      </c>
      <c r="B296" s="124" t="s">
        <v>1822</v>
      </c>
      <c r="C296" s="90" t="s">
        <v>1823</v>
      </c>
      <c r="D296" s="95" t="s">
        <v>53</v>
      </c>
      <c r="E296" s="95" t="s">
        <v>54</v>
      </c>
      <c r="F296" s="95"/>
      <c r="G296" s="95"/>
      <c r="H296" s="95"/>
      <c r="I296" s="95"/>
      <c r="J296" s="115" t="s">
        <v>922</v>
      </c>
      <c r="K296" s="193" t="s">
        <v>1824</v>
      </c>
      <c r="L296" s="121"/>
      <c r="M296" s="172" t="s">
        <v>1825</v>
      </c>
      <c r="N296" s="93" t="s">
        <v>1826</v>
      </c>
      <c r="O296" s="92" t="s">
        <v>1827</v>
      </c>
      <c r="P296" s="88" t="s">
        <v>626</v>
      </c>
      <c r="Q296" s="88" t="s">
        <v>626</v>
      </c>
      <c r="R296" s="86">
        <v>9659375123</v>
      </c>
      <c r="S296" s="88" t="s">
        <v>1606</v>
      </c>
      <c r="T296" s="94"/>
      <c r="U296" s="140"/>
      <c r="V296" s="125" t="s">
        <v>874</v>
      </c>
      <c r="W296" s="140"/>
      <c r="X296" s="140"/>
      <c r="Y296" s="141"/>
      <c r="Z296" s="131"/>
      <c r="AA296" s="131"/>
      <c r="AB296" s="131"/>
      <c r="AC296" s="131"/>
      <c r="AD296" s="127"/>
      <c r="AE296" s="244"/>
      <c r="AF296" s="121"/>
      <c r="AG296" s="121"/>
      <c r="AH296" s="121"/>
      <c r="AI296" s="121"/>
      <c r="AJ296" s="121">
        <f>COUNTA('All Details for ACID Pastor'!$V296:$AB296)</f>
        <v>1</v>
      </c>
      <c r="AK296" s="121"/>
      <c r="AL296" s="121"/>
      <c r="AM296" s="121"/>
      <c r="AN296" s="121"/>
      <c r="AO296" s="121"/>
      <c r="AP296" s="121"/>
      <c r="AQ296" s="121"/>
      <c r="AR296" s="121"/>
      <c r="AS296" s="121"/>
      <c r="AT296" s="121"/>
      <c r="AU296" s="121"/>
      <c r="AV296" s="121"/>
      <c r="AW296" s="163"/>
      <c r="AX296" s="163"/>
      <c r="AZ296" s="121" t="s">
        <v>139</v>
      </c>
      <c r="BA296" s="163"/>
      <c r="BB296" s="163"/>
      <c r="BC296" s="163"/>
      <c r="BF296" s="163">
        <f>COUNTA('All Details for ACID Pastor'!$T296:$AB296)</f>
        <v>1</v>
      </c>
    </row>
    <row r="297" spans="1:74" s="174" customFormat="1" ht="70.150000000000006" customHeight="1">
      <c r="A297" s="103">
        <v>298</v>
      </c>
      <c r="B297" s="132" t="s">
        <v>1828</v>
      </c>
      <c r="C297" s="101" t="s">
        <v>1829</v>
      </c>
      <c r="D297" s="102" t="s">
        <v>53</v>
      </c>
      <c r="E297" s="102" t="s">
        <v>54</v>
      </c>
      <c r="F297" s="95"/>
      <c r="G297" s="95"/>
      <c r="H297" s="95"/>
      <c r="I297" s="95"/>
      <c r="J297" s="133" t="s">
        <v>526</v>
      </c>
      <c r="K297" s="256" t="s">
        <v>1830</v>
      </c>
      <c r="L297" s="232" t="s">
        <v>4209</v>
      </c>
      <c r="M297" s="171"/>
      <c r="N297" s="104" t="s">
        <v>1831</v>
      </c>
      <c r="O297" s="105" t="s">
        <v>1832</v>
      </c>
      <c r="P297" s="106" t="s">
        <v>642</v>
      </c>
      <c r="Q297" s="106" t="s">
        <v>517</v>
      </c>
      <c r="R297" s="134">
        <v>9846072797</v>
      </c>
      <c r="S297" s="106" t="s">
        <v>1606</v>
      </c>
      <c r="T297" s="135"/>
      <c r="U297" s="176"/>
      <c r="V297" s="176"/>
      <c r="W297" s="176"/>
      <c r="X297" s="176"/>
      <c r="Y297" s="145"/>
      <c r="Z297" s="136"/>
      <c r="AA297" s="136"/>
      <c r="AB297" s="136"/>
      <c r="AC297" s="136"/>
      <c r="AD297" s="222"/>
      <c r="AE297" s="240"/>
      <c r="AF297" s="232"/>
      <c r="AG297" s="232"/>
      <c r="AH297" s="232"/>
      <c r="AI297" s="232"/>
      <c r="AJ297" s="232">
        <f>COUNTA('All Details for ACID Pastor'!$V297:$AB297)</f>
        <v>0</v>
      </c>
      <c r="AK297" s="232"/>
      <c r="AL297" s="232"/>
      <c r="AM297" s="232"/>
      <c r="AN297" s="232"/>
      <c r="AO297" s="232"/>
      <c r="AP297" s="232"/>
      <c r="AQ297" s="232"/>
      <c r="AR297" s="232"/>
      <c r="AS297" s="232"/>
      <c r="AT297" s="232"/>
      <c r="AU297" s="232"/>
      <c r="AV297" s="232"/>
      <c r="AW297" s="233"/>
      <c r="AX297" s="233"/>
      <c r="AY297" s="244"/>
      <c r="AZ297" s="232" t="s">
        <v>139</v>
      </c>
      <c r="BA297" s="233"/>
      <c r="BB297" s="233"/>
      <c r="BC297" s="233"/>
      <c r="BD297" s="244"/>
      <c r="BE297" s="277"/>
      <c r="BF297" s="233">
        <f>COUNTA('All Details for ACID Pastor'!$T297:$AB297)</f>
        <v>0</v>
      </c>
      <c r="BG297" s="249"/>
      <c r="BH297" s="249"/>
      <c r="BI297" s="249"/>
      <c r="BJ297" s="249"/>
      <c r="BK297" s="249"/>
      <c r="BL297" s="249"/>
      <c r="BM297" s="249"/>
      <c r="BN297" s="249"/>
      <c r="BO297" s="249"/>
      <c r="BP297" s="249"/>
      <c r="BQ297" s="249"/>
      <c r="BR297" s="249"/>
      <c r="BS297" s="249"/>
      <c r="BT297" s="249"/>
      <c r="BU297" s="249"/>
      <c r="BV297" s="249"/>
    </row>
    <row r="298" spans="1:74" ht="70.150000000000006" customHeight="1">
      <c r="A298" s="107">
        <v>299</v>
      </c>
      <c r="B298" s="124" t="s">
        <v>1833</v>
      </c>
      <c r="C298" s="90" t="s">
        <v>1834</v>
      </c>
      <c r="D298" s="95" t="s">
        <v>53</v>
      </c>
      <c r="E298" s="95" t="s">
        <v>54</v>
      </c>
      <c r="F298" s="95"/>
      <c r="G298" s="95"/>
      <c r="H298" s="95"/>
      <c r="I298" s="95"/>
      <c r="J298" s="115" t="s">
        <v>1140</v>
      </c>
      <c r="K298" s="193" t="s">
        <v>1835</v>
      </c>
      <c r="L298" s="121"/>
      <c r="M298" s="172"/>
      <c r="N298" s="93" t="s">
        <v>1836</v>
      </c>
      <c r="O298" s="92" t="s">
        <v>1837</v>
      </c>
      <c r="P298" s="88" t="s">
        <v>786</v>
      </c>
      <c r="Q298" s="88" t="s">
        <v>48</v>
      </c>
      <c r="R298" s="86">
        <v>7667632660</v>
      </c>
      <c r="S298" s="88" t="s">
        <v>1606</v>
      </c>
      <c r="T298" s="94"/>
      <c r="U298" s="140"/>
      <c r="V298" s="140"/>
      <c r="W298" s="140"/>
      <c r="X298" s="140"/>
      <c r="Y298" s="141"/>
      <c r="Z298" s="131"/>
      <c r="AA298" s="131"/>
      <c r="AB298" s="131"/>
      <c r="AC298" s="131"/>
      <c r="AD298" s="127"/>
      <c r="AF298" s="121"/>
      <c r="AG298" s="121"/>
      <c r="AH298" s="121"/>
      <c r="AI298" s="121"/>
      <c r="AJ298" s="121">
        <f>COUNTA('All Details for ACID Pastor'!$V298:$AB298)</f>
        <v>0</v>
      </c>
      <c r="AK298" s="121"/>
      <c r="AL298" s="121"/>
      <c r="AM298" s="121"/>
      <c r="AN298" s="121"/>
      <c r="AO298" s="121"/>
      <c r="AP298" s="121"/>
      <c r="AQ298" s="121"/>
      <c r="AR298" s="121"/>
      <c r="AS298" s="121"/>
      <c r="AT298" s="121"/>
      <c r="AU298" s="121"/>
      <c r="AV298" s="121"/>
      <c r="AW298" s="163"/>
      <c r="AX298" s="163"/>
      <c r="AZ298" s="121" t="s">
        <v>139</v>
      </c>
      <c r="BA298" s="163"/>
      <c r="BB298" s="163"/>
      <c r="BC298" s="163"/>
      <c r="BF298" s="163">
        <f>COUNTA('All Details for ACID Pastor'!$T298:$AB298)</f>
        <v>0</v>
      </c>
    </row>
    <row r="299" spans="1:74" ht="70.150000000000006" customHeight="1">
      <c r="A299" s="107">
        <v>300</v>
      </c>
      <c r="B299" s="124" t="s">
        <v>1838</v>
      </c>
      <c r="C299" s="90" t="s">
        <v>1839</v>
      </c>
      <c r="D299" s="95" t="s">
        <v>53</v>
      </c>
      <c r="E299" s="95" t="s">
        <v>54</v>
      </c>
      <c r="F299" s="95"/>
      <c r="G299" s="95"/>
      <c r="H299" s="95"/>
      <c r="I299" s="95"/>
      <c r="J299" s="115" t="s">
        <v>1140</v>
      </c>
      <c r="K299" s="193" t="s">
        <v>1840</v>
      </c>
      <c r="L299" s="121" t="s">
        <v>4209</v>
      </c>
      <c r="M299" s="172"/>
      <c r="N299" s="93" t="s">
        <v>1841</v>
      </c>
      <c r="O299" s="92" t="s">
        <v>1842</v>
      </c>
      <c r="P299" s="88" t="s">
        <v>1102</v>
      </c>
      <c r="Q299" s="88" t="s">
        <v>48</v>
      </c>
      <c r="R299" s="86">
        <v>9442133650</v>
      </c>
      <c r="S299" s="88" t="s">
        <v>1606</v>
      </c>
      <c r="T299" s="94"/>
      <c r="U299" s="140"/>
      <c r="V299" s="125" t="s">
        <v>1843</v>
      </c>
      <c r="W299" s="125" t="s">
        <v>78</v>
      </c>
      <c r="X299" s="125" t="s">
        <v>78</v>
      </c>
      <c r="Y299" s="126" t="s">
        <v>110</v>
      </c>
      <c r="Z299" s="127" t="s">
        <v>1236</v>
      </c>
      <c r="AA299" s="127" t="s">
        <v>1236</v>
      </c>
      <c r="AB299" s="127" t="s">
        <v>1236</v>
      </c>
      <c r="AC299" s="127" t="s">
        <v>1236</v>
      </c>
      <c r="AD299" s="127"/>
      <c r="AF299" s="121"/>
      <c r="AG299" s="121"/>
      <c r="AH299" s="121"/>
      <c r="AI299" s="121"/>
      <c r="AJ299" s="121">
        <f>COUNTA('All Details for ACID Pastor'!$V299:$AB299)</f>
        <v>7</v>
      </c>
      <c r="AK299" s="121"/>
      <c r="AL299" s="121"/>
      <c r="AM299" s="121"/>
      <c r="AN299" s="121"/>
      <c r="AO299" s="121"/>
      <c r="AP299" s="121"/>
      <c r="AQ299" s="121"/>
      <c r="AR299" s="121"/>
      <c r="AS299" s="121"/>
      <c r="AT299" s="121"/>
      <c r="AU299" s="121"/>
      <c r="AV299" s="121"/>
      <c r="AW299" s="163"/>
      <c r="AX299" s="163"/>
      <c r="AZ299" s="121" t="s">
        <v>49</v>
      </c>
      <c r="BA299" s="163"/>
      <c r="BB299" s="163"/>
      <c r="BC299" s="163"/>
      <c r="BF299" s="163">
        <v>11</v>
      </c>
    </row>
    <row r="300" spans="1:74" ht="70.150000000000006" customHeight="1">
      <c r="A300" s="107">
        <v>301</v>
      </c>
      <c r="B300" s="124" t="s">
        <v>1844</v>
      </c>
      <c r="C300" s="90" t="s">
        <v>1845</v>
      </c>
      <c r="D300" s="95" t="s">
        <v>53</v>
      </c>
      <c r="E300" s="95" t="s">
        <v>54</v>
      </c>
      <c r="F300" s="95"/>
      <c r="G300" s="95"/>
      <c r="H300" s="95"/>
      <c r="I300" s="95"/>
      <c r="J300" s="115" t="s">
        <v>1140</v>
      </c>
      <c r="K300" s="193" t="s">
        <v>1846</v>
      </c>
      <c r="L300" s="121"/>
      <c r="M300" s="172"/>
      <c r="N300" s="93" t="s">
        <v>1847</v>
      </c>
      <c r="O300" s="92" t="s">
        <v>1848</v>
      </c>
      <c r="P300" s="88" t="s">
        <v>166</v>
      </c>
      <c r="Q300" s="88" t="s">
        <v>48</v>
      </c>
      <c r="R300" s="86">
        <v>9842020408</v>
      </c>
      <c r="S300" s="88" t="s">
        <v>1606</v>
      </c>
      <c r="T300" s="94"/>
      <c r="U300" s="140"/>
      <c r="V300" s="140"/>
      <c r="W300" s="140"/>
      <c r="X300" s="140"/>
      <c r="Y300" s="141"/>
      <c r="Z300" s="131"/>
      <c r="AA300" s="131"/>
      <c r="AB300" s="131"/>
      <c r="AC300" s="131"/>
      <c r="AD300" s="127"/>
      <c r="AF300" s="121"/>
      <c r="AG300" s="121"/>
      <c r="AH300" s="121"/>
      <c r="AI300" s="121"/>
      <c r="AJ300" s="121">
        <f>COUNTA('All Details for ACID Pastor'!$V300:$AB300)</f>
        <v>0</v>
      </c>
      <c r="AK300" s="121"/>
      <c r="AL300" s="121"/>
      <c r="AM300" s="121"/>
      <c r="AN300" s="121"/>
      <c r="AO300" s="121"/>
      <c r="AP300" s="121"/>
      <c r="AQ300" s="121"/>
      <c r="AR300" s="121"/>
      <c r="AS300" s="121"/>
      <c r="AT300" s="121"/>
      <c r="AU300" s="121"/>
      <c r="AV300" s="121"/>
      <c r="AW300" s="163"/>
      <c r="AX300" s="163"/>
      <c r="AZ300" s="121" t="s">
        <v>139</v>
      </c>
      <c r="BA300" s="163"/>
      <c r="BB300" s="163"/>
      <c r="BC300" s="163"/>
      <c r="BF300" s="163">
        <f>COUNTA('All Details for ACID Pastor'!$T300:$AB300)</f>
        <v>0</v>
      </c>
    </row>
    <row r="301" spans="1:74" ht="70.150000000000006" customHeight="1">
      <c r="A301" s="107">
        <v>302</v>
      </c>
      <c r="B301" s="124" t="s">
        <v>1849</v>
      </c>
      <c r="C301" s="90" t="s">
        <v>1850</v>
      </c>
      <c r="D301" s="95" t="s">
        <v>53</v>
      </c>
      <c r="E301" s="95" t="s">
        <v>142</v>
      </c>
      <c r="F301" s="95"/>
      <c r="G301" s="95"/>
      <c r="H301" s="95"/>
      <c r="I301" s="95"/>
      <c r="J301" s="115" t="s">
        <v>103</v>
      </c>
      <c r="K301" s="193" t="s">
        <v>1851</v>
      </c>
      <c r="L301" s="121"/>
      <c r="M301" s="172" t="s">
        <v>1852</v>
      </c>
      <c r="N301" s="93" t="s">
        <v>1853</v>
      </c>
      <c r="O301" s="92" t="s">
        <v>1854</v>
      </c>
      <c r="P301" s="88" t="s">
        <v>1855</v>
      </c>
      <c r="Q301" s="88" t="s">
        <v>517</v>
      </c>
      <c r="R301" s="86">
        <v>9946300369</v>
      </c>
      <c r="S301" s="88" t="s">
        <v>1606</v>
      </c>
      <c r="T301" s="94"/>
      <c r="U301" s="140"/>
      <c r="V301" s="125" t="s">
        <v>295</v>
      </c>
      <c r="W301" s="140"/>
      <c r="X301" s="140"/>
      <c r="Y301" s="141"/>
      <c r="Z301" s="131"/>
      <c r="AA301" s="131"/>
      <c r="AB301" s="131"/>
      <c r="AC301" s="131"/>
      <c r="AD301" s="127"/>
      <c r="AE301" s="244"/>
      <c r="AF301" s="121"/>
      <c r="AG301" s="121"/>
      <c r="AH301" s="121"/>
      <c r="AI301" s="121"/>
      <c r="AJ301" s="121">
        <f>COUNTA('All Details for ACID Pastor'!$V301:$AB301)</f>
        <v>1</v>
      </c>
      <c r="AK301" s="121"/>
      <c r="AL301" s="121"/>
      <c r="AM301" s="121"/>
      <c r="AN301" s="121"/>
      <c r="AO301" s="121"/>
      <c r="AP301" s="121"/>
      <c r="AQ301" s="121"/>
      <c r="AR301" s="121"/>
      <c r="AS301" s="121"/>
      <c r="AT301" s="121"/>
      <c r="AU301" s="121"/>
      <c r="AV301" s="121"/>
      <c r="AW301" s="163"/>
      <c r="AX301" s="163"/>
      <c r="AZ301" s="121" t="s">
        <v>139</v>
      </c>
      <c r="BA301" s="163"/>
      <c r="BB301" s="163"/>
      <c r="BC301" s="163"/>
      <c r="BF301" s="163">
        <f>COUNTA('All Details for ACID Pastor'!$T301:$AB301)</f>
        <v>1</v>
      </c>
    </row>
    <row r="302" spans="1:74" s="174" customFormat="1" ht="70.150000000000006" customHeight="1">
      <c r="A302" s="103">
        <v>303</v>
      </c>
      <c r="B302" s="132" t="s">
        <v>1856</v>
      </c>
      <c r="C302" s="101" t="s">
        <v>1857</v>
      </c>
      <c r="D302" s="102" t="s">
        <v>53</v>
      </c>
      <c r="E302" s="102" t="s">
        <v>54</v>
      </c>
      <c r="F302" s="95"/>
      <c r="G302" s="95"/>
      <c r="H302" s="95"/>
      <c r="I302" s="95"/>
      <c r="J302" s="133" t="s">
        <v>1458</v>
      </c>
      <c r="K302" s="256" t="s">
        <v>1858</v>
      </c>
      <c r="L302" s="232" t="s">
        <v>4209</v>
      </c>
      <c r="M302" s="171"/>
      <c r="N302" s="104" t="s">
        <v>1859</v>
      </c>
      <c r="O302" s="105" t="s">
        <v>1860</v>
      </c>
      <c r="P302" s="106" t="s">
        <v>516</v>
      </c>
      <c r="Q302" s="106" t="s">
        <v>517</v>
      </c>
      <c r="R302" s="134">
        <v>9497790415</v>
      </c>
      <c r="S302" s="106" t="s">
        <v>1606</v>
      </c>
      <c r="T302" s="135"/>
      <c r="U302" s="176"/>
      <c r="V302" s="176"/>
      <c r="W302" s="176"/>
      <c r="X302" s="176"/>
      <c r="Y302" s="145"/>
      <c r="Z302" s="136"/>
      <c r="AA302" s="136"/>
      <c r="AB302" s="136"/>
      <c r="AC302" s="136"/>
      <c r="AD302" s="222"/>
      <c r="AE302" s="244"/>
      <c r="AF302" s="232"/>
      <c r="AG302" s="232"/>
      <c r="AH302" s="232"/>
      <c r="AI302" s="232"/>
      <c r="AJ302" s="232">
        <f>COUNTA('All Details for ACID Pastor'!$V302:$AB302)</f>
        <v>0</v>
      </c>
      <c r="AK302" s="232"/>
      <c r="AL302" s="232"/>
      <c r="AM302" s="232"/>
      <c r="AN302" s="232"/>
      <c r="AO302" s="232"/>
      <c r="AP302" s="232"/>
      <c r="AQ302" s="232"/>
      <c r="AR302" s="232"/>
      <c r="AS302" s="232"/>
      <c r="AT302" s="232"/>
      <c r="AU302" s="232"/>
      <c r="AV302" s="232"/>
      <c r="AW302" s="233"/>
      <c r="AX302" s="233"/>
      <c r="AY302" s="244"/>
      <c r="AZ302" s="232" t="s">
        <v>139</v>
      </c>
      <c r="BA302" s="233"/>
      <c r="BB302" s="233"/>
      <c r="BC302" s="233"/>
      <c r="BD302" s="244"/>
      <c r="BE302" s="277"/>
      <c r="BF302" s="233">
        <f>COUNTA('All Details for ACID Pastor'!$T302:$AB302)</f>
        <v>0</v>
      </c>
      <c r="BG302" s="249"/>
      <c r="BH302" s="249"/>
      <c r="BI302" s="249"/>
      <c r="BJ302" s="249"/>
      <c r="BK302" s="249"/>
      <c r="BL302" s="249"/>
      <c r="BM302" s="249"/>
      <c r="BN302" s="249"/>
      <c r="BO302" s="249"/>
      <c r="BP302" s="249"/>
      <c r="BQ302" s="249"/>
      <c r="BR302" s="249"/>
      <c r="BS302" s="249"/>
      <c r="BT302" s="249"/>
      <c r="BU302" s="249"/>
      <c r="BV302" s="249"/>
    </row>
    <row r="303" spans="1:74" s="174" customFormat="1" ht="70.150000000000006" customHeight="1">
      <c r="A303" s="103">
        <v>304</v>
      </c>
      <c r="B303" s="132" t="s">
        <v>1861</v>
      </c>
      <c r="C303" s="101" t="s">
        <v>1862</v>
      </c>
      <c r="D303" s="102" t="s">
        <v>53</v>
      </c>
      <c r="E303" s="102" t="s">
        <v>54</v>
      </c>
      <c r="F303" s="95"/>
      <c r="G303" s="95"/>
      <c r="H303" s="95"/>
      <c r="I303" s="95"/>
      <c r="J303" s="133" t="s">
        <v>1458</v>
      </c>
      <c r="K303" s="256" t="s">
        <v>1863</v>
      </c>
      <c r="L303" s="232" t="s">
        <v>4209</v>
      </c>
      <c r="M303" s="171"/>
      <c r="N303" s="104" t="s">
        <v>1864</v>
      </c>
      <c r="O303" s="105" t="s">
        <v>286</v>
      </c>
      <c r="P303" s="106" t="s">
        <v>1479</v>
      </c>
      <c r="Q303" s="106" t="s">
        <v>517</v>
      </c>
      <c r="R303" s="134">
        <v>9446130735</v>
      </c>
      <c r="S303" s="106" t="s">
        <v>1606</v>
      </c>
      <c r="T303" s="135"/>
      <c r="U303" s="176"/>
      <c r="V303" s="144" t="s">
        <v>295</v>
      </c>
      <c r="W303" s="144" t="s">
        <v>215</v>
      </c>
      <c r="X303" s="176"/>
      <c r="Y303" s="145"/>
      <c r="Z303" s="136"/>
      <c r="AA303" s="136"/>
      <c r="AB303" s="136"/>
      <c r="AC303" s="136"/>
      <c r="AD303" s="222"/>
      <c r="AE303" s="244"/>
      <c r="AF303" s="232"/>
      <c r="AG303" s="232"/>
      <c r="AH303" s="232"/>
      <c r="AI303" s="232"/>
      <c r="AJ303" s="232">
        <f>COUNTA('All Details for ACID Pastor'!$V303:$AB303)</f>
        <v>2</v>
      </c>
      <c r="AK303" s="232"/>
      <c r="AL303" s="232"/>
      <c r="AM303" s="232"/>
      <c r="AN303" s="232"/>
      <c r="AO303" s="232"/>
      <c r="AP303" s="232"/>
      <c r="AQ303" s="232"/>
      <c r="AR303" s="232"/>
      <c r="AS303" s="232"/>
      <c r="AT303" s="232"/>
      <c r="AU303" s="232"/>
      <c r="AV303" s="232"/>
      <c r="AW303" s="233"/>
      <c r="AX303" s="233"/>
      <c r="AY303" s="244"/>
      <c r="AZ303" s="232" t="s">
        <v>139</v>
      </c>
      <c r="BA303" s="233"/>
      <c r="BB303" s="233"/>
      <c r="BC303" s="233"/>
      <c r="BD303" s="244"/>
      <c r="BE303" s="277"/>
      <c r="BF303" s="233">
        <f>COUNTA('All Details for ACID Pastor'!$T303:$AB303)</f>
        <v>2</v>
      </c>
      <c r="BG303" s="249"/>
      <c r="BH303" s="249"/>
      <c r="BI303" s="249"/>
      <c r="BJ303" s="249"/>
      <c r="BK303" s="249"/>
      <c r="BL303" s="249"/>
      <c r="BM303" s="249"/>
      <c r="BN303" s="249"/>
      <c r="BO303" s="249"/>
      <c r="BP303" s="249"/>
      <c r="BQ303" s="249"/>
      <c r="BR303" s="249"/>
      <c r="BS303" s="249"/>
      <c r="BT303" s="249"/>
      <c r="BU303" s="249"/>
      <c r="BV303" s="249"/>
    </row>
    <row r="304" spans="1:74" s="174" customFormat="1" ht="70.150000000000006" customHeight="1">
      <c r="A304" s="103">
        <v>305</v>
      </c>
      <c r="B304" s="132" t="s">
        <v>1865</v>
      </c>
      <c r="C304" s="101" t="s">
        <v>1866</v>
      </c>
      <c r="D304" s="102" t="s">
        <v>53</v>
      </c>
      <c r="E304" s="102" t="s">
        <v>54</v>
      </c>
      <c r="F304" s="95"/>
      <c r="G304" s="95"/>
      <c r="H304" s="95"/>
      <c r="I304" s="95"/>
      <c r="J304" s="133" t="s">
        <v>1458</v>
      </c>
      <c r="K304" s="256" t="s">
        <v>1867</v>
      </c>
      <c r="L304" s="232" t="s">
        <v>4209</v>
      </c>
      <c r="M304" s="171"/>
      <c r="N304" s="104" t="s">
        <v>1868</v>
      </c>
      <c r="O304" s="105" t="s">
        <v>1869</v>
      </c>
      <c r="P304" s="106" t="s">
        <v>516</v>
      </c>
      <c r="Q304" s="106" t="s">
        <v>517</v>
      </c>
      <c r="R304" s="134">
        <v>9495250364</v>
      </c>
      <c r="S304" s="106" t="s">
        <v>1606</v>
      </c>
      <c r="T304" s="135"/>
      <c r="U304" s="176"/>
      <c r="V304" s="176"/>
      <c r="W304" s="176"/>
      <c r="X304" s="176"/>
      <c r="Y304" s="145"/>
      <c r="Z304" s="136"/>
      <c r="AA304" s="136"/>
      <c r="AB304" s="136"/>
      <c r="AC304" s="136"/>
      <c r="AD304" s="222"/>
      <c r="AE304" s="240"/>
      <c r="AF304" s="232"/>
      <c r="AG304" s="232"/>
      <c r="AH304" s="232"/>
      <c r="AI304" s="232"/>
      <c r="AJ304" s="232">
        <f>COUNTA('All Details for ACID Pastor'!$V304:$AB304)</f>
        <v>0</v>
      </c>
      <c r="AK304" s="232"/>
      <c r="AL304" s="232"/>
      <c r="AM304" s="232"/>
      <c r="AN304" s="232"/>
      <c r="AO304" s="232"/>
      <c r="AP304" s="232"/>
      <c r="AQ304" s="232"/>
      <c r="AR304" s="232"/>
      <c r="AS304" s="232"/>
      <c r="AT304" s="232"/>
      <c r="AU304" s="232"/>
      <c r="AV304" s="232"/>
      <c r="AW304" s="233"/>
      <c r="AX304" s="233"/>
      <c r="AY304" s="244"/>
      <c r="AZ304" s="232" t="s">
        <v>139</v>
      </c>
      <c r="BA304" s="233"/>
      <c r="BB304" s="233"/>
      <c r="BC304" s="233"/>
      <c r="BD304" s="244"/>
      <c r="BE304" s="277"/>
      <c r="BF304" s="233">
        <f>COUNTA('All Details for ACID Pastor'!$T304:$AB304)</f>
        <v>0</v>
      </c>
      <c r="BG304" s="249"/>
      <c r="BH304" s="249"/>
      <c r="BI304" s="249"/>
      <c r="BJ304" s="249"/>
      <c r="BK304" s="249"/>
      <c r="BL304" s="249"/>
      <c r="BM304" s="249"/>
      <c r="BN304" s="249"/>
      <c r="BO304" s="249"/>
      <c r="BP304" s="249"/>
      <c r="BQ304" s="249"/>
      <c r="BR304" s="249"/>
      <c r="BS304" s="249"/>
      <c r="BT304" s="249"/>
      <c r="BU304" s="249"/>
      <c r="BV304" s="249"/>
    </row>
    <row r="305" spans="1:74" ht="70.150000000000006" customHeight="1">
      <c r="A305" s="107">
        <v>306</v>
      </c>
      <c r="B305" s="124" t="s">
        <v>1870</v>
      </c>
      <c r="C305" s="90" t="s">
        <v>1871</v>
      </c>
      <c r="D305" s="95" t="s">
        <v>53</v>
      </c>
      <c r="E305" s="95" t="s">
        <v>54</v>
      </c>
      <c r="F305" s="95"/>
      <c r="G305" s="95"/>
      <c r="H305" s="95"/>
      <c r="I305" s="95"/>
      <c r="J305" s="115" t="s">
        <v>1458</v>
      </c>
      <c r="K305" s="193" t="s">
        <v>1872</v>
      </c>
      <c r="L305" s="121"/>
      <c r="M305" s="172"/>
      <c r="N305" s="93" t="s">
        <v>1873</v>
      </c>
      <c r="O305" s="92" t="s">
        <v>641</v>
      </c>
      <c r="P305" s="88" t="s">
        <v>517</v>
      </c>
      <c r="Q305" s="88" t="s">
        <v>517</v>
      </c>
      <c r="R305" s="86">
        <v>9496598773</v>
      </c>
      <c r="S305" s="88" t="s">
        <v>1606</v>
      </c>
      <c r="T305" s="94"/>
      <c r="U305" s="140"/>
      <c r="V305" s="125" t="s">
        <v>295</v>
      </c>
      <c r="W305" s="140"/>
      <c r="X305" s="140"/>
      <c r="Y305" s="141"/>
      <c r="Z305" s="131"/>
      <c r="AA305" s="131"/>
      <c r="AB305" s="131"/>
      <c r="AC305" s="131"/>
      <c r="AD305" s="127"/>
      <c r="AF305" s="121"/>
      <c r="AG305" s="121"/>
      <c r="AH305" s="121"/>
      <c r="AI305" s="121"/>
      <c r="AJ305" s="121">
        <f>COUNTA('All Details for ACID Pastor'!$V305:$AB305)</f>
        <v>1</v>
      </c>
      <c r="AK305" s="121"/>
      <c r="AL305" s="121"/>
      <c r="AM305" s="121"/>
      <c r="AN305" s="121"/>
      <c r="AO305" s="121"/>
      <c r="AP305" s="121"/>
      <c r="AQ305" s="121"/>
      <c r="AR305" s="121"/>
      <c r="AS305" s="121"/>
      <c r="AT305" s="121"/>
      <c r="AU305" s="121"/>
      <c r="AV305" s="121"/>
      <c r="AW305" s="163"/>
      <c r="AX305" s="163"/>
      <c r="AZ305" s="121" t="s">
        <v>139</v>
      </c>
      <c r="BA305" s="163"/>
      <c r="BB305" s="163"/>
      <c r="BC305" s="163"/>
      <c r="BF305" s="163">
        <f>COUNTA('All Details for ACID Pastor'!$T305:$AB305)</f>
        <v>1</v>
      </c>
    </row>
    <row r="306" spans="1:74" ht="70.150000000000006" customHeight="1">
      <c r="A306" s="107">
        <v>307</v>
      </c>
      <c r="B306" s="124" t="s">
        <v>1874</v>
      </c>
      <c r="C306" s="90" t="s">
        <v>1875</v>
      </c>
      <c r="D306" s="95" t="s">
        <v>53</v>
      </c>
      <c r="E306" s="95" t="s">
        <v>54</v>
      </c>
      <c r="F306" s="95"/>
      <c r="G306" s="95"/>
      <c r="H306" s="95"/>
      <c r="I306" s="95"/>
      <c r="J306" s="115" t="s">
        <v>1458</v>
      </c>
      <c r="K306" s="193" t="s">
        <v>1876</v>
      </c>
      <c r="L306" s="121" t="s">
        <v>4209</v>
      </c>
      <c r="M306" s="172"/>
      <c r="N306" s="93" t="s">
        <v>1877</v>
      </c>
      <c r="O306" s="92" t="s">
        <v>1878</v>
      </c>
      <c r="P306" s="88" t="s">
        <v>516</v>
      </c>
      <c r="Q306" s="88" t="s">
        <v>517</v>
      </c>
      <c r="R306" s="86">
        <v>9446800328</v>
      </c>
      <c r="S306" s="88" t="s">
        <v>1606</v>
      </c>
      <c r="T306" s="94"/>
      <c r="U306" s="140"/>
      <c r="V306" s="125" t="s">
        <v>1879</v>
      </c>
      <c r="W306" s="125" t="s">
        <v>1879</v>
      </c>
      <c r="X306" s="94" t="s">
        <v>79</v>
      </c>
      <c r="Y306" s="126" t="s">
        <v>79</v>
      </c>
      <c r="Z306" s="131"/>
      <c r="AA306" s="131"/>
      <c r="AB306" s="131"/>
      <c r="AC306" s="131"/>
      <c r="AD306" s="127"/>
      <c r="AF306" s="121"/>
      <c r="AG306" s="121"/>
      <c r="AH306" s="121"/>
      <c r="AI306" s="121"/>
      <c r="AJ306" s="121">
        <f>COUNTA('All Details for ACID Pastor'!$V306:$AB306)</f>
        <v>4</v>
      </c>
      <c r="AK306" s="121"/>
      <c r="AL306" s="121"/>
      <c r="AM306" s="121"/>
      <c r="AN306" s="121"/>
      <c r="AO306" s="121"/>
      <c r="AP306" s="121"/>
      <c r="AQ306" s="121"/>
      <c r="AR306" s="121"/>
      <c r="AS306" s="121"/>
      <c r="AT306" s="121"/>
      <c r="AU306" s="121"/>
      <c r="AV306" s="121"/>
      <c r="AW306" s="163"/>
      <c r="AX306" s="163"/>
      <c r="AZ306" s="121" t="s">
        <v>49</v>
      </c>
      <c r="BA306" s="163"/>
      <c r="BB306" s="163"/>
      <c r="BC306" s="163"/>
      <c r="BF306" s="163">
        <f>COUNTA('All Details for ACID Pastor'!$T306:$AB306)</f>
        <v>4</v>
      </c>
    </row>
    <row r="307" spans="1:74" ht="70.150000000000006" customHeight="1">
      <c r="A307" s="107">
        <v>308</v>
      </c>
      <c r="B307" s="124" t="s">
        <v>1880</v>
      </c>
      <c r="C307" s="90" t="s">
        <v>1881</v>
      </c>
      <c r="D307" s="95" t="s">
        <v>53</v>
      </c>
      <c r="E307" s="95" t="s">
        <v>54</v>
      </c>
      <c r="F307" s="95"/>
      <c r="G307" s="95"/>
      <c r="H307" s="95"/>
      <c r="I307" s="95"/>
      <c r="J307" s="115" t="s">
        <v>103</v>
      </c>
      <c r="K307" s="193" t="s">
        <v>1882</v>
      </c>
      <c r="L307" s="121"/>
      <c r="M307" s="172" t="s">
        <v>1883</v>
      </c>
      <c r="N307" s="93" t="s">
        <v>1884</v>
      </c>
      <c r="O307" s="92" t="s">
        <v>306</v>
      </c>
      <c r="P307" s="88" t="s">
        <v>73</v>
      </c>
      <c r="Q307" s="88" t="s">
        <v>48</v>
      </c>
      <c r="R307" s="86">
        <v>9842634966</v>
      </c>
      <c r="S307" s="88" t="s">
        <v>1606</v>
      </c>
      <c r="T307" s="94"/>
      <c r="U307" s="140"/>
      <c r="V307" s="125" t="s">
        <v>1885</v>
      </c>
      <c r="W307" s="125" t="s">
        <v>79</v>
      </c>
      <c r="X307" s="125" t="s">
        <v>79</v>
      </c>
      <c r="Y307" s="126" t="s">
        <v>79</v>
      </c>
      <c r="Z307" s="131"/>
      <c r="AA307" s="131"/>
      <c r="AB307" s="131"/>
      <c r="AC307" s="131"/>
      <c r="AD307" s="127"/>
      <c r="AF307" s="121"/>
      <c r="AG307" s="121"/>
      <c r="AH307" s="121"/>
      <c r="AI307" s="121"/>
      <c r="AJ307" s="121">
        <f>COUNTA('All Details for ACID Pastor'!$V307:$AB307)</f>
        <v>4</v>
      </c>
      <c r="AK307" s="121"/>
      <c r="AL307" s="121"/>
      <c r="AM307" s="121"/>
      <c r="AN307" s="121"/>
      <c r="AO307" s="121"/>
      <c r="AP307" s="121"/>
      <c r="AQ307" s="121"/>
      <c r="AR307" s="121"/>
      <c r="AS307" s="121"/>
      <c r="AT307" s="121"/>
      <c r="AU307" s="121"/>
      <c r="AV307" s="121"/>
      <c r="AW307" s="163"/>
      <c r="AX307" s="163"/>
      <c r="AZ307" s="121" t="s">
        <v>49</v>
      </c>
      <c r="BA307" s="163"/>
      <c r="BB307" s="163"/>
      <c r="BC307" s="163"/>
      <c r="BF307" s="163">
        <f>COUNTA('All Details for ACID Pastor'!$T307:$AB307)</f>
        <v>4</v>
      </c>
    </row>
    <row r="308" spans="1:74" ht="70.150000000000006" customHeight="1">
      <c r="A308" s="107">
        <v>309</v>
      </c>
      <c r="B308" s="124" t="s">
        <v>1886</v>
      </c>
      <c r="C308" s="90" t="s">
        <v>1887</v>
      </c>
      <c r="D308" s="95" t="s">
        <v>53</v>
      </c>
      <c r="E308" s="95" t="s">
        <v>54</v>
      </c>
      <c r="F308" s="95"/>
      <c r="G308" s="95"/>
      <c r="H308" s="95"/>
      <c r="I308" s="95"/>
      <c r="J308" s="115" t="s">
        <v>103</v>
      </c>
      <c r="K308" s="193" t="s">
        <v>1888</v>
      </c>
      <c r="L308" s="121"/>
      <c r="M308" s="172" t="s">
        <v>1889</v>
      </c>
      <c r="N308" s="93" t="s">
        <v>1890</v>
      </c>
      <c r="O308" s="92" t="s">
        <v>1891</v>
      </c>
      <c r="P308" s="88" t="s">
        <v>73</v>
      </c>
      <c r="Q308" s="88" t="s">
        <v>48</v>
      </c>
      <c r="R308" s="86">
        <v>8807809997</v>
      </c>
      <c r="S308" s="88" t="s">
        <v>1606</v>
      </c>
      <c r="T308" s="94"/>
      <c r="U308" s="140"/>
      <c r="V308" s="140"/>
      <c r="W308" s="140"/>
      <c r="X308" s="140"/>
      <c r="Y308" s="141"/>
      <c r="Z308" s="131"/>
      <c r="AA308" s="131"/>
      <c r="AB308" s="131"/>
      <c r="AC308" s="131"/>
      <c r="AD308" s="127"/>
      <c r="AF308" s="121"/>
      <c r="AG308" s="121"/>
      <c r="AH308" s="121"/>
      <c r="AI308" s="121"/>
      <c r="AJ308" s="121">
        <f>COUNTA('All Details for ACID Pastor'!$V308:$AB308)</f>
        <v>0</v>
      </c>
      <c r="AK308" s="121"/>
      <c r="AL308" s="121"/>
      <c r="AM308" s="121"/>
      <c r="AN308" s="121"/>
      <c r="AO308" s="121"/>
      <c r="AP308" s="121"/>
      <c r="AQ308" s="121"/>
      <c r="AR308" s="121"/>
      <c r="AS308" s="121"/>
      <c r="AT308" s="121"/>
      <c r="AU308" s="121"/>
      <c r="AV308" s="121"/>
      <c r="AW308" s="163"/>
      <c r="AX308" s="163"/>
      <c r="AZ308" s="121" t="s">
        <v>139</v>
      </c>
      <c r="BA308" s="163"/>
      <c r="BB308" s="163"/>
      <c r="BC308" s="163"/>
      <c r="BF308" s="163">
        <f>COUNTA('All Details for ACID Pastor'!$T308:$AB308)</f>
        <v>0</v>
      </c>
    </row>
    <row r="309" spans="1:74" ht="70.150000000000006" customHeight="1">
      <c r="A309" s="107">
        <v>310</v>
      </c>
      <c r="B309" s="124" t="s">
        <v>1892</v>
      </c>
      <c r="C309" s="90" t="s">
        <v>1893</v>
      </c>
      <c r="D309" s="95" t="s">
        <v>53</v>
      </c>
      <c r="E309" s="95" t="s">
        <v>54</v>
      </c>
      <c r="F309" s="95"/>
      <c r="G309" s="95"/>
      <c r="H309" s="95"/>
      <c r="I309" s="95"/>
      <c r="J309" s="115" t="s">
        <v>103</v>
      </c>
      <c r="K309" s="193" t="s">
        <v>1894</v>
      </c>
      <c r="L309" s="121"/>
      <c r="M309" s="172" t="s">
        <v>1895</v>
      </c>
      <c r="N309" s="93" t="s">
        <v>1896</v>
      </c>
      <c r="O309" s="92" t="s">
        <v>1897</v>
      </c>
      <c r="P309" s="88" t="s">
        <v>73</v>
      </c>
      <c r="Q309" s="88" t="s">
        <v>48</v>
      </c>
      <c r="R309" s="86">
        <v>9994498843</v>
      </c>
      <c r="S309" s="88" t="s">
        <v>1606</v>
      </c>
      <c r="T309" s="94"/>
      <c r="U309" s="140"/>
      <c r="V309" s="140"/>
      <c r="W309" s="140"/>
      <c r="X309" s="140"/>
      <c r="Y309" s="141"/>
      <c r="Z309" s="131"/>
      <c r="AA309" s="131"/>
      <c r="AB309" s="131"/>
      <c r="AC309" s="131"/>
      <c r="AD309" s="127"/>
      <c r="AF309" s="121"/>
      <c r="AG309" s="121"/>
      <c r="AH309" s="121"/>
      <c r="AI309" s="121"/>
      <c r="AJ309" s="121">
        <f>COUNTA('All Details for ACID Pastor'!$V309:$AB309)</f>
        <v>0</v>
      </c>
      <c r="AK309" s="121"/>
      <c r="AL309" s="121"/>
      <c r="AM309" s="121"/>
      <c r="AN309" s="121"/>
      <c r="AO309" s="121"/>
      <c r="AP309" s="121"/>
      <c r="AQ309" s="121"/>
      <c r="AR309" s="121"/>
      <c r="AS309" s="121"/>
      <c r="AT309" s="121"/>
      <c r="AU309" s="121"/>
      <c r="AV309" s="121"/>
      <c r="AW309" s="163"/>
      <c r="AX309" s="163"/>
      <c r="AZ309" s="121" t="s">
        <v>139</v>
      </c>
      <c r="BA309" s="163"/>
      <c r="BB309" s="163"/>
      <c r="BC309" s="163"/>
      <c r="BF309" s="163">
        <f>COUNTA('All Details for ACID Pastor'!$T309:$AB309)</f>
        <v>0</v>
      </c>
    </row>
    <row r="310" spans="1:74" ht="70.150000000000006" customHeight="1">
      <c r="A310" s="107">
        <v>311</v>
      </c>
      <c r="B310" s="124" t="s">
        <v>1898</v>
      </c>
      <c r="C310" s="90" t="s">
        <v>1899</v>
      </c>
      <c r="D310" s="95" t="s">
        <v>53</v>
      </c>
      <c r="E310" s="95" t="s">
        <v>54</v>
      </c>
      <c r="F310" s="95"/>
      <c r="G310" s="95"/>
      <c r="H310" s="95"/>
      <c r="I310" s="95"/>
      <c r="J310" s="115" t="s">
        <v>103</v>
      </c>
      <c r="K310" s="193" t="s">
        <v>1900</v>
      </c>
      <c r="L310" s="121"/>
      <c r="M310" s="172" t="s">
        <v>1901</v>
      </c>
      <c r="N310" s="93" t="s">
        <v>1902</v>
      </c>
      <c r="O310" s="92" t="s">
        <v>1897</v>
      </c>
      <c r="P310" s="88" t="s">
        <v>73</v>
      </c>
      <c r="Q310" s="88" t="s">
        <v>48</v>
      </c>
      <c r="R310" s="86">
        <v>9043756347</v>
      </c>
      <c r="S310" s="88" t="s">
        <v>1606</v>
      </c>
      <c r="T310" s="94"/>
      <c r="U310" s="140"/>
      <c r="V310" s="140"/>
      <c r="W310" s="140"/>
      <c r="X310" s="140"/>
      <c r="Y310" s="141"/>
      <c r="Z310" s="131"/>
      <c r="AA310" s="131"/>
      <c r="AB310" s="131"/>
      <c r="AC310" s="131"/>
      <c r="AD310" s="127"/>
      <c r="AF310" s="121"/>
      <c r="AG310" s="121"/>
      <c r="AH310" s="121"/>
      <c r="AI310" s="121"/>
      <c r="AJ310" s="121">
        <f>COUNTA('All Details for ACID Pastor'!$V310:$AB310)</f>
        <v>0</v>
      </c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63"/>
      <c r="AX310" s="163"/>
      <c r="AZ310" s="121" t="s">
        <v>139</v>
      </c>
      <c r="BA310" s="163"/>
      <c r="BB310" s="163"/>
      <c r="BC310" s="163"/>
      <c r="BF310" s="163">
        <f>COUNTA('All Details for ACID Pastor'!$T310:$AB310)</f>
        <v>0</v>
      </c>
    </row>
    <row r="311" spans="1:74" ht="70.150000000000006" customHeight="1">
      <c r="A311" s="107">
        <v>312</v>
      </c>
      <c r="B311" s="124" t="s">
        <v>1903</v>
      </c>
      <c r="C311" s="90" t="s">
        <v>1904</v>
      </c>
      <c r="D311" s="95" t="s">
        <v>53</v>
      </c>
      <c r="E311" s="95" t="s">
        <v>142</v>
      </c>
      <c r="F311" s="95"/>
      <c r="G311" s="95"/>
      <c r="H311" s="95"/>
      <c r="I311" s="95"/>
      <c r="J311" s="115" t="s">
        <v>103</v>
      </c>
      <c r="K311" s="193" t="s">
        <v>1905</v>
      </c>
      <c r="L311" s="121"/>
      <c r="M311" s="172" t="s">
        <v>1906</v>
      </c>
      <c r="N311" s="93" t="s">
        <v>1907</v>
      </c>
      <c r="O311" s="92" t="s">
        <v>1908</v>
      </c>
      <c r="P311" s="88" t="s">
        <v>1855</v>
      </c>
      <c r="Q311" s="88" t="s">
        <v>517</v>
      </c>
      <c r="R311" s="86">
        <v>9048475710</v>
      </c>
      <c r="S311" s="88" t="s">
        <v>1606</v>
      </c>
      <c r="T311" s="94"/>
      <c r="U311" s="140"/>
      <c r="V311" s="125" t="s">
        <v>295</v>
      </c>
      <c r="W311" s="140"/>
      <c r="X311" s="140"/>
      <c r="Y311" s="141"/>
      <c r="Z311" s="131"/>
      <c r="AA311" s="131"/>
      <c r="AB311" s="131"/>
      <c r="AC311" s="131"/>
      <c r="AD311" s="127"/>
      <c r="AE311" s="244"/>
      <c r="AF311" s="121"/>
      <c r="AG311" s="121"/>
      <c r="AH311" s="121"/>
      <c r="AI311" s="121"/>
      <c r="AJ311" s="121">
        <f>COUNTA('All Details for ACID Pastor'!$V311:$AB311)</f>
        <v>1</v>
      </c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63"/>
      <c r="AX311" s="163"/>
      <c r="AZ311" s="121" t="s">
        <v>139</v>
      </c>
      <c r="BA311" s="163"/>
      <c r="BB311" s="163"/>
      <c r="BC311" s="163"/>
      <c r="BF311" s="163">
        <f>COUNTA('All Details for ACID Pastor'!$T311:$AB311)</f>
        <v>1</v>
      </c>
    </row>
    <row r="312" spans="1:74" s="174" customFormat="1" ht="70.150000000000006" customHeight="1">
      <c r="A312" s="103">
        <v>313</v>
      </c>
      <c r="B312" s="132" t="s">
        <v>1909</v>
      </c>
      <c r="C312" s="101" t="s">
        <v>1910</v>
      </c>
      <c r="D312" s="102" t="s">
        <v>53</v>
      </c>
      <c r="E312" s="102" t="s">
        <v>54</v>
      </c>
      <c r="F312" s="95"/>
      <c r="G312" s="95"/>
      <c r="H312" s="95"/>
      <c r="I312" s="95"/>
      <c r="J312" s="133" t="s">
        <v>1140</v>
      </c>
      <c r="K312" s="256" t="s">
        <v>1911</v>
      </c>
      <c r="L312" s="232" t="s">
        <v>4209</v>
      </c>
      <c r="M312" s="171"/>
      <c r="N312" s="104" t="s">
        <v>1912</v>
      </c>
      <c r="O312" s="105" t="s">
        <v>1913</v>
      </c>
      <c r="P312" s="106" t="s">
        <v>1102</v>
      </c>
      <c r="Q312" s="106" t="s">
        <v>48</v>
      </c>
      <c r="R312" s="134">
        <v>9994816206</v>
      </c>
      <c r="S312" s="106" t="s">
        <v>1606</v>
      </c>
      <c r="T312" s="135"/>
      <c r="U312" s="176"/>
      <c r="V312" s="144" t="s">
        <v>1218</v>
      </c>
      <c r="W312" s="176"/>
      <c r="X312" s="176"/>
      <c r="Y312" s="145"/>
      <c r="Z312" s="136"/>
      <c r="AA312" s="136"/>
      <c r="AB312" s="136"/>
      <c r="AC312" s="136"/>
      <c r="AD312" s="222"/>
      <c r="AE312" s="240"/>
      <c r="AF312" s="232"/>
      <c r="AG312" s="232"/>
      <c r="AH312" s="232"/>
      <c r="AI312" s="232"/>
      <c r="AJ312" s="232">
        <f>COUNTA('All Details for ACID Pastor'!$V312:$AB312)</f>
        <v>1</v>
      </c>
      <c r="AK312" s="232"/>
      <c r="AL312" s="232"/>
      <c r="AM312" s="232"/>
      <c r="AN312" s="232"/>
      <c r="AO312" s="232"/>
      <c r="AP312" s="232"/>
      <c r="AQ312" s="232"/>
      <c r="AR312" s="232"/>
      <c r="AS312" s="232"/>
      <c r="AT312" s="232"/>
      <c r="AU312" s="232"/>
      <c r="AV312" s="232"/>
      <c r="AW312" s="233"/>
      <c r="AX312" s="233"/>
      <c r="AY312" s="244"/>
      <c r="AZ312" s="232" t="s">
        <v>139</v>
      </c>
      <c r="BA312" s="233"/>
      <c r="BB312" s="233"/>
      <c r="BC312" s="233"/>
      <c r="BD312" s="244"/>
      <c r="BE312" s="277"/>
      <c r="BF312" s="233">
        <f>COUNTA('All Details for ACID Pastor'!$T312:$AB312)</f>
        <v>1</v>
      </c>
      <c r="BG312" s="249"/>
      <c r="BH312" s="249"/>
      <c r="BI312" s="249"/>
      <c r="BJ312" s="249"/>
      <c r="BK312" s="249"/>
      <c r="BL312" s="249"/>
      <c r="BM312" s="249"/>
      <c r="BN312" s="249"/>
      <c r="BO312" s="249"/>
      <c r="BP312" s="249"/>
      <c r="BQ312" s="249"/>
      <c r="BR312" s="249"/>
      <c r="BS312" s="249"/>
      <c r="BT312" s="249"/>
      <c r="BU312" s="249"/>
      <c r="BV312" s="249"/>
    </row>
    <row r="313" spans="1:74" ht="70.150000000000006" customHeight="1">
      <c r="A313" s="107">
        <v>314</v>
      </c>
      <c r="B313" s="124" t="s">
        <v>1914</v>
      </c>
      <c r="C313" s="90" t="s">
        <v>1915</v>
      </c>
      <c r="D313" s="95" t="s">
        <v>53</v>
      </c>
      <c r="E313" s="95" t="s">
        <v>54</v>
      </c>
      <c r="F313" s="95"/>
      <c r="G313" s="95"/>
      <c r="H313" s="95"/>
      <c r="I313" s="95"/>
      <c r="J313" s="115" t="s">
        <v>1140</v>
      </c>
      <c r="K313" s="193" t="s">
        <v>1916</v>
      </c>
      <c r="L313" s="121" t="s">
        <v>4209</v>
      </c>
      <c r="M313" s="172" t="s">
        <v>1917</v>
      </c>
      <c r="N313" s="93" t="s">
        <v>1918</v>
      </c>
      <c r="O313" s="92" t="s">
        <v>1919</v>
      </c>
      <c r="P313" s="88" t="s">
        <v>1102</v>
      </c>
      <c r="Q313" s="88" t="s">
        <v>48</v>
      </c>
      <c r="R313" s="86">
        <v>9994266200</v>
      </c>
      <c r="S313" s="88" t="s">
        <v>1606</v>
      </c>
      <c r="T313" s="94"/>
      <c r="U313" s="140"/>
      <c r="V313" s="125" t="s">
        <v>1218</v>
      </c>
      <c r="W313" s="127" t="s">
        <v>165</v>
      </c>
      <c r="X313" s="127" t="s">
        <v>165</v>
      </c>
      <c r="Y313" s="127" t="s">
        <v>165</v>
      </c>
      <c r="Z313" s="127" t="s">
        <v>165</v>
      </c>
      <c r="AA313" s="127" t="s">
        <v>165</v>
      </c>
      <c r="AB313" s="127" t="s">
        <v>165</v>
      </c>
      <c r="AC313" s="131"/>
      <c r="AD313" s="127"/>
      <c r="AF313" s="121"/>
      <c r="AG313" s="121"/>
      <c r="AH313" s="121"/>
      <c r="AI313" s="121"/>
      <c r="AJ313" s="121">
        <f>COUNTA('All Details for ACID Pastor'!$V313:$AB313)</f>
        <v>7</v>
      </c>
      <c r="AK313" s="121"/>
      <c r="AL313" s="121"/>
      <c r="AM313" s="121"/>
      <c r="AN313" s="121"/>
      <c r="AO313" s="121"/>
      <c r="AP313" s="121"/>
      <c r="AQ313" s="121"/>
      <c r="AR313" s="121"/>
      <c r="AS313" s="121"/>
      <c r="AT313" s="121"/>
      <c r="AU313" s="121"/>
      <c r="AV313" s="121"/>
      <c r="AW313" s="163"/>
      <c r="AX313" s="163"/>
      <c r="AZ313" s="121" t="s">
        <v>49</v>
      </c>
      <c r="BA313" s="163"/>
      <c r="BB313" s="163"/>
      <c r="BC313" s="163"/>
      <c r="BF313" s="163">
        <f>COUNTA('All Details for ACID Pastor'!$T313:$AB313)</f>
        <v>7</v>
      </c>
    </row>
    <row r="314" spans="1:74" ht="70.150000000000006" customHeight="1">
      <c r="A314" s="107">
        <v>315</v>
      </c>
      <c r="B314" s="124" t="s">
        <v>1920</v>
      </c>
      <c r="C314" s="90" t="s">
        <v>1921</v>
      </c>
      <c r="D314" s="95" t="s">
        <v>53</v>
      </c>
      <c r="E314" s="95" t="s">
        <v>54</v>
      </c>
      <c r="F314" s="95"/>
      <c r="G314" s="95"/>
      <c r="H314" s="95"/>
      <c r="I314" s="95"/>
      <c r="J314" s="115" t="s">
        <v>1140</v>
      </c>
      <c r="K314" s="193" t="s">
        <v>1922</v>
      </c>
      <c r="L314" s="121"/>
      <c r="M314" s="172" t="s">
        <v>1923</v>
      </c>
      <c r="N314" s="93" t="s">
        <v>1924</v>
      </c>
      <c r="O314" s="92" t="s">
        <v>1925</v>
      </c>
      <c r="P314" s="88" t="s">
        <v>166</v>
      </c>
      <c r="Q314" s="88" t="s">
        <v>48</v>
      </c>
      <c r="R314" s="86">
        <v>9489818484</v>
      </c>
      <c r="S314" s="88" t="s">
        <v>1606</v>
      </c>
      <c r="T314" s="94"/>
      <c r="U314" s="140"/>
      <c r="V314" s="125" t="s">
        <v>1781</v>
      </c>
      <c r="W314" s="140"/>
      <c r="X314" s="140"/>
      <c r="Y314" s="141"/>
      <c r="Z314" s="131"/>
      <c r="AA314" s="131"/>
      <c r="AB314" s="131"/>
      <c r="AC314" s="131"/>
      <c r="AD314" s="127"/>
      <c r="AF314" s="121"/>
      <c r="AG314" s="121"/>
      <c r="AH314" s="121"/>
      <c r="AI314" s="121"/>
      <c r="AJ314" s="121">
        <f>COUNTA('All Details for ACID Pastor'!$V314:$AB314)</f>
        <v>1</v>
      </c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63"/>
      <c r="AX314" s="163"/>
      <c r="AZ314" s="121" t="s">
        <v>139</v>
      </c>
      <c r="BA314" s="163"/>
      <c r="BB314" s="163"/>
      <c r="BC314" s="163"/>
      <c r="BF314" s="163">
        <f>COUNTA('All Details for ACID Pastor'!$T314:$AB314)</f>
        <v>1</v>
      </c>
    </row>
    <row r="315" spans="1:74" ht="70.150000000000006" customHeight="1">
      <c r="A315" s="107">
        <v>316</v>
      </c>
      <c r="B315" s="124" t="s">
        <v>1926</v>
      </c>
      <c r="C315" s="90" t="s">
        <v>1927</v>
      </c>
      <c r="D315" s="95" t="s">
        <v>53</v>
      </c>
      <c r="E315" s="95" t="s">
        <v>54</v>
      </c>
      <c r="F315" s="95"/>
      <c r="G315" s="95"/>
      <c r="H315" s="95"/>
      <c r="I315" s="95"/>
      <c r="J315" s="115" t="s">
        <v>1140</v>
      </c>
      <c r="K315" s="193" t="s">
        <v>1928</v>
      </c>
      <c r="L315" s="121"/>
      <c r="M315" s="172"/>
      <c r="N315" s="93" t="s">
        <v>1929</v>
      </c>
      <c r="O315" s="92" t="s">
        <v>1599</v>
      </c>
      <c r="P315" s="88" t="s">
        <v>166</v>
      </c>
      <c r="Q315" s="88" t="s">
        <v>48</v>
      </c>
      <c r="R315" s="86">
        <v>7708525240</v>
      </c>
      <c r="S315" s="88" t="s">
        <v>1606</v>
      </c>
      <c r="T315" s="94"/>
      <c r="U315" s="140"/>
      <c r="V315" s="140"/>
      <c r="W315" s="140"/>
      <c r="X315" s="140"/>
      <c r="Y315" s="141"/>
      <c r="Z315" s="131"/>
      <c r="AA315" s="131"/>
      <c r="AB315" s="131"/>
      <c r="AC315" s="131"/>
      <c r="AD315" s="127"/>
      <c r="AF315" s="121"/>
      <c r="AG315" s="121"/>
      <c r="AH315" s="121"/>
      <c r="AI315" s="121"/>
      <c r="AJ315" s="121">
        <f>COUNTA('All Details for ACID Pastor'!$V315:$AB315)</f>
        <v>0</v>
      </c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63"/>
      <c r="AX315" s="163"/>
      <c r="AZ315" s="121" t="s">
        <v>139</v>
      </c>
      <c r="BA315" s="163"/>
      <c r="BB315" s="163"/>
      <c r="BC315" s="163"/>
      <c r="BF315" s="163">
        <f>COUNTA('All Details for ACID Pastor'!$T315:$AB315)</f>
        <v>0</v>
      </c>
    </row>
    <row r="316" spans="1:74" ht="70.150000000000006" customHeight="1">
      <c r="A316" s="107">
        <v>317</v>
      </c>
      <c r="B316" s="124" t="s">
        <v>1930</v>
      </c>
      <c r="C316" s="90" t="s">
        <v>1931</v>
      </c>
      <c r="D316" s="95" t="s">
        <v>53</v>
      </c>
      <c r="E316" s="95" t="s">
        <v>54</v>
      </c>
      <c r="F316" s="95"/>
      <c r="G316" s="95"/>
      <c r="H316" s="95"/>
      <c r="I316" s="95"/>
      <c r="J316" s="115" t="s">
        <v>1140</v>
      </c>
      <c r="K316" s="193" t="s">
        <v>1932</v>
      </c>
      <c r="L316" s="121"/>
      <c r="M316" s="172"/>
      <c r="N316" s="93" t="s">
        <v>1933</v>
      </c>
      <c r="O316" s="92" t="s">
        <v>1934</v>
      </c>
      <c r="P316" s="88" t="s">
        <v>166</v>
      </c>
      <c r="Q316" s="88" t="s">
        <v>48</v>
      </c>
      <c r="R316" s="86">
        <v>9629367206</v>
      </c>
      <c r="S316" s="88" t="s">
        <v>1606</v>
      </c>
      <c r="T316" s="94"/>
      <c r="U316" s="140"/>
      <c r="V316" s="140"/>
      <c r="W316" s="140"/>
      <c r="X316" s="140"/>
      <c r="Y316" s="141"/>
      <c r="Z316" s="131"/>
      <c r="AA316" s="131"/>
      <c r="AB316" s="131"/>
      <c r="AC316" s="131"/>
      <c r="AD316" s="127"/>
      <c r="AF316" s="121"/>
      <c r="AG316" s="121"/>
      <c r="AH316" s="121"/>
      <c r="AI316" s="121"/>
      <c r="AJ316" s="121">
        <f>COUNTA('All Details for ACID Pastor'!$V316:$AB316)</f>
        <v>0</v>
      </c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63"/>
      <c r="AX316" s="163"/>
      <c r="AZ316" s="121" t="s">
        <v>139</v>
      </c>
      <c r="BA316" s="163"/>
      <c r="BB316" s="163"/>
      <c r="BC316" s="163"/>
      <c r="BF316" s="163">
        <f>COUNTA('All Details for ACID Pastor'!$T316:$AB316)</f>
        <v>0</v>
      </c>
    </row>
    <row r="317" spans="1:74" ht="70.150000000000006" customHeight="1">
      <c r="A317" s="107">
        <v>318</v>
      </c>
      <c r="B317" s="124" t="s">
        <v>1935</v>
      </c>
      <c r="C317" s="90" t="s">
        <v>1936</v>
      </c>
      <c r="D317" s="95" t="s">
        <v>53</v>
      </c>
      <c r="E317" s="95" t="s">
        <v>54</v>
      </c>
      <c r="F317" s="95"/>
      <c r="G317" s="95"/>
      <c r="H317" s="95"/>
      <c r="I317" s="95"/>
      <c r="J317" s="115" t="s">
        <v>1140</v>
      </c>
      <c r="K317" s="193" t="s">
        <v>1937</v>
      </c>
      <c r="L317" s="121"/>
      <c r="M317" s="172"/>
      <c r="N317" s="93" t="s">
        <v>1938</v>
      </c>
      <c r="O317" s="92" t="s">
        <v>1925</v>
      </c>
      <c r="P317" s="88" t="s">
        <v>166</v>
      </c>
      <c r="Q317" s="88" t="s">
        <v>48</v>
      </c>
      <c r="R317" s="86">
        <v>8903777424</v>
      </c>
      <c r="S317" s="88" t="s">
        <v>1606</v>
      </c>
      <c r="T317" s="94"/>
      <c r="U317" s="140"/>
      <c r="V317" s="125" t="s">
        <v>1781</v>
      </c>
      <c r="W317" s="140"/>
      <c r="X317" s="140"/>
      <c r="Y317" s="141"/>
      <c r="Z317" s="131"/>
      <c r="AA317" s="131"/>
      <c r="AB317" s="131"/>
      <c r="AC317" s="131"/>
      <c r="AD317" s="127"/>
      <c r="AE317" s="244"/>
      <c r="AF317" s="121"/>
      <c r="AG317" s="121"/>
      <c r="AH317" s="121"/>
      <c r="AI317" s="121"/>
      <c r="AJ317" s="121">
        <f>COUNTA('All Details for ACID Pastor'!$V317:$AB317)</f>
        <v>1</v>
      </c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63"/>
      <c r="AX317" s="163"/>
      <c r="AZ317" s="121" t="s">
        <v>139</v>
      </c>
      <c r="BA317" s="163"/>
      <c r="BB317" s="163"/>
      <c r="BC317" s="163"/>
      <c r="BF317" s="163">
        <f>COUNTA('All Details for ACID Pastor'!$T317:$AB317)</f>
        <v>1</v>
      </c>
    </row>
    <row r="318" spans="1:74" s="174" customFormat="1" ht="70.150000000000006" customHeight="1">
      <c r="A318" s="103">
        <v>319</v>
      </c>
      <c r="B318" s="132" t="s">
        <v>1939</v>
      </c>
      <c r="C318" s="101" t="s">
        <v>1940</v>
      </c>
      <c r="D318" s="102" t="s">
        <v>53</v>
      </c>
      <c r="E318" s="102" t="s">
        <v>54</v>
      </c>
      <c r="F318" s="95"/>
      <c r="G318" s="95"/>
      <c r="H318" s="95"/>
      <c r="I318" s="95"/>
      <c r="J318" s="133" t="s">
        <v>1140</v>
      </c>
      <c r="K318" s="256" t="s">
        <v>1941</v>
      </c>
      <c r="L318" s="232" t="s">
        <v>4209</v>
      </c>
      <c r="M318" s="171" t="s">
        <v>1942</v>
      </c>
      <c r="N318" s="104" t="s">
        <v>1943</v>
      </c>
      <c r="O318" s="105" t="s">
        <v>1944</v>
      </c>
      <c r="P318" s="106" t="s">
        <v>1102</v>
      </c>
      <c r="Q318" s="106" t="s">
        <v>48</v>
      </c>
      <c r="R318" s="134">
        <v>9345783067</v>
      </c>
      <c r="S318" s="106" t="s">
        <v>1606</v>
      </c>
      <c r="T318" s="135"/>
      <c r="U318" s="176"/>
      <c r="V318" s="176"/>
      <c r="W318" s="176"/>
      <c r="X318" s="176"/>
      <c r="Y318" s="145"/>
      <c r="Z318" s="136"/>
      <c r="AA318" s="136"/>
      <c r="AB318" s="136"/>
      <c r="AC318" s="136"/>
      <c r="AD318" s="222"/>
      <c r="AE318" s="240"/>
      <c r="AF318" s="232"/>
      <c r="AG318" s="232"/>
      <c r="AH318" s="232"/>
      <c r="AI318" s="232"/>
      <c r="AJ318" s="232">
        <f>COUNTA('All Details for ACID Pastor'!$V318:$AB318)</f>
        <v>0</v>
      </c>
      <c r="AK318" s="232"/>
      <c r="AL318" s="232"/>
      <c r="AM318" s="232"/>
      <c r="AN318" s="232"/>
      <c r="AO318" s="232"/>
      <c r="AP318" s="232"/>
      <c r="AQ318" s="232"/>
      <c r="AR318" s="232"/>
      <c r="AS318" s="232"/>
      <c r="AT318" s="232"/>
      <c r="AU318" s="232"/>
      <c r="AV318" s="232"/>
      <c r="AW318" s="233"/>
      <c r="AX318" s="233"/>
      <c r="AY318" s="244"/>
      <c r="AZ318" s="232" t="s">
        <v>139</v>
      </c>
      <c r="BA318" s="233"/>
      <c r="BB318" s="233"/>
      <c r="BC318" s="233"/>
      <c r="BD318" s="244"/>
      <c r="BE318" s="277"/>
      <c r="BF318" s="233">
        <f>COUNTA('All Details for ACID Pastor'!$T318:$AB318)</f>
        <v>0</v>
      </c>
      <c r="BG318" s="249"/>
      <c r="BH318" s="249"/>
      <c r="BI318" s="249"/>
      <c r="BJ318" s="249"/>
      <c r="BK318" s="249"/>
      <c r="BL318" s="249"/>
      <c r="BM318" s="249"/>
      <c r="BN318" s="249"/>
      <c r="BO318" s="249"/>
      <c r="BP318" s="249"/>
      <c r="BQ318" s="249"/>
      <c r="BR318" s="249"/>
      <c r="BS318" s="249"/>
      <c r="BT318" s="249"/>
      <c r="BU318" s="249"/>
      <c r="BV318" s="249"/>
    </row>
    <row r="319" spans="1:74" ht="70.150000000000006" customHeight="1">
      <c r="A319" s="107">
        <v>320</v>
      </c>
      <c r="B319" s="124" t="s">
        <v>1945</v>
      </c>
      <c r="C319" s="90" t="s">
        <v>1946</v>
      </c>
      <c r="D319" s="95" t="s">
        <v>53</v>
      </c>
      <c r="E319" s="95" t="s">
        <v>54</v>
      </c>
      <c r="F319" s="95"/>
      <c r="G319" s="95"/>
      <c r="H319" s="95"/>
      <c r="I319" s="95"/>
      <c r="J319" s="115" t="s">
        <v>1140</v>
      </c>
      <c r="K319" s="193" t="s">
        <v>1947</v>
      </c>
      <c r="L319" s="121"/>
      <c r="M319" s="172" t="s">
        <v>1948</v>
      </c>
      <c r="N319" s="93" t="s">
        <v>1949</v>
      </c>
      <c r="O319" s="92" t="s">
        <v>1809</v>
      </c>
      <c r="P319" s="88" t="s">
        <v>786</v>
      </c>
      <c r="Q319" s="88" t="s">
        <v>48</v>
      </c>
      <c r="R319" s="86">
        <v>9994501546</v>
      </c>
      <c r="S319" s="88" t="s">
        <v>1606</v>
      </c>
      <c r="T319" s="94"/>
      <c r="U319" s="140"/>
      <c r="V319" s="140"/>
      <c r="W319" s="140"/>
      <c r="X319" s="140"/>
      <c r="Y319" s="141"/>
      <c r="Z319" s="131"/>
      <c r="AA319" s="131"/>
      <c r="AB319" s="131"/>
      <c r="AC319" s="131"/>
      <c r="AD319" s="127"/>
      <c r="AE319" s="244"/>
      <c r="AF319" s="121"/>
      <c r="AG319" s="121"/>
      <c r="AH319" s="121"/>
      <c r="AI319" s="121"/>
      <c r="AJ319" s="121">
        <f>COUNTA('All Details for ACID Pastor'!$V319:$AB319)</f>
        <v>0</v>
      </c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63"/>
      <c r="AX319" s="163"/>
      <c r="AZ319" s="121" t="s">
        <v>139</v>
      </c>
      <c r="BA319" s="163"/>
      <c r="BB319" s="163"/>
      <c r="BC319" s="163"/>
      <c r="BF319" s="163">
        <f>COUNTA('All Details for ACID Pastor'!$T319:$AB319)</f>
        <v>0</v>
      </c>
    </row>
    <row r="320" spans="1:74" s="174" customFormat="1" ht="70.150000000000006" customHeight="1">
      <c r="A320" s="103">
        <v>321</v>
      </c>
      <c r="B320" s="132" t="s">
        <v>1950</v>
      </c>
      <c r="C320" s="101" t="s">
        <v>1951</v>
      </c>
      <c r="D320" s="102" t="s">
        <v>53</v>
      </c>
      <c r="E320" s="102" t="s">
        <v>54</v>
      </c>
      <c r="F320" s="95"/>
      <c r="G320" s="95"/>
      <c r="H320" s="95"/>
      <c r="I320" s="95"/>
      <c r="J320" s="133" t="s">
        <v>1140</v>
      </c>
      <c r="K320" s="256" t="s">
        <v>1952</v>
      </c>
      <c r="L320" s="232" t="s">
        <v>4209</v>
      </c>
      <c r="M320" s="171" t="s">
        <v>1953</v>
      </c>
      <c r="N320" s="104" t="s">
        <v>1954</v>
      </c>
      <c r="O320" s="105" t="s">
        <v>1809</v>
      </c>
      <c r="P320" s="106" t="s">
        <v>1102</v>
      </c>
      <c r="Q320" s="106" t="s">
        <v>48</v>
      </c>
      <c r="R320" s="134">
        <v>9688195565</v>
      </c>
      <c r="S320" s="106" t="s">
        <v>1606</v>
      </c>
      <c r="T320" s="135"/>
      <c r="U320" s="176"/>
      <c r="V320" s="176"/>
      <c r="W320" s="176"/>
      <c r="X320" s="176"/>
      <c r="Y320" s="145"/>
      <c r="Z320" s="136"/>
      <c r="AA320" s="136"/>
      <c r="AB320" s="136"/>
      <c r="AC320" s="136"/>
      <c r="AD320" s="222"/>
      <c r="AE320" s="240"/>
      <c r="AF320" s="232"/>
      <c r="AG320" s="232"/>
      <c r="AH320" s="232"/>
      <c r="AI320" s="232"/>
      <c r="AJ320" s="232">
        <f>COUNTA('All Details for ACID Pastor'!$V320:$AB320)</f>
        <v>0</v>
      </c>
      <c r="AK320" s="232"/>
      <c r="AL320" s="232"/>
      <c r="AM320" s="232"/>
      <c r="AN320" s="232"/>
      <c r="AO320" s="232"/>
      <c r="AP320" s="232"/>
      <c r="AQ320" s="232"/>
      <c r="AR320" s="232"/>
      <c r="AS320" s="232"/>
      <c r="AT320" s="232"/>
      <c r="AU320" s="232"/>
      <c r="AV320" s="232"/>
      <c r="AW320" s="233"/>
      <c r="AX320" s="233"/>
      <c r="AY320" s="244"/>
      <c r="AZ320" s="232" t="s">
        <v>139</v>
      </c>
      <c r="BA320" s="233"/>
      <c r="BB320" s="233"/>
      <c r="BC320" s="233"/>
      <c r="BD320" s="244"/>
      <c r="BE320" s="277"/>
      <c r="BF320" s="233">
        <f>COUNTA('All Details for ACID Pastor'!$T320:$AB320)</f>
        <v>0</v>
      </c>
      <c r="BG320" s="249"/>
      <c r="BH320" s="249"/>
      <c r="BI320" s="249"/>
      <c r="BJ320" s="249"/>
      <c r="BK320" s="249"/>
      <c r="BL320" s="249"/>
      <c r="BM320" s="249"/>
      <c r="BN320" s="249"/>
      <c r="BO320" s="249"/>
      <c r="BP320" s="249"/>
      <c r="BQ320" s="249"/>
      <c r="BR320" s="249"/>
      <c r="BS320" s="249"/>
      <c r="BT320" s="249"/>
      <c r="BU320" s="249"/>
      <c r="BV320" s="249"/>
    </row>
    <row r="321" spans="1:74" ht="70.150000000000006" customHeight="1">
      <c r="A321" s="107">
        <v>322</v>
      </c>
      <c r="B321" s="124" t="s">
        <v>1955</v>
      </c>
      <c r="C321" s="90" t="s">
        <v>1956</v>
      </c>
      <c r="D321" s="95" t="s">
        <v>53</v>
      </c>
      <c r="E321" s="95" t="s">
        <v>54</v>
      </c>
      <c r="F321" s="95"/>
      <c r="G321" s="95"/>
      <c r="H321" s="95"/>
      <c r="I321" s="95"/>
      <c r="J321" s="115" t="s">
        <v>1957</v>
      </c>
      <c r="K321" s="193" t="s">
        <v>1958</v>
      </c>
      <c r="L321" s="121"/>
      <c r="M321" s="172"/>
      <c r="N321" s="93" t="s">
        <v>1959</v>
      </c>
      <c r="O321" s="92" t="s">
        <v>1960</v>
      </c>
      <c r="P321" s="88" t="s">
        <v>86</v>
      </c>
      <c r="Q321" s="88" t="s">
        <v>48</v>
      </c>
      <c r="R321" s="86">
        <v>9626835236</v>
      </c>
      <c r="S321" s="88" t="s">
        <v>1606</v>
      </c>
      <c r="T321" s="94"/>
      <c r="U321" s="140"/>
      <c r="V321" s="140"/>
      <c r="W321" s="140"/>
      <c r="X321" s="140"/>
      <c r="Y321" s="141"/>
      <c r="Z321" s="131"/>
      <c r="AA321" s="131"/>
      <c r="AB321" s="131"/>
      <c r="AC321" s="131"/>
      <c r="AD321" s="127"/>
      <c r="AF321" s="121"/>
      <c r="AG321" s="121"/>
      <c r="AH321" s="121"/>
      <c r="AI321" s="121"/>
      <c r="AJ321" s="121">
        <f>COUNTA('All Details for ACID Pastor'!$V321:$AB321)</f>
        <v>0</v>
      </c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63"/>
      <c r="AX321" s="163"/>
      <c r="AZ321" s="121" t="s">
        <v>139</v>
      </c>
      <c r="BA321" s="163"/>
      <c r="BB321" s="163"/>
      <c r="BC321" s="163"/>
      <c r="BF321" s="163">
        <f>COUNTA('All Details for ACID Pastor'!$T321:$AB321)</f>
        <v>0</v>
      </c>
    </row>
    <row r="322" spans="1:74" ht="70.150000000000006" customHeight="1">
      <c r="A322" s="107">
        <v>323</v>
      </c>
      <c r="B322" s="124" t="s">
        <v>1961</v>
      </c>
      <c r="C322" s="90" t="s">
        <v>1962</v>
      </c>
      <c r="D322" s="95" t="s">
        <v>53</v>
      </c>
      <c r="E322" s="95" t="s">
        <v>54</v>
      </c>
      <c r="F322" s="95"/>
      <c r="G322" s="95"/>
      <c r="H322" s="95"/>
      <c r="I322" s="95"/>
      <c r="J322" s="115" t="s">
        <v>312</v>
      </c>
      <c r="K322" s="193" t="s">
        <v>1963</v>
      </c>
      <c r="L322" s="121"/>
      <c r="M322" s="172"/>
      <c r="N322" s="93" t="s">
        <v>1964</v>
      </c>
      <c r="O322" s="92" t="s">
        <v>1965</v>
      </c>
      <c r="P322" s="88" t="s">
        <v>94</v>
      </c>
      <c r="Q322" s="88" t="s">
        <v>48</v>
      </c>
      <c r="R322" s="86">
        <v>9500906796</v>
      </c>
      <c r="S322" s="88" t="s">
        <v>1966</v>
      </c>
      <c r="T322" s="94"/>
      <c r="U322" s="140"/>
      <c r="V322" s="140"/>
      <c r="W322" s="140"/>
      <c r="X322" s="140"/>
      <c r="Y322" s="141"/>
      <c r="Z322" s="131"/>
      <c r="AA322" s="131"/>
      <c r="AB322" s="131"/>
      <c r="AC322" s="131"/>
      <c r="AD322" s="127"/>
      <c r="AF322" s="121"/>
      <c r="AG322" s="121"/>
      <c r="AH322" s="121"/>
      <c r="AI322" s="121"/>
      <c r="AJ322" s="121"/>
      <c r="AK322" s="121">
        <f>COUNTA('All Details for ACID Pastor'!$V322:$AB322)</f>
        <v>0</v>
      </c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63"/>
      <c r="AX322" s="163"/>
      <c r="AZ322" s="121" t="s">
        <v>1967</v>
      </c>
      <c r="BA322" s="163"/>
      <c r="BB322" s="163"/>
      <c r="BC322" s="163"/>
      <c r="BF322" s="163">
        <f>COUNTA('All Details for ACID Pastor'!$T322:$AB322)</f>
        <v>0</v>
      </c>
    </row>
    <row r="323" spans="1:74" ht="70.150000000000006" customHeight="1">
      <c r="A323" s="107">
        <v>324</v>
      </c>
      <c r="B323" s="124" t="s">
        <v>1968</v>
      </c>
      <c r="C323" s="90" t="s">
        <v>1969</v>
      </c>
      <c r="D323" s="95" t="s">
        <v>53</v>
      </c>
      <c r="E323" s="95" t="s">
        <v>160</v>
      </c>
      <c r="F323" s="95"/>
      <c r="G323" s="95"/>
      <c r="H323" s="95"/>
      <c r="I323" s="95"/>
      <c r="J323" s="115" t="s">
        <v>312</v>
      </c>
      <c r="K323" s="193" t="s">
        <v>1970</v>
      </c>
      <c r="L323" s="121"/>
      <c r="M323" s="172"/>
      <c r="N323" s="93" t="s">
        <v>1971</v>
      </c>
      <c r="O323" s="92" t="s">
        <v>1972</v>
      </c>
      <c r="P323" s="88" t="s">
        <v>94</v>
      </c>
      <c r="Q323" s="88" t="s">
        <v>48</v>
      </c>
      <c r="R323" s="86">
        <v>9940785720</v>
      </c>
      <c r="S323" s="88" t="s">
        <v>1966</v>
      </c>
      <c r="T323" s="94"/>
      <c r="U323" s="140"/>
      <c r="V323" s="125" t="s">
        <v>120</v>
      </c>
      <c r="W323" s="140"/>
      <c r="X323" s="140"/>
      <c r="Y323" s="141"/>
      <c r="Z323" s="131"/>
      <c r="AA323" s="131"/>
      <c r="AB323" s="131"/>
      <c r="AC323" s="131"/>
      <c r="AD323" s="127"/>
      <c r="AF323" s="121"/>
      <c r="AG323" s="121"/>
      <c r="AH323" s="121"/>
      <c r="AI323" s="121"/>
      <c r="AJ323" s="121"/>
      <c r="AK323" s="121">
        <f>COUNTA('All Details for ACID Pastor'!$V323:$AB323)</f>
        <v>1</v>
      </c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63"/>
      <c r="AX323" s="163"/>
      <c r="AZ323" s="121" t="s">
        <v>100</v>
      </c>
      <c r="BA323" s="163"/>
      <c r="BB323" s="163"/>
      <c r="BC323" s="163"/>
      <c r="BF323" s="163">
        <f>COUNTA('All Details for ACID Pastor'!$T323:$AB323)</f>
        <v>1</v>
      </c>
    </row>
    <row r="324" spans="1:74" ht="70.150000000000006" customHeight="1">
      <c r="A324" s="107">
        <v>325</v>
      </c>
      <c r="B324" s="124" t="s">
        <v>1973</v>
      </c>
      <c r="C324" s="90" t="s">
        <v>1974</v>
      </c>
      <c r="D324" s="95" t="s">
        <v>53</v>
      </c>
      <c r="E324" s="95" t="s">
        <v>1975</v>
      </c>
      <c r="F324" s="95"/>
      <c r="G324" s="95"/>
      <c r="H324" s="95"/>
      <c r="I324" s="95"/>
      <c r="J324" s="115" t="s">
        <v>103</v>
      </c>
      <c r="K324" s="193" t="s">
        <v>1976</v>
      </c>
      <c r="L324" s="121"/>
      <c r="M324" s="172"/>
      <c r="N324" s="93" t="s">
        <v>1977</v>
      </c>
      <c r="O324" s="92" t="s">
        <v>1978</v>
      </c>
      <c r="P324" s="88" t="s">
        <v>73</v>
      </c>
      <c r="Q324" s="88" t="s">
        <v>48</v>
      </c>
      <c r="R324" s="86">
        <v>9025376909</v>
      </c>
      <c r="S324" s="88" t="s">
        <v>1966</v>
      </c>
      <c r="T324" s="94"/>
      <c r="U324" s="140"/>
      <c r="V324" s="125" t="s">
        <v>295</v>
      </c>
      <c r="W324" s="140"/>
      <c r="X324" s="140"/>
      <c r="Y324" s="141"/>
      <c r="Z324" s="131"/>
      <c r="AA324" s="131"/>
      <c r="AB324" s="131"/>
      <c r="AC324" s="131"/>
      <c r="AD324" s="127"/>
      <c r="AF324" s="121"/>
      <c r="AG324" s="121"/>
      <c r="AH324" s="121"/>
      <c r="AI324" s="121"/>
      <c r="AJ324" s="121"/>
      <c r="AK324" s="121">
        <f>COUNTA('All Details for ACID Pastor'!$V324:$AB324)</f>
        <v>1</v>
      </c>
      <c r="AL324" s="121"/>
      <c r="AM324" s="121"/>
      <c r="AN324" s="121"/>
      <c r="AO324" s="121"/>
      <c r="AP324" s="121"/>
      <c r="AQ324" s="121"/>
      <c r="AR324" s="121"/>
      <c r="AS324" s="121"/>
      <c r="AT324" s="121"/>
      <c r="AU324" s="121"/>
      <c r="AV324" s="121"/>
      <c r="AW324" s="163"/>
      <c r="AX324" s="163"/>
      <c r="AZ324" s="121" t="s">
        <v>139</v>
      </c>
      <c r="BA324" s="163"/>
      <c r="BB324" s="163"/>
      <c r="BC324" s="163"/>
      <c r="BF324" s="163">
        <f>COUNTA('All Details for ACID Pastor'!$T324:$AB324)</f>
        <v>1</v>
      </c>
    </row>
    <row r="325" spans="1:74" ht="70.150000000000006" customHeight="1">
      <c r="A325" s="107">
        <v>326</v>
      </c>
      <c r="B325" s="124" t="s">
        <v>1979</v>
      </c>
      <c r="C325" s="90" t="s">
        <v>1980</v>
      </c>
      <c r="D325" s="95" t="s">
        <v>53</v>
      </c>
      <c r="E325" s="95" t="s">
        <v>54</v>
      </c>
      <c r="F325" s="95"/>
      <c r="G325" s="95"/>
      <c r="H325" s="95"/>
      <c r="I325" s="95"/>
      <c r="J325" s="115" t="s">
        <v>1140</v>
      </c>
      <c r="K325" s="193" t="s">
        <v>1981</v>
      </c>
      <c r="L325" s="121"/>
      <c r="M325" s="172"/>
      <c r="N325" s="93" t="s">
        <v>1982</v>
      </c>
      <c r="O325" s="92" t="s">
        <v>1983</v>
      </c>
      <c r="P325" s="88" t="s">
        <v>94</v>
      </c>
      <c r="Q325" s="88" t="s">
        <v>48</v>
      </c>
      <c r="R325" s="86">
        <v>9786727240</v>
      </c>
      <c r="S325" s="88" t="s">
        <v>1966</v>
      </c>
      <c r="T325" s="94"/>
      <c r="U325" s="140"/>
      <c r="V325" s="140"/>
      <c r="W325" s="140"/>
      <c r="X325" s="140"/>
      <c r="Y325" s="141"/>
      <c r="Z325" s="131"/>
      <c r="AA325" s="131"/>
      <c r="AB325" s="131"/>
      <c r="AC325" s="131"/>
      <c r="AD325" s="127"/>
      <c r="AF325" s="121"/>
      <c r="AG325" s="121"/>
      <c r="AH325" s="121"/>
      <c r="AI325" s="121"/>
      <c r="AJ325" s="121"/>
      <c r="AK325" s="121">
        <f>COUNTA('All Details for ACID Pastor'!$V325:$AB325)</f>
        <v>0</v>
      </c>
      <c r="AL325" s="121"/>
      <c r="AM325" s="121"/>
      <c r="AN325" s="121"/>
      <c r="AO325" s="121"/>
      <c r="AP325" s="121"/>
      <c r="AQ325" s="121"/>
      <c r="AR325" s="121"/>
      <c r="AS325" s="121"/>
      <c r="AT325" s="121"/>
      <c r="AU325" s="121"/>
      <c r="AV325" s="121"/>
      <c r="AW325" s="163"/>
      <c r="AX325" s="163"/>
      <c r="AZ325" s="121" t="s">
        <v>1967</v>
      </c>
      <c r="BA325" s="163"/>
      <c r="BB325" s="163"/>
      <c r="BC325" s="163"/>
      <c r="BF325" s="163">
        <f>COUNTA('All Details for ACID Pastor'!$T325:$AB325)</f>
        <v>0</v>
      </c>
    </row>
    <row r="326" spans="1:74" ht="70.150000000000006" customHeight="1">
      <c r="A326" s="107">
        <v>327</v>
      </c>
      <c r="B326" s="124" t="s">
        <v>1984</v>
      </c>
      <c r="C326" s="90" t="s">
        <v>1985</v>
      </c>
      <c r="D326" s="95" t="s">
        <v>53</v>
      </c>
      <c r="E326" s="95" t="s">
        <v>54</v>
      </c>
      <c r="F326" s="95"/>
      <c r="G326" s="95"/>
      <c r="H326" s="95"/>
      <c r="I326" s="95"/>
      <c r="J326" s="115" t="s">
        <v>1986</v>
      </c>
      <c r="K326" s="193" t="s">
        <v>1987</v>
      </c>
      <c r="L326" s="121"/>
      <c r="M326" s="172"/>
      <c r="N326" s="93" t="s">
        <v>1988</v>
      </c>
      <c r="O326" s="92" t="s">
        <v>1989</v>
      </c>
      <c r="P326" s="88" t="s">
        <v>166</v>
      </c>
      <c r="Q326" s="88" t="s">
        <v>48</v>
      </c>
      <c r="R326" s="86">
        <v>9443794570</v>
      </c>
      <c r="S326" s="88" t="s">
        <v>1966</v>
      </c>
      <c r="T326" s="94"/>
      <c r="U326" s="140"/>
      <c r="V326" s="140"/>
      <c r="W326" s="140"/>
      <c r="X326" s="140"/>
      <c r="Y326" s="141"/>
      <c r="Z326" s="131"/>
      <c r="AA326" s="131"/>
      <c r="AB326" s="131"/>
      <c r="AC326" s="131"/>
      <c r="AD326" s="127"/>
      <c r="AF326" s="121"/>
      <c r="AG326" s="121"/>
      <c r="AH326" s="121"/>
      <c r="AI326" s="121"/>
      <c r="AJ326" s="121"/>
      <c r="AK326" s="121">
        <f>COUNTA('All Details for ACID Pastor'!$V326:$AB326)</f>
        <v>0</v>
      </c>
      <c r="AL326" s="121"/>
      <c r="AM326" s="121"/>
      <c r="AN326" s="121"/>
      <c r="AO326" s="121"/>
      <c r="AP326" s="121"/>
      <c r="AQ326" s="121"/>
      <c r="AR326" s="121"/>
      <c r="AS326" s="121"/>
      <c r="AT326" s="121"/>
      <c r="AU326" s="121"/>
      <c r="AV326" s="121"/>
      <c r="AW326" s="163"/>
      <c r="AX326" s="163"/>
      <c r="AZ326" s="121" t="s">
        <v>139</v>
      </c>
      <c r="BA326" s="163"/>
      <c r="BB326" s="163"/>
      <c r="BC326" s="163"/>
      <c r="BF326" s="163">
        <f>COUNTA('All Details for ACID Pastor'!$T326:$AB326)</f>
        <v>0</v>
      </c>
    </row>
    <row r="327" spans="1:74" ht="70.150000000000006" customHeight="1">
      <c r="A327" s="107">
        <v>328</v>
      </c>
      <c r="B327" s="124" t="s">
        <v>1990</v>
      </c>
      <c r="C327" s="90" t="s">
        <v>1991</v>
      </c>
      <c r="D327" s="95" t="s">
        <v>53</v>
      </c>
      <c r="E327" s="95" t="s">
        <v>54</v>
      </c>
      <c r="F327" s="95"/>
      <c r="G327" s="95"/>
      <c r="H327" s="95"/>
      <c r="I327" s="95"/>
      <c r="J327" s="115" t="s">
        <v>1986</v>
      </c>
      <c r="K327" s="193" t="s">
        <v>1992</v>
      </c>
      <c r="L327" s="121"/>
      <c r="M327" s="172"/>
      <c r="N327" s="93" t="s">
        <v>1993</v>
      </c>
      <c r="O327" s="92" t="s">
        <v>1994</v>
      </c>
      <c r="P327" s="88" t="s">
        <v>503</v>
      </c>
      <c r="Q327" s="88" t="s">
        <v>48</v>
      </c>
      <c r="R327" s="86">
        <v>9486557595</v>
      </c>
      <c r="S327" s="88" t="s">
        <v>1966</v>
      </c>
      <c r="T327" s="94"/>
      <c r="U327" s="140"/>
      <c r="V327" s="140"/>
      <c r="W327" s="140"/>
      <c r="X327" s="140"/>
      <c r="Y327" s="141"/>
      <c r="Z327" s="131"/>
      <c r="AA327" s="131"/>
      <c r="AB327" s="131"/>
      <c r="AC327" s="131"/>
      <c r="AD327" s="127"/>
      <c r="AF327" s="121"/>
      <c r="AG327" s="121"/>
      <c r="AH327" s="121"/>
      <c r="AI327" s="121"/>
      <c r="AJ327" s="121"/>
      <c r="AK327" s="121">
        <f>COUNTA('All Details for ACID Pastor'!$V327:$AB327)</f>
        <v>0</v>
      </c>
      <c r="AL327" s="121"/>
      <c r="AM327" s="121"/>
      <c r="AN327" s="121"/>
      <c r="AO327" s="121"/>
      <c r="AP327" s="121"/>
      <c r="AQ327" s="121"/>
      <c r="AR327" s="121"/>
      <c r="AS327" s="121"/>
      <c r="AT327" s="121"/>
      <c r="AU327" s="121"/>
      <c r="AV327" s="121"/>
      <c r="AW327" s="163"/>
      <c r="AX327" s="163"/>
      <c r="AZ327" s="121" t="s">
        <v>139</v>
      </c>
      <c r="BA327" s="163"/>
      <c r="BB327" s="163"/>
      <c r="BC327" s="163"/>
      <c r="BF327" s="163">
        <f>COUNTA('All Details for ACID Pastor'!$T327:$AB327)</f>
        <v>0</v>
      </c>
    </row>
    <row r="328" spans="1:74" ht="70.150000000000006" customHeight="1">
      <c r="A328" s="107">
        <v>329</v>
      </c>
      <c r="B328" s="124" t="s">
        <v>1995</v>
      </c>
      <c r="C328" s="90" t="s">
        <v>1996</v>
      </c>
      <c r="D328" s="95" t="s">
        <v>53</v>
      </c>
      <c r="E328" s="95" t="s">
        <v>54</v>
      </c>
      <c r="F328" s="95"/>
      <c r="G328" s="95"/>
      <c r="H328" s="95"/>
      <c r="I328" s="95"/>
      <c r="J328" s="115" t="s">
        <v>1986</v>
      </c>
      <c r="K328" s="193" t="s">
        <v>1997</v>
      </c>
      <c r="L328" s="121"/>
      <c r="M328" s="172"/>
      <c r="N328" s="93" t="s">
        <v>1998</v>
      </c>
      <c r="O328" s="92" t="s">
        <v>1999</v>
      </c>
      <c r="P328" s="88" t="s">
        <v>166</v>
      </c>
      <c r="Q328" s="88" t="s">
        <v>48</v>
      </c>
      <c r="R328" s="86">
        <v>9585226578</v>
      </c>
      <c r="S328" s="88" t="s">
        <v>1966</v>
      </c>
      <c r="T328" s="94"/>
      <c r="U328" s="140"/>
      <c r="V328" s="140"/>
      <c r="W328" s="140"/>
      <c r="X328" s="140"/>
      <c r="Y328" s="141"/>
      <c r="Z328" s="131"/>
      <c r="AA328" s="131"/>
      <c r="AB328" s="131"/>
      <c r="AC328" s="131"/>
      <c r="AD328" s="127"/>
      <c r="AF328" s="121"/>
      <c r="AG328" s="121"/>
      <c r="AH328" s="121"/>
      <c r="AI328" s="121"/>
      <c r="AJ328" s="121"/>
      <c r="AK328" s="121">
        <f>COUNTA('All Details for ACID Pastor'!$V328:$AB328)</f>
        <v>0</v>
      </c>
      <c r="AL328" s="121"/>
      <c r="AM328" s="121"/>
      <c r="AN328" s="121"/>
      <c r="AO328" s="121"/>
      <c r="AP328" s="121"/>
      <c r="AQ328" s="121"/>
      <c r="AR328" s="121"/>
      <c r="AS328" s="121"/>
      <c r="AT328" s="121"/>
      <c r="AU328" s="121"/>
      <c r="AV328" s="121"/>
      <c r="AW328" s="163"/>
      <c r="AX328" s="163"/>
      <c r="AZ328" s="121" t="s">
        <v>139</v>
      </c>
      <c r="BA328" s="163"/>
      <c r="BB328" s="163"/>
      <c r="BC328" s="163"/>
      <c r="BF328" s="163">
        <f>COUNTA('All Details for ACID Pastor'!$T328:$AB328)</f>
        <v>0</v>
      </c>
    </row>
    <row r="329" spans="1:74" ht="70.150000000000006" customHeight="1">
      <c r="A329" s="107">
        <v>330</v>
      </c>
      <c r="B329" s="124" t="s">
        <v>2000</v>
      </c>
      <c r="C329" s="90" t="s">
        <v>2001</v>
      </c>
      <c r="D329" s="95" t="s">
        <v>53</v>
      </c>
      <c r="E329" s="95" t="s">
        <v>54</v>
      </c>
      <c r="F329" s="95"/>
      <c r="G329" s="95"/>
      <c r="H329" s="95"/>
      <c r="I329" s="95"/>
      <c r="J329" s="115" t="s">
        <v>1986</v>
      </c>
      <c r="K329" s="193" t="s">
        <v>2002</v>
      </c>
      <c r="L329" s="121"/>
      <c r="M329" s="172"/>
      <c r="N329" s="93" t="s">
        <v>2003</v>
      </c>
      <c r="O329" s="92" t="s">
        <v>2004</v>
      </c>
      <c r="P329" s="88" t="s">
        <v>166</v>
      </c>
      <c r="Q329" s="88" t="s">
        <v>48</v>
      </c>
      <c r="R329" s="86">
        <v>9629363810</v>
      </c>
      <c r="S329" s="88" t="s">
        <v>1966</v>
      </c>
      <c r="T329" s="94"/>
      <c r="U329" s="140"/>
      <c r="V329" s="140"/>
      <c r="W329" s="140"/>
      <c r="X329" s="140"/>
      <c r="Y329" s="141"/>
      <c r="Z329" s="131"/>
      <c r="AA329" s="131"/>
      <c r="AB329" s="131"/>
      <c r="AC329" s="131"/>
      <c r="AD329" s="127"/>
      <c r="AF329" s="121"/>
      <c r="AG329" s="121"/>
      <c r="AH329" s="121"/>
      <c r="AI329" s="121"/>
      <c r="AJ329" s="121"/>
      <c r="AK329" s="121">
        <f>COUNTA('All Details for ACID Pastor'!$V329:$AB329)</f>
        <v>0</v>
      </c>
      <c r="AL329" s="121"/>
      <c r="AM329" s="121"/>
      <c r="AN329" s="121"/>
      <c r="AO329" s="121"/>
      <c r="AP329" s="121"/>
      <c r="AQ329" s="121"/>
      <c r="AR329" s="121"/>
      <c r="AS329" s="121"/>
      <c r="AT329" s="121"/>
      <c r="AU329" s="121"/>
      <c r="AV329" s="121"/>
      <c r="AW329" s="163"/>
      <c r="AX329" s="163"/>
      <c r="AZ329" s="121" t="s">
        <v>139</v>
      </c>
      <c r="BA329" s="163"/>
      <c r="BB329" s="163"/>
      <c r="BC329" s="163"/>
      <c r="BF329" s="163">
        <f>COUNTA('All Details for ACID Pastor'!$T329:$AB329)</f>
        <v>0</v>
      </c>
    </row>
    <row r="330" spans="1:74" ht="70.150000000000006" customHeight="1">
      <c r="A330" s="107">
        <v>331</v>
      </c>
      <c r="B330" s="124" t="s">
        <v>2005</v>
      </c>
      <c r="C330" s="90" t="s">
        <v>2006</v>
      </c>
      <c r="D330" s="95" t="s">
        <v>53</v>
      </c>
      <c r="E330" s="95" t="s">
        <v>54</v>
      </c>
      <c r="F330" s="95"/>
      <c r="G330" s="95"/>
      <c r="H330" s="95"/>
      <c r="I330" s="95"/>
      <c r="J330" s="115" t="s">
        <v>1986</v>
      </c>
      <c r="K330" s="193" t="s">
        <v>2007</v>
      </c>
      <c r="L330" s="121"/>
      <c r="M330" s="172" t="s">
        <v>2008</v>
      </c>
      <c r="N330" s="93" t="s">
        <v>2009</v>
      </c>
      <c r="O330" s="92" t="s">
        <v>2010</v>
      </c>
      <c r="P330" s="88" t="s">
        <v>166</v>
      </c>
      <c r="Q330" s="88" t="s">
        <v>48</v>
      </c>
      <c r="R330" s="86">
        <v>9442402448</v>
      </c>
      <c r="S330" s="88" t="s">
        <v>1966</v>
      </c>
      <c r="T330" s="94"/>
      <c r="U330" s="140"/>
      <c r="V330" s="125" t="s">
        <v>818</v>
      </c>
      <c r="W330" s="140"/>
      <c r="X330" s="140"/>
      <c r="Y330" s="141"/>
      <c r="Z330" s="131"/>
      <c r="AA330" s="131"/>
      <c r="AB330" s="131"/>
      <c r="AC330" s="131"/>
      <c r="AD330" s="127"/>
      <c r="AF330" s="121"/>
      <c r="AG330" s="121"/>
      <c r="AH330" s="121"/>
      <c r="AI330" s="121"/>
      <c r="AJ330" s="121"/>
      <c r="AK330" s="121">
        <f>COUNTA('All Details for ACID Pastor'!$V330:$AB330)</f>
        <v>1</v>
      </c>
      <c r="AL330" s="121"/>
      <c r="AM330" s="121"/>
      <c r="AN330" s="121"/>
      <c r="AO330" s="121"/>
      <c r="AP330" s="121"/>
      <c r="AQ330" s="121"/>
      <c r="AR330" s="121"/>
      <c r="AS330" s="121"/>
      <c r="AT330" s="121"/>
      <c r="AU330" s="121"/>
      <c r="AV330" s="121"/>
      <c r="AW330" s="163"/>
      <c r="AX330" s="163"/>
      <c r="AZ330" s="121" t="s">
        <v>139</v>
      </c>
      <c r="BA330" s="163"/>
      <c r="BB330" s="163"/>
      <c r="BC330" s="163"/>
      <c r="BF330" s="163">
        <f>COUNTA('All Details for ACID Pastor'!$T330:$AB330)</f>
        <v>1</v>
      </c>
    </row>
    <row r="331" spans="1:74" ht="70.150000000000006" customHeight="1">
      <c r="A331" s="107">
        <v>332</v>
      </c>
      <c r="B331" s="124" t="s">
        <v>2011</v>
      </c>
      <c r="C331" s="90" t="s">
        <v>2012</v>
      </c>
      <c r="D331" s="95" t="s">
        <v>53</v>
      </c>
      <c r="E331" s="95" t="s">
        <v>54</v>
      </c>
      <c r="F331" s="95"/>
      <c r="G331" s="95"/>
      <c r="H331" s="95"/>
      <c r="I331" s="95"/>
      <c r="J331" s="115" t="s">
        <v>1986</v>
      </c>
      <c r="K331" s="193" t="s">
        <v>2013</v>
      </c>
      <c r="L331" s="121"/>
      <c r="M331" s="172" t="s">
        <v>2014</v>
      </c>
      <c r="N331" s="93" t="s">
        <v>2015</v>
      </c>
      <c r="O331" s="92" t="s">
        <v>2016</v>
      </c>
      <c r="P331" s="88" t="s">
        <v>166</v>
      </c>
      <c r="Q331" s="88" t="s">
        <v>48</v>
      </c>
      <c r="R331" s="86">
        <v>9442724141</v>
      </c>
      <c r="S331" s="88" t="s">
        <v>1966</v>
      </c>
      <c r="T331" s="94"/>
      <c r="U331" s="140"/>
      <c r="V331" s="140"/>
      <c r="W331" s="140"/>
      <c r="X331" s="140"/>
      <c r="Y331" s="141"/>
      <c r="Z331" s="131"/>
      <c r="AA331" s="131"/>
      <c r="AB331" s="131"/>
      <c r="AC331" s="131"/>
      <c r="AD331" s="127"/>
      <c r="AE331" s="244"/>
      <c r="AF331" s="121"/>
      <c r="AG331" s="121"/>
      <c r="AH331" s="121"/>
      <c r="AI331" s="121"/>
      <c r="AJ331" s="121"/>
      <c r="AK331" s="121">
        <f>COUNTA('All Details for ACID Pastor'!$V331:$AB331)</f>
        <v>0</v>
      </c>
      <c r="AL331" s="121"/>
      <c r="AM331" s="121"/>
      <c r="AN331" s="121"/>
      <c r="AO331" s="121"/>
      <c r="AP331" s="121"/>
      <c r="AQ331" s="121"/>
      <c r="AR331" s="121"/>
      <c r="AS331" s="121"/>
      <c r="AT331" s="121"/>
      <c r="AU331" s="121"/>
      <c r="AV331" s="121"/>
      <c r="AW331" s="163"/>
      <c r="AX331" s="163"/>
      <c r="AZ331" s="121" t="s">
        <v>139</v>
      </c>
      <c r="BA331" s="163"/>
      <c r="BB331" s="163"/>
      <c r="BC331" s="163"/>
      <c r="BF331" s="163">
        <f>COUNTA('All Details for ACID Pastor'!$T331:$AB331)</f>
        <v>0</v>
      </c>
    </row>
    <row r="332" spans="1:74" s="174" customFormat="1" ht="70.150000000000006" customHeight="1">
      <c r="A332" s="103">
        <v>333</v>
      </c>
      <c r="B332" s="132" t="s">
        <v>2017</v>
      </c>
      <c r="C332" s="101" t="s">
        <v>2018</v>
      </c>
      <c r="D332" s="102" t="s">
        <v>53</v>
      </c>
      <c r="E332" s="102" t="s">
        <v>54</v>
      </c>
      <c r="F332" s="95"/>
      <c r="G332" s="95"/>
      <c r="H332" s="95"/>
      <c r="I332" s="95"/>
      <c r="J332" s="133" t="s">
        <v>519</v>
      </c>
      <c r="K332" s="256" t="s">
        <v>2019</v>
      </c>
      <c r="L332" s="232" t="s">
        <v>4201</v>
      </c>
      <c r="M332" s="171"/>
      <c r="N332" s="104" t="s">
        <v>2020</v>
      </c>
      <c r="O332" s="105" t="s">
        <v>2021</v>
      </c>
      <c r="P332" s="106" t="s">
        <v>642</v>
      </c>
      <c r="Q332" s="106" t="s">
        <v>517</v>
      </c>
      <c r="R332" s="134">
        <v>9495526428</v>
      </c>
      <c r="S332" s="106" t="s">
        <v>1966</v>
      </c>
      <c r="T332" s="135"/>
      <c r="U332" s="176"/>
      <c r="V332" s="144" t="s">
        <v>2022</v>
      </c>
      <c r="W332" s="176"/>
      <c r="X332" s="176"/>
      <c r="Y332" s="145"/>
      <c r="Z332" s="136"/>
      <c r="AA332" s="136"/>
      <c r="AB332" s="136"/>
      <c r="AC332" s="136"/>
      <c r="AD332" s="222"/>
      <c r="AE332" s="240"/>
      <c r="AF332" s="232"/>
      <c r="AG332" s="232"/>
      <c r="AH332" s="232"/>
      <c r="AI332" s="232"/>
      <c r="AJ332" s="232"/>
      <c r="AK332" s="232">
        <f>COUNTA('All Details for ACID Pastor'!$V332:$AB332)</f>
        <v>1</v>
      </c>
      <c r="AL332" s="232"/>
      <c r="AM332" s="232"/>
      <c r="AN332" s="232"/>
      <c r="AO332" s="232"/>
      <c r="AP332" s="232"/>
      <c r="AQ332" s="232"/>
      <c r="AR332" s="232"/>
      <c r="AS332" s="232"/>
      <c r="AT332" s="232"/>
      <c r="AU332" s="232"/>
      <c r="AV332" s="232"/>
      <c r="AW332" s="233"/>
      <c r="AX332" s="233"/>
      <c r="AY332" s="244"/>
      <c r="AZ332" s="232" t="s">
        <v>139</v>
      </c>
      <c r="BA332" s="233"/>
      <c r="BB332" s="233"/>
      <c r="BC332" s="233"/>
      <c r="BD332" s="244"/>
      <c r="BE332" s="277"/>
      <c r="BF332" s="233">
        <f>COUNTA('All Details for ACID Pastor'!$T332:$AB332)</f>
        <v>1</v>
      </c>
      <c r="BG332" s="249"/>
      <c r="BH332" s="249"/>
      <c r="BI332" s="249"/>
      <c r="BJ332" s="249"/>
      <c r="BK332" s="249"/>
      <c r="BL332" s="249"/>
      <c r="BM332" s="249"/>
      <c r="BN332" s="249"/>
      <c r="BO332" s="249"/>
      <c r="BP332" s="249"/>
      <c r="BQ332" s="249"/>
      <c r="BR332" s="249"/>
      <c r="BS332" s="249"/>
      <c r="BT332" s="249"/>
      <c r="BU332" s="249"/>
      <c r="BV332" s="249"/>
    </row>
    <row r="333" spans="1:74" ht="70.150000000000006" customHeight="1">
      <c r="A333" s="107">
        <v>334</v>
      </c>
      <c r="B333" s="124" t="s">
        <v>2023</v>
      </c>
      <c r="C333" s="90" t="s">
        <v>2024</v>
      </c>
      <c r="D333" s="95" t="s">
        <v>53</v>
      </c>
      <c r="E333" s="95" t="s">
        <v>54</v>
      </c>
      <c r="F333" s="95"/>
      <c r="G333" s="95"/>
      <c r="H333" s="95"/>
      <c r="I333" s="95"/>
      <c r="J333" s="115" t="s">
        <v>1986</v>
      </c>
      <c r="K333" s="193" t="s">
        <v>2025</v>
      </c>
      <c r="L333" s="121"/>
      <c r="M333" s="172"/>
      <c r="N333" s="93" t="s">
        <v>2026</v>
      </c>
      <c r="O333" s="92" t="s">
        <v>2027</v>
      </c>
      <c r="P333" s="88" t="s">
        <v>166</v>
      </c>
      <c r="Q333" s="88" t="s">
        <v>48</v>
      </c>
      <c r="R333" s="86">
        <v>9865660047</v>
      </c>
      <c r="S333" s="88" t="s">
        <v>1966</v>
      </c>
      <c r="T333" s="94"/>
      <c r="U333" s="140"/>
      <c r="V333" s="131" t="s">
        <v>4218</v>
      </c>
      <c r="W333" s="131" t="s">
        <v>4218</v>
      </c>
      <c r="X333" s="131" t="s">
        <v>4218</v>
      </c>
      <c r="Y333" s="131" t="s">
        <v>4218</v>
      </c>
      <c r="Z333" s="131" t="s">
        <v>4218</v>
      </c>
      <c r="AA333" s="131" t="s">
        <v>4218</v>
      </c>
      <c r="AB333" s="131" t="s">
        <v>4218</v>
      </c>
      <c r="AC333" s="131" t="s">
        <v>4218</v>
      </c>
      <c r="AD333" s="127" t="s">
        <v>4218</v>
      </c>
      <c r="AF333" s="121"/>
      <c r="AG333" s="121"/>
      <c r="AH333" s="121"/>
      <c r="AI333" s="121"/>
      <c r="AJ333" s="121"/>
      <c r="AK333" s="121">
        <v>10</v>
      </c>
      <c r="AL333" s="121"/>
      <c r="AM333" s="121"/>
      <c r="AN333" s="121"/>
      <c r="AO333" s="121"/>
      <c r="AP333" s="121"/>
      <c r="AQ333" s="121"/>
      <c r="AR333" s="121"/>
      <c r="AS333" s="121"/>
      <c r="AT333" s="121"/>
      <c r="AU333" s="121"/>
      <c r="AV333" s="121"/>
      <c r="AW333" s="163"/>
      <c r="AX333" s="163"/>
      <c r="AZ333" s="121" t="s">
        <v>49</v>
      </c>
      <c r="BA333" s="163"/>
      <c r="BB333" s="163"/>
      <c r="BC333" s="163"/>
      <c r="BF333" s="163">
        <f>COUNTA('All Details for ACID Pastor'!$T333:$AB333)</f>
        <v>7</v>
      </c>
    </row>
    <row r="334" spans="1:74" ht="70.150000000000006" customHeight="1">
      <c r="A334" s="107">
        <v>335</v>
      </c>
      <c r="B334" s="124" t="s">
        <v>2028</v>
      </c>
      <c r="C334" s="90" t="s">
        <v>2029</v>
      </c>
      <c r="D334" s="95" t="s">
        <v>53</v>
      </c>
      <c r="E334" s="95" t="s">
        <v>54</v>
      </c>
      <c r="F334" s="95"/>
      <c r="G334" s="95"/>
      <c r="H334" s="95"/>
      <c r="I334" s="95"/>
      <c r="J334" s="115" t="s">
        <v>1986</v>
      </c>
      <c r="K334" s="193" t="s">
        <v>2030</v>
      </c>
      <c r="L334" s="121"/>
      <c r="M334" s="172"/>
      <c r="N334" s="93" t="s">
        <v>2031</v>
      </c>
      <c r="O334" s="92" t="s">
        <v>2032</v>
      </c>
      <c r="P334" s="88" t="s">
        <v>166</v>
      </c>
      <c r="Q334" s="88" t="s">
        <v>48</v>
      </c>
      <c r="R334" s="86">
        <v>9043233826</v>
      </c>
      <c r="S334" s="88" t="s">
        <v>1966</v>
      </c>
      <c r="T334" s="94"/>
      <c r="U334" s="140"/>
      <c r="V334" s="140"/>
      <c r="W334" s="140"/>
      <c r="X334" s="140"/>
      <c r="Y334" s="141"/>
      <c r="Z334" s="131"/>
      <c r="AA334" s="131"/>
      <c r="AB334" s="131"/>
      <c r="AC334" s="131"/>
      <c r="AD334" s="127"/>
      <c r="AE334" s="244"/>
      <c r="AF334" s="121"/>
      <c r="AG334" s="121"/>
      <c r="AH334" s="121"/>
      <c r="AI334" s="121"/>
      <c r="AJ334" s="121"/>
      <c r="AK334" s="121">
        <f>COUNTA('All Details for ACID Pastor'!$V334:$AB334)</f>
        <v>0</v>
      </c>
      <c r="AL334" s="121"/>
      <c r="AM334" s="121"/>
      <c r="AN334" s="121"/>
      <c r="AO334" s="121"/>
      <c r="AP334" s="121"/>
      <c r="AQ334" s="121"/>
      <c r="AR334" s="121"/>
      <c r="AS334" s="121"/>
      <c r="AT334" s="121"/>
      <c r="AU334" s="121"/>
      <c r="AV334" s="121"/>
      <c r="AW334" s="163"/>
      <c r="AX334" s="163"/>
      <c r="AZ334" s="121" t="s">
        <v>139</v>
      </c>
      <c r="BA334" s="163"/>
      <c r="BB334" s="163"/>
      <c r="BC334" s="163"/>
      <c r="BF334" s="163">
        <f>COUNTA('All Details for ACID Pastor'!$T334:$AB334)</f>
        <v>0</v>
      </c>
    </row>
    <row r="335" spans="1:74" s="174" customFormat="1" ht="70.150000000000006" customHeight="1">
      <c r="A335" s="103">
        <v>336</v>
      </c>
      <c r="B335" s="132" t="s">
        <v>2033</v>
      </c>
      <c r="C335" s="101" t="s">
        <v>2034</v>
      </c>
      <c r="D335" s="102" t="s">
        <v>53</v>
      </c>
      <c r="E335" s="102" t="s">
        <v>54</v>
      </c>
      <c r="F335" s="95"/>
      <c r="G335" s="95"/>
      <c r="H335" s="95"/>
      <c r="I335" s="95"/>
      <c r="J335" s="133" t="s">
        <v>1986</v>
      </c>
      <c r="K335" s="256" t="s">
        <v>2035</v>
      </c>
      <c r="L335" s="232" t="s">
        <v>4209</v>
      </c>
      <c r="M335" s="171" t="s">
        <v>2036</v>
      </c>
      <c r="N335" s="104" t="s">
        <v>2037</v>
      </c>
      <c r="O335" s="105" t="s">
        <v>2038</v>
      </c>
      <c r="P335" s="106" t="s">
        <v>642</v>
      </c>
      <c r="Q335" s="106" t="s">
        <v>517</v>
      </c>
      <c r="R335" s="134">
        <v>9447384346</v>
      </c>
      <c r="S335" s="106" t="s">
        <v>1966</v>
      </c>
      <c r="T335" s="135"/>
      <c r="U335" s="176"/>
      <c r="V335" s="176"/>
      <c r="W335" s="176"/>
      <c r="X335" s="176"/>
      <c r="Y335" s="145"/>
      <c r="Z335" s="136"/>
      <c r="AA335" s="136"/>
      <c r="AB335" s="136"/>
      <c r="AC335" s="136"/>
      <c r="AD335" s="222"/>
      <c r="AE335" s="240"/>
      <c r="AF335" s="232"/>
      <c r="AG335" s="232"/>
      <c r="AH335" s="232"/>
      <c r="AI335" s="232"/>
      <c r="AJ335" s="232"/>
      <c r="AK335" s="232">
        <f>COUNTA('All Details for ACID Pastor'!$V335:$AB335)</f>
        <v>0</v>
      </c>
      <c r="AL335" s="232"/>
      <c r="AM335" s="232"/>
      <c r="AN335" s="232"/>
      <c r="AO335" s="232"/>
      <c r="AP335" s="232"/>
      <c r="AQ335" s="232"/>
      <c r="AR335" s="232"/>
      <c r="AS335" s="232"/>
      <c r="AT335" s="232"/>
      <c r="AU335" s="232"/>
      <c r="AV335" s="232"/>
      <c r="AW335" s="233"/>
      <c r="AX335" s="233"/>
      <c r="AY335" s="244"/>
      <c r="AZ335" s="232" t="s">
        <v>139</v>
      </c>
      <c r="BA335" s="233"/>
      <c r="BB335" s="233"/>
      <c r="BC335" s="233"/>
      <c r="BD335" s="244"/>
      <c r="BE335" s="277"/>
      <c r="BF335" s="233">
        <f>COUNTA('All Details for ACID Pastor'!$T335:$AB335)</f>
        <v>0</v>
      </c>
      <c r="BG335" s="249"/>
      <c r="BH335" s="249"/>
      <c r="BI335" s="249"/>
      <c r="BJ335" s="249"/>
      <c r="BK335" s="249"/>
      <c r="BL335" s="249"/>
      <c r="BM335" s="249"/>
      <c r="BN335" s="249"/>
      <c r="BO335" s="249"/>
      <c r="BP335" s="249"/>
      <c r="BQ335" s="249"/>
      <c r="BR335" s="249"/>
      <c r="BS335" s="249"/>
      <c r="BT335" s="249"/>
      <c r="BU335" s="249"/>
      <c r="BV335" s="249"/>
    </row>
    <row r="336" spans="1:74" ht="70.150000000000006" customHeight="1">
      <c r="A336" s="107">
        <v>337</v>
      </c>
      <c r="B336" s="124" t="s">
        <v>2039</v>
      </c>
      <c r="C336" s="90" t="s">
        <v>2040</v>
      </c>
      <c r="D336" s="95" t="s">
        <v>53</v>
      </c>
      <c r="E336" s="95" t="s">
        <v>1975</v>
      </c>
      <c r="F336" s="95"/>
      <c r="G336" s="95"/>
      <c r="H336" s="95"/>
      <c r="I336" s="95"/>
      <c r="J336" s="115" t="s">
        <v>2041</v>
      </c>
      <c r="K336" s="193" t="s">
        <v>2042</v>
      </c>
      <c r="L336" s="121"/>
      <c r="M336" s="172"/>
      <c r="N336" s="93" t="s">
        <v>2043</v>
      </c>
      <c r="O336" s="92" t="s">
        <v>724</v>
      </c>
      <c r="P336" s="88" t="s">
        <v>166</v>
      </c>
      <c r="Q336" s="88" t="s">
        <v>48</v>
      </c>
      <c r="R336" s="86">
        <v>7373599009</v>
      </c>
      <c r="S336" s="88" t="s">
        <v>1966</v>
      </c>
      <c r="T336" s="94"/>
      <c r="U336" s="140"/>
      <c r="V336" s="140"/>
      <c r="W336" s="140"/>
      <c r="X336" s="140"/>
      <c r="Y336" s="141"/>
      <c r="Z336" s="131"/>
      <c r="AA336" s="131"/>
      <c r="AB336" s="131"/>
      <c r="AC336" s="131"/>
      <c r="AD336" s="127"/>
      <c r="AF336" s="121"/>
      <c r="AG336" s="121"/>
      <c r="AH336" s="121"/>
      <c r="AI336" s="121"/>
      <c r="AJ336" s="121"/>
      <c r="AK336" s="121">
        <f>COUNTA('All Details for ACID Pastor'!$V336:$AB336)</f>
        <v>0</v>
      </c>
      <c r="AL336" s="121"/>
      <c r="AM336" s="121"/>
      <c r="AN336" s="121"/>
      <c r="AO336" s="121"/>
      <c r="AP336" s="121"/>
      <c r="AQ336" s="121"/>
      <c r="AR336" s="121"/>
      <c r="AS336" s="121"/>
      <c r="AT336" s="121"/>
      <c r="AU336" s="121"/>
      <c r="AV336" s="121"/>
      <c r="AW336" s="163"/>
      <c r="AX336" s="163"/>
      <c r="AZ336" s="121" t="s">
        <v>139</v>
      </c>
      <c r="BA336" s="163"/>
      <c r="BB336" s="163"/>
      <c r="BC336" s="163"/>
      <c r="BF336" s="163">
        <f>COUNTA('All Details for ACID Pastor'!$T336:$AB336)</f>
        <v>0</v>
      </c>
    </row>
    <row r="337" spans="1:58" ht="70.150000000000006" customHeight="1">
      <c r="A337" s="107">
        <v>338</v>
      </c>
      <c r="B337" s="124" t="s">
        <v>2044</v>
      </c>
      <c r="C337" s="90" t="s">
        <v>2045</v>
      </c>
      <c r="D337" s="95" t="s">
        <v>53</v>
      </c>
      <c r="E337" s="95" t="s">
        <v>54</v>
      </c>
      <c r="F337" s="95"/>
      <c r="G337" s="95"/>
      <c r="H337" s="95"/>
      <c r="I337" s="95"/>
      <c r="J337" s="115" t="s">
        <v>2041</v>
      </c>
      <c r="K337" s="193" t="s">
        <v>2046</v>
      </c>
      <c r="L337" s="121"/>
      <c r="M337" s="172" t="s">
        <v>2047</v>
      </c>
      <c r="N337" s="93" t="s">
        <v>2048</v>
      </c>
      <c r="O337" s="92" t="s">
        <v>2049</v>
      </c>
      <c r="P337" s="88" t="s">
        <v>166</v>
      </c>
      <c r="Q337" s="88" t="s">
        <v>48</v>
      </c>
      <c r="R337" s="86">
        <v>9943477716</v>
      </c>
      <c r="S337" s="88" t="s">
        <v>1966</v>
      </c>
      <c r="T337" s="94"/>
      <c r="U337" s="140"/>
      <c r="V337" s="140"/>
      <c r="W337" s="140"/>
      <c r="X337" s="140"/>
      <c r="Y337" s="141"/>
      <c r="Z337" s="131"/>
      <c r="AA337" s="131"/>
      <c r="AB337" s="131"/>
      <c r="AC337" s="131"/>
      <c r="AD337" s="127"/>
      <c r="AF337" s="121"/>
      <c r="AG337" s="121"/>
      <c r="AH337" s="121"/>
      <c r="AI337" s="121"/>
      <c r="AJ337" s="121"/>
      <c r="AK337" s="121">
        <f>COUNTA('All Details for ACID Pastor'!$V337:$AB337)</f>
        <v>0</v>
      </c>
      <c r="AL337" s="121"/>
      <c r="AM337" s="121"/>
      <c r="AN337" s="121"/>
      <c r="AO337" s="121"/>
      <c r="AP337" s="121"/>
      <c r="AQ337" s="121"/>
      <c r="AR337" s="121"/>
      <c r="AS337" s="121"/>
      <c r="AT337" s="121"/>
      <c r="AU337" s="121"/>
      <c r="AV337" s="121"/>
      <c r="AW337" s="163"/>
      <c r="AX337" s="163"/>
      <c r="AZ337" s="121" t="s">
        <v>139</v>
      </c>
      <c r="BA337" s="163"/>
      <c r="BB337" s="163"/>
      <c r="BC337" s="163"/>
      <c r="BF337" s="163">
        <f>COUNTA('All Details for ACID Pastor'!$T337:$AB337)</f>
        <v>0</v>
      </c>
    </row>
    <row r="338" spans="1:58" ht="70.150000000000006" customHeight="1">
      <c r="A338" s="107">
        <v>339</v>
      </c>
      <c r="B338" s="124" t="s">
        <v>2050</v>
      </c>
      <c r="C338" s="90" t="s">
        <v>2051</v>
      </c>
      <c r="D338" s="95" t="s">
        <v>53</v>
      </c>
      <c r="E338" s="95" t="s">
        <v>54</v>
      </c>
      <c r="F338" s="95"/>
      <c r="G338" s="95"/>
      <c r="H338" s="95"/>
      <c r="I338" s="95"/>
      <c r="J338" s="115" t="s">
        <v>2041</v>
      </c>
      <c r="K338" s="193" t="s">
        <v>2052</v>
      </c>
      <c r="L338" s="121"/>
      <c r="M338" s="172" t="s">
        <v>2053</v>
      </c>
      <c r="N338" s="93" t="s">
        <v>2054</v>
      </c>
      <c r="O338" s="92" t="s">
        <v>2055</v>
      </c>
      <c r="P338" s="88" t="s">
        <v>166</v>
      </c>
      <c r="Q338" s="88" t="s">
        <v>48</v>
      </c>
      <c r="R338" s="86" t="s">
        <v>2056</v>
      </c>
      <c r="S338" s="88" t="s">
        <v>1966</v>
      </c>
      <c r="T338" s="94"/>
      <c r="U338" s="140"/>
      <c r="V338" s="140"/>
      <c r="W338" s="140"/>
      <c r="X338" s="140"/>
      <c r="Y338" s="141"/>
      <c r="Z338" s="131"/>
      <c r="AA338" s="131"/>
      <c r="AB338" s="131"/>
      <c r="AC338" s="131"/>
      <c r="AD338" s="127"/>
      <c r="AF338" s="121"/>
      <c r="AG338" s="121"/>
      <c r="AH338" s="121"/>
      <c r="AI338" s="121"/>
      <c r="AJ338" s="121"/>
      <c r="AK338" s="121">
        <f>COUNTA('All Details for ACID Pastor'!$V338:$AB338)</f>
        <v>0</v>
      </c>
      <c r="AL338" s="121"/>
      <c r="AM338" s="121"/>
      <c r="AN338" s="121"/>
      <c r="AO338" s="121"/>
      <c r="AP338" s="121"/>
      <c r="AQ338" s="121"/>
      <c r="AR338" s="121"/>
      <c r="AS338" s="121"/>
      <c r="AT338" s="121"/>
      <c r="AU338" s="121"/>
      <c r="AV338" s="121"/>
      <c r="AW338" s="163"/>
      <c r="AX338" s="163"/>
      <c r="AZ338" s="121" t="s">
        <v>139</v>
      </c>
      <c r="BA338" s="163"/>
      <c r="BB338" s="163"/>
      <c r="BC338" s="163"/>
      <c r="BF338" s="163">
        <f>COUNTA('All Details for ACID Pastor'!$T338:$AB338)</f>
        <v>0</v>
      </c>
    </row>
    <row r="339" spans="1:58" ht="70.150000000000006" customHeight="1">
      <c r="A339" s="107">
        <v>340</v>
      </c>
      <c r="B339" s="124" t="s">
        <v>2057</v>
      </c>
      <c r="C339" s="90" t="s">
        <v>2058</v>
      </c>
      <c r="D339" s="95" t="s">
        <v>53</v>
      </c>
      <c r="E339" s="95" t="s">
        <v>54</v>
      </c>
      <c r="F339" s="95"/>
      <c r="G339" s="95"/>
      <c r="H339" s="95"/>
      <c r="I339" s="95"/>
      <c r="J339" s="115" t="s">
        <v>2041</v>
      </c>
      <c r="K339" s="193" t="s">
        <v>2059</v>
      </c>
      <c r="L339" s="121"/>
      <c r="M339" s="172"/>
      <c r="N339" s="93" t="s">
        <v>2060</v>
      </c>
      <c r="O339" s="92" t="s">
        <v>1925</v>
      </c>
      <c r="P339" s="88" t="s">
        <v>166</v>
      </c>
      <c r="Q339" s="88" t="s">
        <v>48</v>
      </c>
      <c r="R339" s="86">
        <v>7092604283</v>
      </c>
      <c r="S339" s="88" t="s">
        <v>1966</v>
      </c>
      <c r="T339" s="94"/>
      <c r="U339" s="140"/>
      <c r="V339" s="131" t="s">
        <v>4218</v>
      </c>
      <c r="W339" s="131" t="s">
        <v>4218</v>
      </c>
      <c r="X339" s="131" t="s">
        <v>4218</v>
      </c>
      <c r="Y339" s="131" t="s">
        <v>4218</v>
      </c>
      <c r="Z339" s="131" t="s">
        <v>4218</v>
      </c>
      <c r="AA339" s="131" t="s">
        <v>4218</v>
      </c>
      <c r="AB339" s="131" t="s">
        <v>4218</v>
      </c>
      <c r="AC339" s="131" t="s">
        <v>4218</v>
      </c>
      <c r="AD339" s="127" t="s">
        <v>4218</v>
      </c>
      <c r="AF339" s="121"/>
      <c r="AG339" s="121"/>
      <c r="AH339" s="121"/>
      <c r="AI339" s="121"/>
      <c r="AJ339" s="121"/>
      <c r="AK339" s="121">
        <v>10</v>
      </c>
      <c r="AL339" s="121"/>
      <c r="AM339" s="121"/>
      <c r="AN339" s="121"/>
      <c r="AO339" s="121"/>
      <c r="AP339" s="121"/>
      <c r="AQ339" s="121"/>
      <c r="AR339" s="121"/>
      <c r="AS339" s="121"/>
      <c r="AT339" s="121"/>
      <c r="AU339" s="121"/>
      <c r="AV339" s="121"/>
      <c r="AW339" s="163"/>
      <c r="AX339" s="163"/>
      <c r="AZ339" s="121" t="s">
        <v>49</v>
      </c>
      <c r="BA339" s="163"/>
      <c r="BB339" s="163"/>
      <c r="BC339" s="163"/>
      <c r="BF339" s="163">
        <f>COUNTA('All Details for ACID Pastor'!$T339:$AB339)</f>
        <v>7</v>
      </c>
    </row>
    <row r="340" spans="1:58" ht="70.150000000000006" customHeight="1">
      <c r="A340" s="107">
        <v>341</v>
      </c>
      <c r="B340" s="124" t="s">
        <v>2061</v>
      </c>
      <c r="C340" s="90" t="s">
        <v>2062</v>
      </c>
      <c r="D340" s="95" t="s">
        <v>53</v>
      </c>
      <c r="E340" s="95" t="s">
        <v>54</v>
      </c>
      <c r="F340" s="95"/>
      <c r="G340" s="95"/>
      <c r="H340" s="95"/>
      <c r="I340" s="95"/>
      <c r="J340" s="115" t="s">
        <v>2041</v>
      </c>
      <c r="K340" s="193" t="s">
        <v>2063</v>
      </c>
      <c r="L340" s="121"/>
      <c r="M340" s="172" t="s">
        <v>2064</v>
      </c>
      <c r="N340" s="93" t="s">
        <v>2065</v>
      </c>
      <c r="O340" s="92" t="s">
        <v>1925</v>
      </c>
      <c r="P340" s="88" t="s">
        <v>503</v>
      </c>
      <c r="Q340" s="88" t="s">
        <v>48</v>
      </c>
      <c r="R340" s="86">
        <v>8695468902</v>
      </c>
      <c r="S340" s="88" t="s">
        <v>1966</v>
      </c>
      <c r="T340" s="94"/>
      <c r="U340" s="140"/>
      <c r="V340" s="125" t="s">
        <v>1781</v>
      </c>
      <c r="W340" s="140"/>
      <c r="X340" s="140"/>
      <c r="Y340" s="141"/>
      <c r="Z340" s="131"/>
      <c r="AA340" s="131"/>
      <c r="AB340" s="131"/>
      <c r="AC340" s="131"/>
      <c r="AD340" s="127"/>
      <c r="AF340" s="121"/>
      <c r="AG340" s="121"/>
      <c r="AH340" s="121"/>
      <c r="AI340" s="121"/>
      <c r="AJ340" s="121"/>
      <c r="AK340" s="121">
        <f>COUNTA('All Details for ACID Pastor'!$V340:$AB340)</f>
        <v>1</v>
      </c>
      <c r="AL340" s="121"/>
      <c r="AM340" s="121"/>
      <c r="AN340" s="121"/>
      <c r="AO340" s="121"/>
      <c r="AP340" s="121"/>
      <c r="AQ340" s="121"/>
      <c r="AR340" s="121"/>
      <c r="AS340" s="121"/>
      <c r="AT340" s="121"/>
      <c r="AU340" s="121"/>
      <c r="AV340" s="121"/>
      <c r="AW340" s="163"/>
      <c r="AX340" s="163"/>
      <c r="AZ340" s="121" t="s">
        <v>139</v>
      </c>
      <c r="BA340" s="163"/>
      <c r="BB340" s="163"/>
      <c r="BC340" s="163"/>
      <c r="BF340" s="163">
        <f>COUNTA('All Details for ACID Pastor'!$T340:$AB340)</f>
        <v>1</v>
      </c>
    </row>
    <row r="341" spans="1:58" ht="70.150000000000006" customHeight="1">
      <c r="A341" s="107">
        <v>342</v>
      </c>
      <c r="B341" s="124" t="s">
        <v>2066</v>
      </c>
      <c r="C341" s="90" t="s">
        <v>2067</v>
      </c>
      <c r="D341" s="95" t="s">
        <v>53</v>
      </c>
      <c r="E341" s="95" t="s">
        <v>54</v>
      </c>
      <c r="F341" s="95"/>
      <c r="G341" s="95"/>
      <c r="H341" s="95"/>
      <c r="I341" s="95"/>
      <c r="J341" s="115" t="s">
        <v>2041</v>
      </c>
      <c r="K341" s="193" t="s">
        <v>2068</v>
      </c>
      <c r="L341" s="121"/>
      <c r="M341" s="172"/>
      <c r="N341" s="93" t="s">
        <v>2069</v>
      </c>
      <c r="O341" s="92" t="s">
        <v>2070</v>
      </c>
      <c r="P341" s="88" t="s">
        <v>166</v>
      </c>
      <c r="Q341" s="88" t="s">
        <v>48</v>
      </c>
      <c r="R341" s="86">
        <v>8903711215</v>
      </c>
      <c r="S341" s="88" t="s">
        <v>1966</v>
      </c>
      <c r="T341" s="94"/>
      <c r="U341" s="140"/>
      <c r="V341" s="140"/>
      <c r="W341" s="140"/>
      <c r="X341" s="140"/>
      <c r="Y341" s="141"/>
      <c r="Z341" s="131"/>
      <c r="AA341" s="131"/>
      <c r="AB341" s="131"/>
      <c r="AC341" s="131"/>
      <c r="AD341" s="127"/>
      <c r="AF341" s="121"/>
      <c r="AG341" s="121"/>
      <c r="AH341" s="121"/>
      <c r="AI341" s="121"/>
      <c r="AJ341" s="121"/>
      <c r="AK341" s="121">
        <f>COUNTA('All Details for ACID Pastor'!$V341:$AB341)</f>
        <v>0</v>
      </c>
      <c r="AL341" s="121"/>
      <c r="AM341" s="121"/>
      <c r="AN341" s="121"/>
      <c r="AO341" s="121"/>
      <c r="AP341" s="121"/>
      <c r="AQ341" s="121"/>
      <c r="AR341" s="121"/>
      <c r="AS341" s="121"/>
      <c r="AT341" s="121"/>
      <c r="AU341" s="121"/>
      <c r="AV341" s="121"/>
      <c r="AW341" s="163"/>
      <c r="AX341" s="163"/>
      <c r="AZ341" s="121" t="s">
        <v>139</v>
      </c>
      <c r="BA341" s="163"/>
      <c r="BB341" s="163"/>
      <c r="BC341" s="163"/>
      <c r="BF341" s="163">
        <f>COUNTA('All Details for ACID Pastor'!$T341:$AB341)</f>
        <v>0</v>
      </c>
    </row>
    <row r="342" spans="1:58" ht="70.150000000000006" customHeight="1">
      <c r="A342" s="107">
        <v>343</v>
      </c>
      <c r="B342" s="124" t="s">
        <v>2071</v>
      </c>
      <c r="C342" s="90" t="s">
        <v>2072</v>
      </c>
      <c r="D342" s="95" t="s">
        <v>53</v>
      </c>
      <c r="E342" s="95" t="s">
        <v>54</v>
      </c>
      <c r="F342" s="95"/>
      <c r="G342" s="95"/>
      <c r="H342" s="95"/>
      <c r="I342" s="95"/>
      <c r="J342" s="115" t="s">
        <v>2041</v>
      </c>
      <c r="K342" s="193" t="s">
        <v>2073</v>
      </c>
      <c r="L342" s="121"/>
      <c r="M342" s="172"/>
      <c r="N342" s="93" t="s">
        <v>2074</v>
      </c>
      <c r="O342" s="92" t="s">
        <v>2075</v>
      </c>
      <c r="P342" s="88" t="s">
        <v>166</v>
      </c>
      <c r="Q342" s="88" t="s">
        <v>48</v>
      </c>
      <c r="R342" s="86">
        <v>7845256311</v>
      </c>
      <c r="S342" s="88" t="s">
        <v>1966</v>
      </c>
      <c r="T342" s="94"/>
      <c r="U342" s="140"/>
      <c r="V342" s="125" t="s">
        <v>818</v>
      </c>
      <c r="W342" s="140"/>
      <c r="X342" s="140"/>
      <c r="Y342" s="141"/>
      <c r="Z342" s="131"/>
      <c r="AA342" s="131"/>
      <c r="AB342" s="131"/>
      <c r="AC342" s="131"/>
      <c r="AD342" s="127"/>
      <c r="AF342" s="121"/>
      <c r="AG342" s="121"/>
      <c r="AH342" s="121"/>
      <c r="AI342" s="121"/>
      <c r="AJ342" s="121"/>
      <c r="AK342" s="121">
        <f>COUNTA('All Details for ACID Pastor'!$V342:$AB342)</f>
        <v>1</v>
      </c>
      <c r="AL342" s="121"/>
      <c r="AM342" s="121"/>
      <c r="AN342" s="121"/>
      <c r="AO342" s="121"/>
      <c r="AP342" s="121"/>
      <c r="AQ342" s="121"/>
      <c r="AR342" s="121"/>
      <c r="AS342" s="121"/>
      <c r="AT342" s="121"/>
      <c r="AU342" s="121"/>
      <c r="AV342" s="121"/>
      <c r="AW342" s="163"/>
      <c r="AX342" s="163"/>
      <c r="AZ342" s="121" t="s">
        <v>139</v>
      </c>
      <c r="BA342" s="163"/>
      <c r="BB342" s="163"/>
      <c r="BC342" s="163"/>
      <c r="BF342" s="163">
        <f>COUNTA('All Details for ACID Pastor'!$T342:$AB342)</f>
        <v>1</v>
      </c>
    </row>
    <row r="343" spans="1:58" ht="70.150000000000006" customHeight="1">
      <c r="A343" s="107">
        <v>344</v>
      </c>
      <c r="B343" s="124" t="s">
        <v>2076</v>
      </c>
      <c r="C343" s="90" t="s">
        <v>2077</v>
      </c>
      <c r="D343" s="95" t="s">
        <v>132</v>
      </c>
      <c r="E343" s="95" t="s">
        <v>54</v>
      </c>
      <c r="F343" s="95"/>
      <c r="G343" s="95"/>
      <c r="H343" s="95"/>
      <c r="I343" s="95"/>
      <c r="J343" s="115" t="s">
        <v>2041</v>
      </c>
      <c r="K343" s="193" t="s">
        <v>2078</v>
      </c>
      <c r="L343" s="121" t="s">
        <v>4209</v>
      </c>
      <c r="M343" s="172"/>
      <c r="N343" s="93" t="s">
        <v>2079</v>
      </c>
      <c r="O343" s="92" t="s">
        <v>2080</v>
      </c>
      <c r="P343" s="88" t="s">
        <v>166</v>
      </c>
      <c r="Q343" s="88" t="s">
        <v>48</v>
      </c>
      <c r="R343" s="86">
        <v>7639447591</v>
      </c>
      <c r="S343" s="88" t="s">
        <v>1966</v>
      </c>
      <c r="T343" s="94"/>
      <c r="U343" s="140"/>
      <c r="V343" s="125" t="s">
        <v>1600</v>
      </c>
      <c r="W343" s="125" t="s">
        <v>98</v>
      </c>
      <c r="X343" s="125" t="s">
        <v>78</v>
      </c>
      <c r="Y343" s="126" t="s">
        <v>79</v>
      </c>
      <c r="Z343" s="127" t="s">
        <v>2081</v>
      </c>
      <c r="AA343" s="127" t="s">
        <v>2081</v>
      </c>
      <c r="AB343" s="127"/>
      <c r="AC343" s="131" t="s">
        <v>4085</v>
      </c>
      <c r="AD343" s="127"/>
      <c r="AF343" s="121"/>
      <c r="AG343" s="121"/>
      <c r="AH343" s="121"/>
      <c r="AI343" s="121"/>
      <c r="AJ343" s="121"/>
      <c r="AK343" s="121">
        <f>COUNTA('All Details for ACID Pastor'!$V343:$AB343)</f>
        <v>6</v>
      </c>
      <c r="AL343" s="121"/>
      <c r="AM343" s="121"/>
      <c r="AN343" s="121"/>
      <c r="AO343" s="121"/>
      <c r="AP343" s="121"/>
      <c r="AQ343" s="121"/>
      <c r="AR343" s="121"/>
      <c r="AS343" s="121"/>
      <c r="AT343" s="121"/>
      <c r="AU343" s="121"/>
      <c r="AV343" s="121"/>
      <c r="AW343" s="163"/>
      <c r="AX343" s="163"/>
      <c r="AZ343" s="121" t="s">
        <v>49</v>
      </c>
      <c r="BA343" s="163"/>
      <c r="BB343" s="163"/>
      <c r="BC343" s="163"/>
      <c r="BF343" s="163">
        <f>COUNTA('All Details for ACID Pastor'!$T343:$AB343)</f>
        <v>6</v>
      </c>
    </row>
    <row r="344" spans="1:58" ht="70.150000000000006" customHeight="1">
      <c r="A344" s="107">
        <v>345</v>
      </c>
      <c r="B344" s="124" t="s">
        <v>2082</v>
      </c>
      <c r="C344" s="90" t="s">
        <v>2083</v>
      </c>
      <c r="D344" s="95" t="s">
        <v>53</v>
      </c>
      <c r="E344" s="95" t="s">
        <v>54</v>
      </c>
      <c r="F344" s="95"/>
      <c r="G344" s="95"/>
      <c r="H344" s="95"/>
      <c r="I344" s="95"/>
      <c r="J344" s="115" t="s">
        <v>365</v>
      </c>
      <c r="K344" s="193" t="s">
        <v>2084</v>
      </c>
      <c r="L344" s="121"/>
      <c r="M344" s="172"/>
      <c r="N344" s="93" t="s">
        <v>2085</v>
      </c>
      <c r="O344" s="92" t="s">
        <v>2086</v>
      </c>
      <c r="P344" s="88" t="s">
        <v>73</v>
      </c>
      <c r="Q344" s="88" t="s">
        <v>48</v>
      </c>
      <c r="R344" s="86">
        <v>9944787175</v>
      </c>
      <c r="S344" s="88" t="s">
        <v>1966</v>
      </c>
      <c r="T344" s="94"/>
      <c r="U344" s="140"/>
      <c r="V344" s="125" t="s">
        <v>370</v>
      </c>
      <c r="W344" s="125" t="s">
        <v>215</v>
      </c>
      <c r="X344" s="140"/>
      <c r="Y344" s="141"/>
      <c r="Z344" s="131"/>
      <c r="AA344" s="131"/>
      <c r="AB344" s="131"/>
      <c r="AC344" s="131"/>
      <c r="AD344" s="127"/>
      <c r="AF344" s="121"/>
      <c r="AG344" s="121"/>
      <c r="AH344" s="121"/>
      <c r="AI344" s="121"/>
      <c r="AJ344" s="121"/>
      <c r="AK344" s="121">
        <f>COUNTA('All Details for ACID Pastor'!$V344:$AB344)</f>
        <v>2</v>
      </c>
      <c r="AL344" s="121"/>
      <c r="AM344" s="121"/>
      <c r="AN344" s="121"/>
      <c r="AO344" s="121"/>
      <c r="AP344" s="121"/>
      <c r="AQ344" s="121"/>
      <c r="AR344" s="121"/>
      <c r="AS344" s="121"/>
      <c r="AT344" s="121"/>
      <c r="AU344" s="121"/>
      <c r="AV344" s="121"/>
      <c r="AW344" s="163"/>
      <c r="AX344" s="163"/>
      <c r="AZ344" s="121" t="s">
        <v>139</v>
      </c>
      <c r="BA344" s="163"/>
      <c r="BB344" s="163"/>
      <c r="BC344" s="163"/>
      <c r="BF344" s="163">
        <f>COUNTA('All Details for ACID Pastor'!$T344:$AB344)</f>
        <v>2</v>
      </c>
    </row>
    <row r="345" spans="1:58" ht="70.150000000000006" customHeight="1">
      <c r="A345" s="107">
        <v>346</v>
      </c>
      <c r="B345" s="124" t="s">
        <v>2087</v>
      </c>
      <c r="C345" s="90" t="s">
        <v>2088</v>
      </c>
      <c r="D345" s="95" t="s">
        <v>53</v>
      </c>
      <c r="E345" s="95" t="s">
        <v>54</v>
      </c>
      <c r="F345" s="95"/>
      <c r="G345" s="95"/>
      <c r="H345" s="95"/>
      <c r="I345" s="95"/>
      <c r="J345" s="115" t="s">
        <v>365</v>
      </c>
      <c r="K345" s="193" t="s">
        <v>2089</v>
      </c>
      <c r="L345" s="121"/>
      <c r="M345" s="172"/>
      <c r="N345" s="93" t="s">
        <v>2090</v>
      </c>
      <c r="O345" s="92" t="s">
        <v>2091</v>
      </c>
      <c r="P345" s="88" t="s">
        <v>73</v>
      </c>
      <c r="Q345" s="88" t="s">
        <v>48</v>
      </c>
      <c r="R345" s="86">
        <v>9790347813</v>
      </c>
      <c r="S345" s="88" t="s">
        <v>1966</v>
      </c>
      <c r="T345" s="94"/>
      <c r="U345" s="140"/>
      <c r="V345" s="125" t="s">
        <v>370</v>
      </c>
      <c r="W345" s="140"/>
      <c r="X345" s="140"/>
      <c r="Y345" s="141"/>
      <c r="Z345" s="131"/>
      <c r="AA345" s="131"/>
      <c r="AB345" s="131"/>
      <c r="AC345" s="131"/>
      <c r="AD345" s="127"/>
      <c r="AF345" s="121"/>
      <c r="AG345" s="121"/>
      <c r="AH345" s="121"/>
      <c r="AI345" s="121"/>
      <c r="AJ345" s="121"/>
      <c r="AK345" s="121">
        <f>COUNTA('All Details for ACID Pastor'!$V345:$AB345)</f>
        <v>1</v>
      </c>
      <c r="AL345" s="121"/>
      <c r="AM345" s="121"/>
      <c r="AN345" s="121"/>
      <c r="AO345" s="121"/>
      <c r="AP345" s="121"/>
      <c r="AQ345" s="121"/>
      <c r="AR345" s="121"/>
      <c r="AS345" s="121"/>
      <c r="AT345" s="121"/>
      <c r="AU345" s="121"/>
      <c r="AV345" s="121"/>
      <c r="AW345" s="163"/>
      <c r="AX345" s="163"/>
      <c r="AZ345" s="121" t="s">
        <v>139</v>
      </c>
      <c r="BA345" s="163"/>
      <c r="BB345" s="163"/>
      <c r="BC345" s="163"/>
      <c r="BF345" s="163">
        <f>COUNTA('All Details for ACID Pastor'!$T345:$AB345)</f>
        <v>1</v>
      </c>
    </row>
    <row r="346" spans="1:58" ht="70.150000000000006" customHeight="1">
      <c r="A346" s="107">
        <v>347</v>
      </c>
      <c r="B346" s="124" t="s">
        <v>2092</v>
      </c>
      <c r="C346" s="90" t="s">
        <v>2093</v>
      </c>
      <c r="D346" s="95" t="s">
        <v>53</v>
      </c>
      <c r="E346" s="95" t="s">
        <v>54</v>
      </c>
      <c r="F346" s="95"/>
      <c r="G346" s="95"/>
      <c r="H346" s="95"/>
      <c r="I346" s="95"/>
      <c r="J346" s="115" t="s">
        <v>365</v>
      </c>
      <c r="K346" s="193" t="s">
        <v>2094</v>
      </c>
      <c r="L346" s="121"/>
      <c r="M346" s="172"/>
      <c r="N346" s="93" t="s">
        <v>2095</v>
      </c>
      <c r="O346" s="92" t="s">
        <v>2096</v>
      </c>
      <c r="P346" s="88" t="s">
        <v>73</v>
      </c>
      <c r="Q346" s="88" t="s">
        <v>48</v>
      </c>
      <c r="R346" s="86">
        <v>9865340248</v>
      </c>
      <c r="S346" s="88" t="s">
        <v>1966</v>
      </c>
      <c r="T346" s="94"/>
      <c r="U346" s="140"/>
      <c r="V346" s="125" t="s">
        <v>370</v>
      </c>
      <c r="W346" s="125" t="s">
        <v>215</v>
      </c>
      <c r="X346" s="125" t="s">
        <v>184</v>
      </c>
      <c r="Y346" s="126" t="s">
        <v>79</v>
      </c>
      <c r="Z346" s="131"/>
      <c r="AA346" s="131"/>
      <c r="AB346" s="131"/>
      <c r="AC346" s="131"/>
      <c r="AD346" s="127" t="s">
        <v>4222</v>
      </c>
      <c r="AE346" s="282" t="s">
        <v>4222</v>
      </c>
      <c r="AF346" s="121"/>
      <c r="AG346" s="121"/>
      <c r="AH346" s="121"/>
      <c r="AI346" s="121"/>
      <c r="AJ346" s="121"/>
      <c r="AK346" s="121">
        <f>COUNTA('All Details for ACID Pastor'!$V346:$AB346)</f>
        <v>4</v>
      </c>
      <c r="AL346" s="121"/>
      <c r="AM346" s="121"/>
      <c r="AN346" s="121"/>
      <c r="AO346" s="121"/>
      <c r="AP346" s="121"/>
      <c r="AQ346" s="121"/>
      <c r="AR346" s="121"/>
      <c r="AS346" s="121"/>
      <c r="AT346" s="121"/>
      <c r="AU346" s="121"/>
      <c r="AV346" s="121"/>
      <c r="AW346" s="163"/>
      <c r="AX346" s="163"/>
      <c r="AZ346" s="121" t="s">
        <v>49</v>
      </c>
      <c r="BA346" s="163"/>
      <c r="BB346" s="163"/>
      <c r="BC346" s="163"/>
      <c r="BE346" s="284">
        <v>2</v>
      </c>
      <c r="BF346" s="163">
        <v>8</v>
      </c>
    </row>
    <row r="347" spans="1:58" ht="70.150000000000006" customHeight="1">
      <c r="A347" s="107">
        <v>348</v>
      </c>
      <c r="B347" s="124" t="s">
        <v>2097</v>
      </c>
      <c r="C347" s="90" t="s">
        <v>2098</v>
      </c>
      <c r="D347" s="95" t="s">
        <v>53</v>
      </c>
      <c r="E347" s="95" t="s">
        <v>142</v>
      </c>
      <c r="F347" s="95"/>
      <c r="G347" s="95"/>
      <c r="H347" s="95"/>
      <c r="I347" s="95"/>
      <c r="J347" s="115" t="s">
        <v>2099</v>
      </c>
      <c r="K347" s="193" t="s">
        <v>2100</v>
      </c>
      <c r="L347" s="121"/>
      <c r="M347" s="172" t="s">
        <v>2101</v>
      </c>
      <c r="N347" s="93" t="s">
        <v>2102</v>
      </c>
      <c r="O347" s="92" t="s">
        <v>2103</v>
      </c>
      <c r="P347" s="88" t="s">
        <v>233</v>
      </c>
      <c r="Q347" s="88" t="s">
        <v>48</v>
      </c>
      <c r="R347" s="86">
        <v>9894757211</v>
      </c>
      <c r="S347" s="88" t="s">
        <v>1966</v>
      </c>
      <c r="T347" s="94"/>
      <c r="U347" s="140"/>
      <c r="V347" s="140"/>
      <c r="W347" s="140"/>
      <c r="X347" s="140"/>
      <c r="Y347" s="141"/>
      <c r="Z347" s="131"/>
      <c r="AA347" s="131"/>
      <c r="AB347" s="131"/>
      <c r="AC347" s="131"/>
      <c r="AD347" s="127"/>
      <c r="AF347" s="121"/>
      <c r="AG347" s="121"/>
      <c r="AH347" s="121"/>
      <c r="AI347" s="121"/>
      <c r="AJ347" s="121"/>
      <c r="AK347" s="121">
        <f>COUNTA('All Details for ACID Pastor'!$V347:$AB347)</f>
        <v>0</v>
      </c>
      <c r="AL347" s="121"/>
      <c r="AM347" s="121"/>
      <c r="AN347" s="121"/>
      <c r="AO347" s="121"/>
      <c r="AP347" s="121"/>
      <c r="AQ347" s="121"/>
      <c r="AR347" s="121"/>
      <c r="AS347" s="121"/>
      <c r="AT347" s="121"/>
      <c r="AU347" s="121"/>
      <c r="AV347" s="121"/>
      <c r="AW347" s="163"/>
      <c r="AX347" s="163"/>
      <c r="AZ347" s="121" t="s">
        <v>139</v>
      </c>
      <c r="BA347" s="163"/>
      <c r="BB347" s="163"/>
      <c r="BC347" s="163"/>
      <c r="BF347" s="163">
        <f>COUNTA('All Details for ACID Pastor'!$T347:$AB347)</f>
        <v>0</v>
      </c>
    </row>
    <row r="348" spans="1:58" ht="70.150000000000006" customHeight="1">
      <c r="A348" s="107">
        <v>349</v>
      </c>
      <c r="B348" s="124" t="s">
        <v>2104</v>
      </c>
      <c r="C348" s="90" t="s">
        <v>2105</v>
      </c>
      <c r="D348" s="95" t="s">
        <v>53</v>
      </c>
      <c r="E348" s="95" t="s">
        <v>54</v>
      </c>
      <c r="F348" s="95"/>
      <c r="G348" s="95"/>
      <c r="H348" s="95"/>
      <c r="I348" s="95"/>
      <c r="J348" s="115" t="s">
        <v>103</v>
      </c>
      <c r="K348" s="193" t="s">
        <v>2106</v>
      </c>
      <c r="L348" s="121"/>
      <c r="M348" s="172"/>
      <c r="N348" s="93" t="s">
        <v>2107</v>
      </c>
      <c r="O348" s="92" t="s">
        <v>2108</v>
      </c>
      <c r="P348" s="88" t="s">
        <v>2109</v>
      </c>
      <c r="Q348" s="88" t="s">
        <v>2110</v>
      </c>
      <c r="R348" s="86">
        <v>9642345838</v>
      </c>
      <c r="S348" s="88" t="s">
        <v>1966</v>
      </c>
      <c r="T348" s="94"/>
      <c r="U348" s="140"/>
      <c r="V348" s="125" t="s">
        <v>1600</v>
      </c>
      <c r="W348" s="125" t="s">
        <v>2111</v>
      </c>
      <c r="X348" s="125" t="s">
        <v>78</v>
      </c>
      <c r="Y348" s="141"/>
      <c r="Z348" s="131" t="s">
        <v>2112</v>
      </c>
      <c r="AA348" s="131" t="s">
        <v>2112</v>
      </c>
      <c r="AB348" s="131" t="s">
        <v>2112</v>
      </c>
      <c r="AC348" s="131" t="s">
        <v>2112</v>
      </c>
      <c r="AD348" s="127" t="s">
        <v>2112</v>
      </c>
      <c r="AF348" s="121"/>
      <c r="AG348" s="121"/>
      <c r="AH348" s="121"/>
      <c r="AI348" s="121"/>
      <c r="AJ348" s="121"/>
      <c r="AK348" s="121">
        <f>COUNTA('All Details for ACID Pastor'!$V348:$AB348)</f>
        <v>6</v>
      </c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63"/>
      <c r="AX348" s="163"/>
      <c r="AZ348" s="121" t="s">
        <v>49</v>
      </c>
      <c r="BA348" s="163"/>
      <c r="BB348" s="163"/>
      <c r="BC348" s="163"/>
      <c r="BF348" s="163">
        <v>11</v>
      </c>
    </row>
    <row r="349" spans="1:58" ht="78.75" customHeight="1">
      <c r="A349" s="107">
        <v>350</v>
      </c>
      <c r="B349" s="124" t="s">
        <v>2113</v>
      </c>
      <c r="C349" s="90" t="s">
        <v>2114</v>
      </c>
      <c r="D349" s="95" t="s">
        <v>53</v>
      </c>
      <c r="E349" s="95" t="s">
        <v>54</v>
      </c>
      <c r="F349" s="95"/>
      <c r="G349" s="95"/>
      <c r="H349" s="95"/>
      <c r="I349" s="95"/>
      <c r="J349" s="115" t="s">
        <v>1426</v>
      </c>
      <c r="K349" s="193" t="s">
        <v>2115</v>
      </c>
      <c r="L349" s="121"/>
      <c r="M349" s="172"/>
      <c r="N349" s="93" t="s">
        <v>2116</v>
      </c>
      <c r="O349" s="92" t="s">
        <v>2117</v>
      </c>
      <c r="P349" s="88" t="s">
        <v>769</v>
      </c>
      <c r="Q349" s="88" t="s">
        <v>48</v>
      </c>
      <c r="R349" s="86">
        <v>9626515617</v>
      </c>
      <c r="S349" s="88" t="s">
        <v>1966</v>
      </c>
      <c r="T349" s="94"/>
      <c r="U349" s="140"/>
      <c r="V349" s="125" t="s">
        <v>726</v>
      </c>
      <c r="W349" s="125" t="s">
        <v>1436</v>
      </c>
      <c r="X349" s="125" t="s">
        <v>1436</v>
      </c>
      <c r="Y349" s="125" t="s">
        <v>1436</v>
      </c>
      <c r="Z349" s="125" t="s">
        <v>149</v>
      </c>
      <c r="AA349" s="125" t="s">
        <v>1437</v>
      </c>
      <c r="AB349" s="131"/>
      <c r="AC349" s="131"/>
      <c r="AD349" s="127"/>
      <c r="AF349" s="121"/>
      <c r="AG349" s="121"/>
      <c r="AH349" s="121"/>
      <c r="AI349" s="121"/>
      <c r="AJ349" s="121"/>
      <c r="AK349" s="121">
        <f>COUNTA('All Details for ACID Pastor'!$V349:$AB349)</f>
        <v>6</v>
      </c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63"/>
      <c r="AX349" s="163"/>
      <c r="AZ349" s="121" t="s">
        <v>49</v>
      </c>
      <c r="BA349" s="163"/>
      <c r="BB349" s="163"/>
      <c r="BC349" s="163"/>
      <c r="BF349" s="163">
        <f>COUNTA('All Details for ACID Pastor'!$T349:$AB349)</f>
        <v>6</v>
      </c>
    </row>
    <row r="350" spans="1:58" ht="78.75" customHeight="1">
      <c r="A350" s="107">
        <v>351</v>
      </c>
      <c r="B350" s="124" t="s">
        <v>2118</v>
      </c>
      <c r="C350" s="90" t="s">
        <v>2119</v>
      </c>
      <c r="D350" s="95" t="s">
        <v>53</v>
      </c>
      <c r="E350" s="95" t="s">
        <v>54</v>
      </c>
      <c r="F350" s="95"/>
      <c r="G350" s="95"/>
      <c r="H350" s="95"/>
      <c r="I350" s="95"/>
      <c r="J350" s="115" t="s">
        <v>1426</v>
      </c>
      <c r="K350" s="193" t="s">
        <v>2120</v>
      </c>
      <c r="L350" s="121"/>
      <c r="M350" s="172" t="s">
        <v>2121</v>
      </c>
      <c r="N350" s="93" t="s">
        <v>2122</v>
      </c>
      <c r="O350" s="92" t="s">
        <v>2123</v>
      </c>
      <c r="P350" s="88" t="s">
        <v>769</v>
      </c>
      <c r="Q350" s="88" t="s">
        <v>48</v>
      </c>
      <c r="R350" s="86">
        <v>9600700513</v>
      </c>
      <c r="S350" s="88" t="s">
        <v>1966</v>
      </c>
      <c r="T350" s="94"/>
      <c r="U350" s="140"/>
      <c r="V350" s="140"/>
      <c r="W350" s="140"/>
      <c r="X350" s="140"/>
      <c r="Y350" s="141"/>
      <c r="Z350" s="131"/>
      <c r="AA350" s="131"/>
      <c r="AB350" s="131"/>
      <c r="AC350" s="131"/>
      <c r="AD350" s="127"/>
      <c r="AF350" s="121"/>
      <c r="AG350" s="121"/>
      <c r="AH350" s="121"/>
      <c r="AI350" s="121"/>
      <c r="AJ350" s="121"/>
      <c r="AK350" s="121">
        <f>COUNTA('All Details for ACID Pastor'!$V350:$AB350)</f>
        <v>0</v>
      </c>
      <c r="AL350" s="121"/>
      <c r="AM350" s="121"/>
      <c r="AN350" s="121"/>
      <c r="AO350" s="121"/>
      <c r="AP350" s="121"/>
      <c r="AQ350" s="121"/>
      <c r="AR350" s="121"/>
      <c r="AS350" s="121"/>
      <c r="AT350" s="121"/>
      <c r="AU350" s="121"/>
      <c r="AV350" s="121"/>
      <c r="AW350" s="163"/>
      <c r="AX350" s="163"/>
      <c r="AZ350" s="121" t="s">
        <v>139</v>
      </c>
      <c r="BA350" s="163"/>
      <c r="BB350" s="163"/>
      <c r="BC350" s="163"/>
      <c r="BF350" s="163">
        <f>COUNTA('All Details for ACID Pastor'!$T350:$AB350)</f>
        <v>0</v>
      </c>
    </row>
    <row r="351" spans="1:58" ht="78.75" customHeight="1">
      <c r="A351" s="107">
        <v>352</v>
      </c>
      <c r="B351" s="124" t="s">
        <v>2124</v>
      </c>
      <c r="C351" s="90" t="s">
        <v>2125</v>
      </c>
      <c r="D351" s="95" t="s">
        <v>53</v>
      </c>
      <c r="E351" s="95" t="s">
        <v>54</v>
      </c>
      <c r="F351" s="95"/>
      <c r="G351" s="95"/>
      <c r="H351" s="95"/>
      <c r="I351" s="95"/>
      <c r="J351" s="115" t="s">
        <v>1426</v>
      </c>
      <c r="K351" s="193" t="s">
        <v>2126</v>
      </c>
      <c r="L351" s="121"/>
      <c r="M351" s="172"/>
      <c r="N351" s="93" t="s">
        <v>2127</v>
      </c>
      <c r="O351" s="92" t="s">
        <v>1435</v>
      </c>
      <c r="P351" s="88" t="s">
        <v>64</v>
      </c>
      <c r="Q351" s="88" t="s">
        <v>48</v>
      </c>
      <c r="R351" s="86">
        <v>9176579764</v>
      </c>
      <c r="S351" s="88" t="s">
        <v>1966</v>
      </c>
      <c r="T351" s="94"/>
      <c r="U351" s="140"/>
      <c r="V351" s="125" t="s">
        <v>726</v>
      </c>
      <c r="W351" s="140"/>
      <c r="X351" s="140"/>
      <c r="Y351" s="141"/>
      <c r="Z351" s="131"/>
      <c r="AA351" s="131"/>
      <c r="AB351" s="131"/>
      <c r="AC351" s="131"/>
      <c r="AD351" s="127"/>
      <c r="AF351" s="121"/>
      <c r="AG351" s="121"/>
      <c r="AH351" s="121"/>
      <c r="AI351" s="121"/>
      <c r="AJ351" s="121"/>
      <c r="AK351" s="121">
        <f>COUNTA('All Details for ACID Pastor'!$V351:$AB351)</f>
        <v>1</v>
      </c>
      <c r="AL351" s="121"/>
      <c r="AM351" s="121"/>
      <c r="AN351" s="121"/>
      <c r="AO351" s="121"/>
      <c r="AP351" s="121"/>
      <c r="AQ351" s="121"/>
      <c r="AR351" s="121"/>
      <c r="AS351" s="121"/>
      <c r="AT351" s="121"/>
      <c r="AU351" s="121"/>
      <c r="AV351" s="121"/>
      <c r="AW351" s="163"/>
      <c r="AX351" s="163"/>
      <c r="AZ351" s="121" t="s">
        <v>139</v>
      </c>
      <c r="BA351" s="163"/>
      <c r="BB351" s="163"/>
      <c r="BC351" s="163"/>
      <c r="BF351" s="163">
        <f>COUNTA('All Details for ACID Pastor'!$T351:$AB351)</f>
        <v>1</v>
      </c>
    </row>
    <row r="352" spans="1:58" ht="78.75" customHeight="1">
      <c r="A352" s="107">
        <v>353</v>
      </c>
      <c r="B352" s="124" t="s">
        <v>2128</v>
      </c>
      <c r="C352" s="90" t="s">
        <v>2129</v>
      </c>
      <c r="D352" s="95" t="s">
        <v>53</v>
      </c>
      <c r="E352" s="95" t="s">
        <v>54</v>
      </c>
      <c r="F352" s="95"/>
      <c r="G352" s="95"/>
      <c r="H352" s="95"/>
      <c r="I352" s="95"/>
      <c r="J352" s="115" t="s">
        <v>1426</v>
      </c>
      <c r="K352" s="193" t="s">
        <v>2130</v>
      </c>
      <c r="L352" s="121"/>
      <c r="M352" s="172"/>
      <c r="N352" s="93" t="s">
        <v>2131</v>
      </c>
      <c r="O352" s="92" t="s">
        <v>2132</v>
      </c>
      <c r="P352" s="88" t="s">
        <v>769</v>
      </c>
      <c r="Q352" s="88" t="s">
        <v>48</v>
      </c>
      <c r="R352" s="86">
        <v>8754536876</v>
      </c>
      <c r="S352" s="88" t="s">
        <v>1966</v>
      </c>
      <c r="T352" s="94"/>
      <c r="U352" s="140"/>
      <c r="V352" s="125" t="s">
        <v>1437</v>
      </c>
      <c r="W352" s="125" t="s">
        <v>1437</v>
      </c>
      <c r="X352" s="125" t="s">
        <v>1437</v>
      </c>
      <c r="Y352" s="125" t="s">
        <v>1437</v>
      </c>
      <c r="Z352" s="125" t="s">
        <v>1437</v>
      </c>
      <c r="AA352" s="125" t="s">
        <v>1437</v>
      </c>
      <c r="AB352" s="125"/>
      <c r="AC352" s="140"/>
      <c r="AD352" s="141"/>
      <c r="AF352" s="121"/>
      <c r="AG352" s="121"/>
      <c r="AH352" s="121"/>
      <c r="AI352" s="121"/>
      <c r="AJ352" s="121"/>
      <c r="AK352" s="121">
        <f>COUNTA('All Details for ACID Pastor'!$V352:$AB352)</f>
        <v>6</v>
      </c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63"/>
      <c r="AX352" s="163"/>
      <c r="AZ352" s="121" t="s">
        <v>49</v>
      </c>
      <c r="BA352" s="163"/>
      <c r="BB352" s="163"/>
      <c r="BC352" s="163"/>
      <c r="BF352" s="163">
        <f>COUNTA('All Details for ACID Pastor'!$T352:$AB352)</f>
        <v>6</v>
      </c>
    </row>
    <row r="353" spans="1:74" ht="78.75" customHeight="1">
      <c r="A353" s="107">
        <v>354</v>
      </c>
      <c r="B353" s="124" t="s">
        <v>2133</v>
      </c>
      <c r="C353" s="90" t="s">
        <v>2134</v>
      </c>
      <c r="D353" s="95" t="s">
        <v>53</v>
      </c>
      <c r="E353" s="95" t="s">
        <v>54</v>
      </c>
      <c r="F353" s="95"/>
      <c r="G353" s="95"/>
      <c r="H353" s="95"/>
      <c r="I353" s="95"/>
      <c r="J353" s="115" t="s">
        <v>1426</v>
      </c>
      <c r="K353" s="193" t="s">
        <v>2135</v>
      </c>
      <c r="L353" s="121"/>
      <c r="M353" s="172"/>
      <c r="N353" s="93" t="s">
        <v>2136</v>
      </c>
      <c r="O353" s="92" t="s">
        <v>2137</v>
      </c>
      <c r="P353" s="88" t="s">
        <v>769</v>
      </c>
      <c r="Q353" s="88" t="s">
        <v>48</v>
      </c>
      <c r="R353" s="86">
        <v>9655315124</v>
      </c>
      <c r="S353" s="88" t="s">
        <v>1966</v>
      </c>
      <c r="T353" s="94"/>
      <c r="U353" s="140"/>
      <c r="V353" s="125" t="s">
        <v>726</v>
      </c>
      <c r="W353" s="140"/>
      <c r="X353" s="140"/>
      <c r="Y353" s="141"/>
      <c r="Z353" s="131"/>
      <c r="AA353" s="131"/>
      <c r="AB353" s="131"/>
      <c r="AC353" s="131"/>
      <c r="AD353" s="127"/>
      <c r="AF353" s="121"/>
      <c r="AG353" s="121"/>
      <c r="AH353" s="121"/>
      <c r="AI353" s="121"/>
      <c r="AJ353" s="121"/>
      <c r="AK353" s="121">
        <f>COUNTA('All Details for ACID Pastor'!$V353:$AB353)</f>
        <v>1</v>
      </c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63"/>
      <c r="AX353" s="163"/>
      <c r="AZ353" s="121" t="s">
        <v>139</v>
      </c>
      <c r="BA353" s="163"/>
      <c r="BB353" s="163"/>
      <c r="BC353" s="163"/>
      <c r="BF353" s="163">
        <f>COUNTA('All Details for ACID Pastor'!$T353:$AB353)</f>
        <v>1</v>
      </c>
    </row>
    <row r="354" spans="1:74" ht="70.150000000000006" customHeight="1">
      <c r="A354" s="107">
        <v>355</v>
      </c>
      <c r="B354" s="124" t="s">
        <v>2138</v>
      </c>
      <c r="C354" s="90" t="s">
        <v>2139</v>
      </c>
      <c r="D354" s="95" t="s">
        <v>53</v>
      </c>
      <c r="E354" s="95" t="s">
        <v>54</v>
      </c>
      <c r="F354" s="95"/>
      <c r="G354" s="95"/>
      <c r="H354" s="95"/>
      <c r="I354" s="95"/>
      <c r="J354" s="115" t="s">
        <v>1426</v>
      </c>
      <c r="K354" s="193" t="s">
        <v>2140</v>
      </c>
      <c r="L354" s="121"/>
      <c r="M354" s="172"/>
      <c r="N354" s="93" t="s">
        <v>2141</v>
      </c>
      <c r="O354" s="92" t="s">
        <v>2142</v>
      </c>
      <c r="P354" s="88" t="s">
        <v>60</v>
      </c>
      <c r="Q354" s="88" t="s">
        <v>48</v>
      </c>
      <c r="R354" s="86">
        <v>9025305310</v>
      </c>
      <c r="S354" s="88" t="s">
        <v>1966</v>
      </c>
      <c r="T354" s="94"/>
      <c r="U354" s="140"/>
      <c r="V354" s="125" t="s">
        <v>98</v>
      </c>
      <c r="W354" s="125" t="s">
        <v>98</v>
      </c>
      <c r="X354" s="140" t="s">
        <v>129</v>
      </c>
      <c r="Y354" s="141" t="s">
        <v>129</v>
      </c>
      <c r="Z354" s="131" t="s">
        <v>129</v>
      </c>
      <c r="AA354" s="131" t="s">
        <v>129</v>
      </c>
      <c r="AB354" s="131" t="s">
        <v>129</v>
      </c>
      <c r="AC354" s="131" t="s">
        <v>129</v>
      </c>
      <c r="AD354" s="127"/>
      <c r="AF354" s="121"/>
      <c r="AG354" s="121"/>
      <c r="AH354" s="121"/>
      <c r="AI354" s="121"/>
      <c r="AJ354" s="121"/>
      <c r="AK354" s="121">
        <f>COUNTA('All Details for ACID Pastor'!$V354:$AB354)</f>
        <v>7</v>
      </c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63"/>
      <c r="AX354" s="163"/>
      <c r="AZ354" s="121" t="s">
        <v>49</v>
      </c>
      <c r="BA354" s="163"/>
      <c r="BB354" s="163">
        <v>6</v>
      </c>
      <c r="BC354" s="163"/>
      <c r="BF354" s="163">
        <f>COUNTA('All Details for ACID Pastor'!$T354:$AB354)</f>
        <v>7</v>
      </c>
    </row>
    <row r="355" spans="1:74" ht="78.75" customHeight="1">
      <c r="A355" s="107">
        <v>356</v>
      </c>
      <c r="B355" s="124" t="s">
        <v>2143</v>
      </c>
      <c r="C355" s="90" t="s">
        <v>2144</v>
      </c>
      <c r="D355" s="95" t="s">
        <v>53</v>
      </c>
      <c r="E355" s="95" t="s">
        <v>54</v>
      </c>
      <c r="F355" s="95"/>
      <c r="G355" s="95"/>
      <c r="H355" s="95"/>
      <c r="I355" s="95"/>
      <c r="J355" s="115" t="s">
        <v>1426</v>
      </c>
      <c r="K355" s="193" t="s">
        <v>2145</v>
      </c>
      <c r="L355" s="121"/>
      <c r="M355" s="172"/>
      <c r="N355" s="93" t="s">
        <v>2146</v>
      </c>
      <c r="O355" s="92" t="s">
        <v>2137</v>
      </c>
      <c r="P355" s="88" t="s">
        <v>2147</v>
      </c>
      <c r="Q355" s="88" t="s">
        <v>48</v>
      </c>
      <c r="R355" s="86">
        <v>9840319637</v>
      </c>
      <c r="S355" s="88" t="s">
        <v>1966</v>
      </c>
      <c r="T355" s="94"/>
      <c r="U355" s="140"/>
      <c r="V355" s="125" t="s">
        <v>726</v>
      </c>
      <c r="W355" s="140"/>
      <c r="X355" s="140"/>
      <c r="Y355" s="141"/>
      <c r="Z355" s="131"/>
      <c r="AA355" s="131"/>
      <c r="AB355" s="131"/>
      <c r="AC355" s="131"/>
      <c r="AD355" s="127"/>
      <c r="AF355" s="121"/>
      <c r="AG355" s="121"/>
      <c r="AH355" s="121"/>
      <c r="AI355" s="121"/>
      <c r="AJ355" s="121"/>
      <c r="AK355" s="121">
        <f>COUNTA('All Details for ACID Pastor'!$V355:$AB355)</f>
        <v>1</v>
      </c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63"/>
      <c r="AX355" s="163"/>
      <c r="AZ355" s="121" t="s">
        <v>139</v>
      </c>
      <c r="BA355" s="163"/>
      <c r="BB355" s="163"/>
      <c r="BC355" s="163"/>
      <c r="BF355" s="163">
        <f>COUNTA('All Details for ACID Pastor'!$T355:$AB355)</f>
        <v>1</v>
      </c>
    </row>
    <row r="356" spans="1:74" ht="78.75" customHeight="1">
      <c r="A356" s="107">
        <v>357</v>
      </c>
      <c r="B356" s="124" t="s">
        <v>2148</v>
      </c>
      <c r="C356" s="90" t="s">
        <v>2149</v>
      </c>
      <c r="D356" s="95" t="s">
        <v>53</v>
      </c>
      <c r="E356" s="95" t="s">
        <v>54</v>
      </c>
      <c r="F356" s="95"/>
      <c r="G356" s="95"/>
      <c r="H356" s="95"/>
      <c r="I356" s="95"/>
      <c r="J356" s="115" t="s">
        <v>1426</v>
      </c>
      <c r="K356" s="193" t="s">
        <v>2150</v>
      </c>
      <c r="L356" s="121"/>
      <c r="M356" s="172"/>
      <c r="N356" s="93" t="s">
        <v>2151</v>
      </c>
      <c r="O356" s="92" t="s">
        <v>2152</v>
      </c>
      <c r="P356" s="88" t="s">
        <v>769</v>
      </c>
      <c r="Q356" s="88" t="s">
        <v>48</v>
      </c>
      <c r="R356" s="86">
        <v>9751165641</v>
      </c>
      <c r="S356" s="88" t="s">
        <v>1966</v>
      </c>
      <c r="T356" s="94"/>
      <c r="U356" s="140"/>
      <c r="V356" s="125" t="s">
        <v>726</v>
      </c>
      <c r="W356" s="125" t="s">
        <v>727</v>
      </c>
      <c r="X356" s="125" t="s">
        <v>727</v>
      </c>
      <c r="Y356" s="141"/>
      <c r="Z356" s="127" t="s">
        <v>165</v>
      </c>
      <c r="AA356" s="127" t="s">
        <v>165</v>
      </c>
      <c r="AB356" s="127" t="s">
        <v>165</v>
      </c>
      <c r="AC356" s="131"/>
      <c r="AD356" s="127"/>
      <c r="AE356" s="244"/>
      <c r="AF356" s="121"/>
      <c r="AG356" s="121"/>
      <c r="AH356" s="121"/>
      <c r="AI356" s="121"/>
      <c r="AJ356" s="121"/>
      <c r="AK356" s="121">
        <f>COUNTA('All Details for ACID Pastor'!$V356:$AB356)</f>
        <v>6</v>
      </c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63"/>
      <c r="AX356" s="163"/>
      <c r="AZ356" s="121" t="s">
        <v>49</v>
      </c>
      <c r="BA356" s="163"/>
      <c r="BB356" s="163"/>
      <c r="BC356" s="163"/>
      <c r="BF356" s="163">
        <f>COUNTA('All Details for ACID Pastor'!$T356:$AB356)</f>
        <v>6</v>
      </c>
    </row>
    <row r="357" spans="1:74" s="174" customFormat="1" ht="70.150000000000006" customHeight="1">
      <c r="A357" s="103">
        <v>358</v>
      </c>
      <c r="B357" s="132" t="s">
        <v>2153</v>
      </c>
      <c r="C357" s="101" t="s">
        <v>2154</v>
      </c>
      <c r="D357" s="102" t="s">
        <v>53</v>
      </c>
      <c r="E357" s="102" t="s">
        <v>54</v>
      </c>
      <c r="F357" s="95"/>
      <c r="G357" s="95"/>
      <c r="H357" s="95"/>
      <c r="I357" s="95"/>
      <c r="J357" s="133" t="s">
        <v>1432</v>
      </c>
      <c r="K357" s="256" t="s">
        <v>2155</v>
      </c>
      <c r="L357" s="232" t="s">
        <v>4201</v>
      </c>
      <c r="M357" s="171"/>
      <c r="N357" s="104" t="s">
        <v>2156</v>
      </c>
      <c r="O357" s="105" t="s">
        <v>2157</v>
      </c>
      <c r="P357" s="106" t="s">
        <v>516</v>
      </c>
      <c r="Q357" s="106" t="s">
        <v>517</v>
      </c>
      <c r="R357" s="134">
        <v>9495879620</v>
      </c>
      <c r="S357" s="106" t="s">
        <v>1966</v>
      </c>
      <c r="T357" s="135"/>
      <c r="U357" s="176"/>
      <c r="V357" s="176"/>
      <c r="W357" s="176"/>
      <c r="X357" s="176"/>
      <c r="Y357" s="145"/>
      <c r="Z357" s="136"/>
      <c r="AA357" s="136"/>
      <c r="AB357" s="136"/>
      <c r="AC357" s="136"/>
      <c r="AD357" s="222"/>
      <c r="AE357" s="240"/>
      <c r="AF357" s="232"/>
      <c r="AG357" s="232"/>
      <c r="AH357" s="232"/>
      <c r="AI357" s="232"/>
      <c r="AJ357" s="232"/>
      <c r="AK357" s="232">
        <f>COUNTA('All Details for ACID Pastor'!$V357:$AB357)</f>
        <v>0</v>
      </c>
      <c r="AL357" s="232"/>
      <c r="AM357" s="232"/>
      <c r="AN357" s="232"/>
      <c r="AO357" s="232"/>
      <c r="AP357" s="232"/>
      <c r="AQ357" s="232"/>
      <c r="AR357" s="232"/>
      <c r="AS357" s="232"/>
      <c r="AT357" s="232"/>
      <c r="AU357" s="232"/>
      <c r="AV357" s="232"/>
      <c r="AW357" s="233"/>
      <c r="AX357" s="233"/>
      <c r="AY357" s="244"/>
      <c r="AZ357" s="232" t="s">
        <v>139</v>
      </c>
      <c r="BA357" s="233"/>
      <c r="BB357" s="233"/>
      <c r="BC357" s="233"/>
      <c r="BD357" s="244"/>
      <c r="BE357" s="277"/>
      <c r="BF357" s="233">
        <f>COUNTA('All Details for ACID Pastor'!$T357:$AB357)</f>
        <v>0</v>
      </c>
      <c r="BG357" s="249"/>
      <c r="BH357" s="249"/>
      <c r="BI357" s="249"/>
      <c r="BJ357" s="249"/>
      <c r="BK357" s="249"/>
      <c r="BL357" s="249"/>
      <c r="BM357" s="249"/>
      <c r="BN357" s="249"/>
      <c r="BO357" s="249"/>
      <c r="BP357" s="249"/>
      <c r="BQ357" s="249"/>
      <c r="BR357" s="249"/>
      <c r="BS357" s="249"/>
      <c r="BT357" s="249"/>
      <c r="BU357" s="249"/>
      <c r="BV357" s="249"/>
    </row>
    <row r="358" spans="1:74" ht="78.75" customHeight="1">
      <c r="A358" s="107">
        <v>359</v>
      </c>
      <c r="B358" s="124" t="s">
        <v>2158</v>
      </c>
      <c r="C358" s="90" t="s">
        <v>2159</v>
      </c>
      <c r="D358" s="95" t="s">
        <v>53</v>
      </c>
      <c r="E358" s="95" t="s">
        <v>54</v>
      </c>
      <c r="F358" s="95"/>
      <c r="G358" s="95"/>
      <c r="H358" s="95"/>
      <c r="I358" s="95"/>
      <c r="J358" s="115" t="s">
        <v>1426</v>
      </c>
      <c r="K358" s="193" t="s">
        <v>2160</v>
      </c>
      <c r="L358" s="121"/>
      <c r="M358" s="172"/>
      <c r="N358" s="93" t="s">
        <v>2161</v>
      </c>
      <c r="O358" s="92" t="s">
        <v>2162</v>
      </c>
      <c r="P358" s="88" t="s">
        <v>769</v>
      </c>
      <c r="Q358" s="88" t="s">
        <v>48</v>
      </c>
      <c r="R358" s="86">
        <v>9500031055</v>
      </c>
      <c r="S358" s="88" t="s">
        <v>1966</v>
      </c>
      <c r="T358" s="94"/>
      <c r="U358" s="140"/>
      <c r="V358" s="140"/>
      <c r="W358" s="140"/>
      <c r="X358" s="140"/>
      <c r="Y358" s="141"/>
      <c r="Z358" s="131"/>
      <c r="AA358" s="131"/>
      <c r="AB358" s="131"/>
      <c r="AC358" s="131"/>
      <c r="AD358" s="127"/>
      <c r="AF358" s="121"/>
      <c r="AG358" s="121"/>
      <c r="AH358" s="121"/>
      <c r="AI358" s="121"/>
      <c r="AJ358" s="121"/>
      <c r="AK358" s="121">
        <f>COUNTA('All Details for ACID Pastor'!$V358:$AB358)</f>
        <v>0</v>
      </c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63"/>
      <c r="AX358" s="163"/>
      <c r="AZ358" s="121" t="s">
        <v>139</v>
      </c>
      <c r="BA358" s="163"/>
      <c r="BB358" s="163"/>
      <c r="BC358" s="163"/>
      <c r="BF358" s="163">
        <f>COUNTA('All Details for ACID Pastor'!$T358:$AB358)</f>
        <v>0</v>
      </c>
    </row>
    <row r="359" spans="1:74" ht="70.150000000000006" customHeight="1">
      <c r="A359" s="107">
        <v>360</v>
      </c>
      <c r="B359" s="124" t="s">
        <v>2163</v>
      </c>
      <c r="C359" s="90" t="s">
        <v>2164</v>
      </c>
      <c r="D359" s="95" t="s">
        <v>53</v>
      </c>
      <c r="E359" s="95" t="s">
        <v>54</v>
      </c>
      <c r="F359" s="95"/>
      <c r="G359" s="95"/>
      <c r="H359" s="95"/>
      <c r="I359" s="95"/>
      <c r="J359" s="115" t="s">
        <v>1957</v>
      </c>
      <c r="K359" s="193" t="s">
        <v>2165</v>
      </c>
      <c r="L359" s="121"/>
      <c r="M359" s="172"/>
      <c r="N359" s="93" t="s">
        <v>2166</v>
      </c>
      <c r="O359" s="92" t="s">
        <v>2167</v>
      </c>
      <c r="P359" s="88" t="s">
        <v>86</v>
      </c>
      <c r="Q359" s="88" t="s">
        <v>48</v>
      </c>
      <c r="R359" s="86">
        <v>9442934588</v>
      </c>
      <c r="S359" s="88" t="s">
        <v>1966</v>
      </c>
      <c r="T359" s="94"/>
      <c r="U359" s="140"/>
      <c r="V359" s="125" t="s">
        <v>874</v>
      </c>
      <c r="W359" s="140"/>
      <c r="X359" s="140"/>
      <c r="Y359" s="141"/>
      <c r="Z359" s="131"/>
      <c r="AA359" s="131"/>
      <c r="AB359" s="131"/>
      <c r="AC359" s="131"/>
      <c r="AD359" s="127"/>
      <c r="AF359" s="121"/>
      <c r="AG359" s="121"/>
      <c r="AH359" s="121"/>
      <c r="AI359" s="121"/>
      <c r="AJ359" s="121"/>
      <c r="AK359" s="121">
        <f>COUNTA('All Details for ACID Pastor'!$V359:$AB359)</f>
        <v>1</v>
      </c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63"/>
      <c r="AX359" s="163"/>
      <c r="AZ359" s="121" t="s">
        <v>139</v>
      </c>
      <c r="BA359" s="163"/>
      <c r="BB359" s="163"/>
      <c r="BC359" s="163"/>
      <c r="BF359" s="163">
        <f>COUNTA('All Details for ACID Pastor'!$T359:$AB359)</f>
        <v>1</v>
      </c>
    </row>
    <row r="360" spans="1:74" ht="70.150000000000006" customHeight="1">
      <c r="A360" s="107">
        <v>361</v>
      </c>
      <c r="B360" s="124" t="s">
        <v>2168</v>
      </c>
      <c r="C360" s="90" t="s">
        <v>2169</v>
      </c>
      <c r="D360" s="95" t="s">
        <v>53</v>
      </c>
      <c r="E360" s="95" t="s">
        <v>54</v>
      </c>
      <c r="F360" s="95"/>
      <c r="G360" s="95"/>
      <c r="H360" s="95"/>
      <c r="I360" s="95"/>
      <c r="J360" s="115" t="s">
        <v>922</v>
      </c>
      <c r="K360" s="193" t="s">
        <v>2170</v>
      </c>
      <c r="L360" s="121"/>
      <c r="M360" s="172"/>
      <c r="N360" s="93" t="s">
        <v>2171</v>
      </c>
      <c r="O360" s="92" t="s">
        <v>2172</v>
      </c>
      <c r="P360" s="88" t="s">
        <v>86</v>
      </c>
      <c r="Q360" s="88" t="s">
        <v>48</v>
      </c>
      <c r="R360" s="86">
        <v>9047125906</v>
      </c>
      <c r="S360" s="88" t="s">
        <v>1966</v>
      </c>
      <c r="T360" s="94"/>
      <c r="U360" s="140"/>
      <c r="V360" s="140"/>
      <c r="W360" s="140"/>
      <c r="X360" s="140"/>
      <c r="Y360" s="141"/>
      <c r="Z360" s="131"/>
      <c r="AA360" s="131"/>
      <c r="AB360" s="131"/>
      <c r="AC360" s="131"/>
      <c r="AD360" s="127"/>
      <c r="AF360" s="121"/>
      <c r="AG360" s="121"/>
      <c r="AH360" s="121"/>
      <c r="AI360" s="121"/>
      <c r="AJ360" s="121"/>
      <c r="AK360" s="121">
        <f>COUNTA('All Details for ACID Pastor'!$V360:$AB360)</f>
        <v>0</v>
      </c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63"/>
      <c r="AX360" s="163"/>
      <c r="AZ360" s="121" t="s">
        <v>139</v>
      </c>
      <c r="BA360" s="163"/>
      <c r="BB360" s="163"/>
      <c r="BC360" s="163"/>
      <c r="BF360" s="163">
        <f>COUNTA('All Details for ACID Pastor'!$T360:$AB360)</f>
        <v>0</v>
      </c>
    </row>
    <row r="361" spans="1:74" ht="70.150000000000006" customHeight="1">
      <c r="A361" s="107">
        <v>362</v>
      </c>
      <c r="B361" s="124" t="s">
        <v>2173</v>
      </c>
      <c r="C361" s="90" t="s">
        <v>2174</v>
      </c>
      <c r="D361" s="95" t="s">
        <v>53</v>
      </c>
      <c r="E361" s="95" t="s">
        <v>54</v>
      </c>
      <c r="F361" s="95"/>
      <c r="G361" s="95"/>
      <c r="H361" s="95"/>
      <c r="I361" s="95"/>
      <c r="J361" s="115" t="s">
        <v>922</v>
      </c>
      <c r="K361" s="193" t="s">
        <v>2175</v>
      </c>
      <c r="L361" s="121"/>
      <c r="M361" s="172"/>
      <c r="N361" s="93" t="s">
        <v>2176</v>
      </c>
      <c r="O361" s="92" t="s">
        <v>2177</v>
      </c>
      <c r="P361" s="88" t="s">
        <v>626</v>
      </c>
      <c r="Q361" s="88" t="s">
        <v>626</v>
      </c>
      <c r="R361" s="86">
        <v>9629012044</v>
      </c>
      <c r="S361" s="88" t="s">
        <v>1966</v>
      </c>
      <c r="T361" s="94"/>
      <c r="U361" s="140"/>
      <c r="V361" s="140"/>
      <c r="W361" s="140"/>
      <c r="X361" s="140"/>
      <c r="Y361" s="141"/>
      <c r="Z361" s="131"/>
      <c r="AA361" s="131"/>
      <c r="AB361" s="131"/>
      <c r="AC361" s="131"/>
      <c r="AD361" s="127"/>
      <c r="AF361" s="121"/>
      <c r="AG361" s="121"/>
      <c r="AH361" s="121"/>
      <c r="AI361" s="121"/>
      <c r="AJ361" s="121"/>
      <c r="AK361" s="121">
        <f>COUNTA('All Details for ACID Pastor'!$V361:$AB361)</f>
        <v>0</v>
      </c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63"/>
      <c r="AX361" s="163"/>
      <c r="AZ361" s="121" t="s">
        <v>139</v>
      </c>
      <c r="BA361" s="163"/>
      <c r="BB361" s="163"/>
      <c r="BC361" s="163"/>
      <c r="BF361" s="163">
        <f>COUNTA('All Details for ACID Pastor'!$T361:$AB361)</f>
        <v>0</v>
      </c>
    </row>
    <row r="362" spans="1:74" ht="70.150000000000006" customHeight="1">
      <c r="A362" s="107">
        <v>363</v>
      </c>
      <c r="B362" s="124" t="s">
        <v>2178</v>
      </c>
      <c r="C362" s="90" t="s">
        <v>2179</v>
      </c>
      <c r="D362" s="95" t="s">
        <v>53</v>
      </c>
      <c r="E362" s="95" t="s">
        <v>54</v>
      </c>
      <c r="F362" s="95"/>
      <c r="G362" s="95"/>
      <c r="H362" s="95"/>
      <c r="I362" s="95"/>
      <c r="J362" s="115" t="s">
        <v>922</v>
      </c>
      <c r="K362" s="193" t="s">
        <v>2180</v>
      </c>
      <c r="L362" s="121"/>
      <c r="M362" s="172"/>
      <c r="N362" s="93" t="s">
        <v>2181</v>
      </c>
      <c r="O362" s="92" t="s">
        <v>2182</v>
      </c>
      <c r="P362" s="88" t="s">
        <v>626</v>
      </c>
      <c r="Q362" s="88" t="s">
        <v>626</v>
      </c>
      <c r="R362" s="86">
        <v>9943917134</v>
      </c>
      <c r="S362" s="88" t="s">
        <v>1966</v>
      </c>
      <c r="T362" s="94"/>
      <c r="U362" s="140"/>
      <c r="V362" s="140"/>
      <c r="W362" s="140"/>
      <c r="X362" s="140"/>
      <c r="Y362" s="141"/>
      <c r="Z362" s="131"/>
      <c r="AA362" s="131"/>
      <c r="AB362" s="131"/>
      <c r="AC362" s="131"/>
      <c r="AD362" s="127"/>
      <c r="AF362" s="121"/>
      <c r="AG362" s="121"/>
      <c r="AH362" s="121"/>
      <c r="AI362" s="121"/>
      <c r="AJ362" s="121"/>
      <c r="AK362" s="121">
        <f>COUNTA('All Details for ACID Pastor'!$V362:$AB362)</f>
        <v>0</v>
      </c>
      <c r="AL362" s="121"/>
      <c r="AM362" s="121"/>
      <c r="AN362" s="121"/>
      <c r="AO362" s="121"/>
      <c r="AP362" s="121"/>
      <c r="AQ362" s="121"/>
      <c r="AR362" s="121"/>
      <c r="AS362" s="121"/>
      <c r="AT362" s="121"/>
      <c r="AU362" s="121"/>
      <c r="AV362" s="121"/>
      <c r="AW362" s="163"/>
      <c r="AX362" s="163"/>
      <c r="AZ362" s="121" t="s">
        <v>139</v>
      </c>
      <c r="BA362" s="163"/>
      <c r="BB362" s="163"/>
      <c r="BC362" s="163"/>
      <c r="BF362" s="163">
        <f>COUNTA('All Details for ACID Pastor'!$T362:$AB362)</f>
        <v>0</v>
      </c>
    </row>
    <row r="363" spans="1:74" ht="70.150000000000006" customHeight="1">
      <c r="A363" s="107">
        <v>364</v>
      </c>
      <c r="B363" s="124" t="s">
        <v>2183</v>
      </c>
      <c r="C363" s="90" t="s">
        <v>2184</v>
      </c>
      <c r="D363" s="95" t="s">
        <v>53</v>
      </c>
      <c r="E363" s="95" t="s">
        <v>54</v>
      </c>
      <c r="F363" s="95"/>
      <c r="G363" s="95"/>
      <c r="H363" s="95"/>
      <c r="I363" s="95"/>
      <c r="J363" s="115" t="s">
        <v>1957</v>
      </c>
      <c r="K363" s="193" t="s">
        <v>2185</v>
      </c>
      <c r="L363" s="121"/>
      <c r="M363" s="172"/>
      <c r="N363" s="93" t="s">
        <v>2186</v>
      </c>
      <c r="O363" s="92" t="s">
        <v>2187</v>
      </c>
      <c r="P363" s="88" t="s">
        <v>786</v>
      </c>
      <c r="Q363" s="88" t="s">
        <v>48</v>
      </c>
      <c r="R363" s="86">
        <v>9843600677</v>
      </c>
      <c r="S363" s="88" t="s">
        <v>1966</v>
      </c>
      <c r="T363" s="94"/>
      <c r="U363" s="140"/>
      <c r="V363" s="140"/>
      <c r="W363" s="140"/>
      <c r="X363" s="140"/>
      <c r="Y363" s="141"/>
      <c r="Z363" s="131"/>
      <c r="AA363" s="131"/>
      <c r="AB363" s="131"/>
      <c r="AC363" s="131"/>
      <c r="AD363" s="127"/>
      <c r="AF363" s="121"/>
      <c r="AG363" s="121"/>
      <c r="AH363" s="121"/>
      <c r="AI363" s="121"/>
      <c r="AJ363" s="121"/>
      <c r="AK363" s="121">
        <f>COUNTA('All Details for ACID Pastor'!$V363:$AB363)</f>
        <v>0</v>
      </c>
      <c r="AL363" s="121"/>
      <c r="AM363" s="121"/>
      <c r="AN363" s="121"/>
      <c r="AO363" s="121"/>
      <c r="AP363" s="121"/>
      <c r="AQ363" s="121"/>
      <c r="AR363" s="121"/>
      <c r="AS363" s="121"/>
      <c r="AT363" s="121"/>
      <c r="AU363" s="121"/>
      <c r="AV363" s="121"/>
      <c r="AW363" s="163"/>
      <c r="AX363" s="163"/>
      <c r="AZ363" s="121" t="s">
        <v>139</v>
      </c>
      <c r="BA363" s="163"/>
      <c r="BB363" s="163"/>
      <c r="BC363" s="163"/>
      <c r="BF363" s="163">
        <f>COUNTA('All Details for ACID Pastor'!$T363:$AB363)</f>
        <v>0</v>
      </c>
    </row>
    <row r="364" spans="1:74" ht="78.75" customHeight="1">
      <c r="A364" s="107">
        <v>365</v>
      </c>
      <c r="B364" s="124" t="s">
        <v>2188</v>
      </c>
      <c r="C364" s="90" t="s">
        <v>2189</v>
      </c>
      <c r="D364" s="95" t="s">
        <v>53</v>
      </c>
      <c r="E364" s="95" t="s">
        <v>54</v>
      </c>
      <c r="F364" s="95"/>
      <c r="G364" s="95"/>
      <c r="H364" s="95"/>
      <c r="I364" s="95"/>
      <c r="J364" s="115" t="s">
        <v>1426</v>
      </c>
      <c r="K364" s="193" t="s">
        <v>2190</v>
      </c>
      <c r="L364" s="121"/>
      <c r="M364" s="172" t="s">
        <v>2191</v>
      </c>
      <c r="N364" s="93" t="s">
        <v>2192</v>
      </c>
      <c r="O364" s="92" t="s">
        <v>2193</v>
      </c>
      <c r="P364" s="88" t="s">
        <v>769</v>
      </c>
      <c r="Q364" s="88" t="s">
        <v>48</v>
      </c>
      <c r="R364" s="86">
        <v>9245436036</v>
      </c>
      <c r="S364" s="88" t="s">
        <v>1966</v>
      </c>
      <c r="T364" s="94"/>
      <c r="U364" s="140"/>
      <c r="V364" s="125" t="s">
        <v>726</v>
      </c>
      <c r="W364" s="140"/>
      <c r="X364" s="140"/>
      <c r="Y364" s="141"/>
      <c r="Z364" s="131"/>
      <c r="AA364" s="131"/>
      <c r="AB364" s="131"/>
      <c r="AC364" s="131"/>
      <c r="AD364" s="127"/>
      <c r="AF364" s="121"/>
      <c r="AG364" s="121"/>
      <c r="AH364" s="121"/>
      <c r="AI364" s="121"/>
      <c r="AJ364" s="121"/>
      <c r="AK364" s="121">
        <f>COUNTA('All Details for ACID Pastor'!$V364:$AB364)</f>
        <v>1</v>
      </c>
      <c r="AL364" s="121"/>
      <c r="AM364" s="121"/>
      <c r="AN364" s="121"/>
      <c r="AO364" s="121"/>
      <c r="AP364" s="121"/>
      <c r="AQ364" s="121"/>
      <c r="AR364" s="121"/>
      <c r="AS364" s="121"/>
      <c r="AT364" s="121"/>
      <c r="AU364" s="121"/>
      <c r="AV364" s="121"/>
      <c r="AW364" s="163"/>
      <c r="AX364" s="163"/>
      <c r="AZ364" s="121" t="s">
        <v>139</v>
      </c>
      <c r="BA364" s="163"/>
      <c r="BB364" s="163"/>
      <c r="BC364" s="163"/>
      <c r="BF364" s="163">
        <f>COUNTA('All Details for ACID Pastor'!$T364:$AB364)</f>
        <v>1</v>
      </c>
    </row>
    <row r="365" spans="1:74" ht="70.150000000000006" customHeight="1">
      <c r="A365" s="107">
        <v>366</v>
      </c>
      <c r="B365" s="124" t="s">
        <v>2194</v>
      </c>
      <c r="C365" s="90" t="s">
        <v>2195</v>
      </c>
      <c r="D365" s="95" t="s">
        <v>53</v>
      </c>
      <c r="E365" s="95" t="s">
        <v>54</v>
      </c>
      <c r="F365" s="95"/>
      <c r="G365" s="95"/>
      <c r="H365" s="95"/>
      <c r="I365" s="95"/>
      <c r="J365" s="115" t="s">
        <v>1426</v>
      </c>
      <c r="K365" s="193" t="s">
        <v>2196</v>
      </c>
      <c r="L365" s="121"/>
      <c r="M365" s="172" t="s">
        <v>2197</v>
      </c>
      <c r="N365" s="93" t="s">
        <v>2198</v>
      </c>
      <c r="O365" s="92" t="s">
        <v>2199</v>
      </c>
      <c r="P365" s="88" t="s">
        <v>233</v>
      </c>
      <c r="Q365" s="88" t="s">
        <v>48</v>
      </c>
      <c r="R365" s="86">
        <v>9894634900</v>
      </c>
      <c r="S365" s="88" t="s">
        <v>1966</v>
      </c>
      <c r="T365" s="94"/>
      <c r="U365" s="140"/>
      <c r="V365" s="125" t="s">
        <v>726</v>
      </c>
      <c r="W365" s="140"/>
      <c r="X365" s="140"/>
      <c r="Y365" s="141"/>
      <c r="Z365" s="131"/>
      <c r="AA365" s="131"/>
      <c r="AB365" s="131"/>
      <c r="AC365" s="131"/>
      <c r="AD365" s="127"/>
      <c r="AF365" s="121"/>
      <c r="AG365" s="121"/>
      <c r="AH365" s="121"/>
      <c r="AI365" s="121"/>
      <c r="AJ365" s="121"/>
      <c r="AK365" s="121">
        <f>COUNTA('All Details for ACID Pastor'!$V365:$AB365)</f>
        <v>1</v>
      </c>
      <c r="AL365" s="121"/>
      <c r="AM365" s="121"/>
      <c r="AN365" s="121"/>
      <c r="AO365" s="121"/>
      <c r="AP365" s="121"/>
      <c r="AQ365" s="121"/>
      <c r="AR365" s="121"/>
      <c r="AS365" s="121"/>
      <c r="AT365" s="121"/>
      <c r="AU365" s="121"/>
      <c r="AV365" s="121"/>
      <c r="AW365" s="163"/>
      <c r="AX365" s="163"/>
      <c r="AZ365" s="121" t="s">
        <v>139</v>
      </c>
      <c r="BA365" s="163"/>
      <c r="BB365" s="163"/>
      <c r="BC365" s="163"/>
      <c r="BF365" s="163">
        <f>COUNTA('All Details for ACID Pastor'!$T365:$AB365)</f>
        <v>1</v>
      </c>
    </row>
    <row r="366" spans="1:74" ht="78.75" customHeight="1">
      <c r="A366" s="107">
        <v>367</v>
      </c>
      <c r="B366" s="124" t="s">
        <v>2200</v>
      </c>
      <c r="C366" s="90" t="s">
        <v>2201</v>
      </c>
      <c r="D366" s="95" t="s">
        <v>53</v>
      </c>
      <c r="E366" s="95" t="s">
        <v>54</v>
      </c>
      <c r="F366" s="95"/>
      <c r="G366" s="95"/>
      <c r="H366" s="95"/>
      <c r="I366" s="95"/>
      <c r="J366" s="115" t="s">
        <v>1426</v>
      </c>
      <c r="K366" s="193" t="s">
        <v>2202</v>
      </c>
      <c r="L366" s="121"/>
      <c r="M366" s="172"/>
      <c r="N366" s="93" t="s">
        <v>2203</v>
      </c>
      <c r="O366" s="92" t="s">
        <v>2204</v>
      </c>
      <c r="P366" s="88" t="s">
        <v>769</v>
      </c>
      <c r="Q366" s="88" t="s">
        <v>48</v>
      </c>
      <c r="R366" s="86">
        <v>9962908940</v>
      </c>
      <c r="S366" s="88" t="s">
        <v>1966</v>
      </c>
      <c r="T366" s="94"/>
      <c r="U366" s="140"/>
      <c r="V366" s="125" t="s">
        <v>726</v>
      </c>
      <c r="W366" s="125" t="s">
        <v>826</v>
      </c>
      <c r="X366" s="125" t="s">
        <v>727</v>
      </c>
      <c r="Y366" s="126" t="s">
        <v>727</v>
      </c>
      <c r="Z366" s="126" t="s">
        <v>1437</v>
      </c>
      <c r="AA366" s="126" t="s">
        <v>1437</v>
      </c>
      <c r="AB366" s="126"/>
      <c r="AC366" s="141"/>
      <c r="AD366" s="141"/>
      <c r="AF366" s="121"/>
      <c r="AG366" s="121"/>
      <c r="AH366" s="121"/>
      <c r="AI366" s="121"/>
      <c r="AJ366" s="121"/>
      <c r="AK366" s="121">
        <f>COUNTA('All Details for ACID Pastor'!$V366:$AB366)</f>
        <v>6</v>
      </c>
      <c r="AL366" s="121"/>
      <c r="AM366" s="121"/>
      <c r="AN366" s="121"/>
      <c r="AO366" s="121"/>
      <c r="AP366" s="121"/>
      <c r="AQ366" s="121"/>
      <c r="AR366" s="121"/>
      <c r="AS366" s="121"/>
      <c r="AT366" s="121"/>
      <c r="AU366" s="121"/>
      <c r="AV366" s="121"/>
      <c r="AW366" s="163"/>
      <c r="AX366" s="163"/>
      <c r="AZ366" s="121" t="s">
        <v>49</v>
      </c>
      <c r="BA366" s="163"/>
      <c r="BB366" s="163"/>
      <c r="BC366" s="163"/>
      <c r="BF366" s="163">
        <f>COUNTA('All Details for ACID Pastor'!$T366:$AB366)</f>
        <v>6</v>
      </c>
    </row>
    <row r="367" spans="1:74" ht="78.75" customHeight="1">
      <c r="A367" s="107">
        <v>368</v>
      </c>
      <c r="B367" s="124" t="s">
        <v>2205</v>
      </c>
      <c r="C367" s="90" t="s">
        <v>2206</v>
      </c>
      <c r="D367" s="95" t="s">
        <v>53</v>
      </c>
      <c r="E367" s="95" t="s">
        <v>54</v>
      </c>
      <c r="F367" s="95"/>
      <c r="G367" s="95"/>
      <c r="H367" s="95"/>
      <c r="I367" s="95"/>
      <c r="J367" s="115" t="s">
        <v>1426</v>
      </c>
      <c r="K367" s="193" t="s">
        <v>2207</v>
      </c>
      <c r="L367" s="121"/>
      <c r="M367" s="172" t="s">
        <v>2208</v>
      </c>
      <c r="N367" s="93" t="s">
        <v>2209</v>
      </c>
      <c r="O367" s="92" t="s">
        <v>1408</v>
      </c>
      <c r="P367" s="88" t="s">
        <v>769</v>
      </c>
      <c r="Q367" s="88" t="s">
        <v>48</v>
      </c>
      <c r="R367" s="86">
        <v>9500393844</v>
      </c>
      <c r="S367" s="88" t="s">
        <v>1966</v>
      </c>
      <c r="T367" s="94"/>
      <c r="U367" s="140"/>
      <c r="V367" s="125" t="s">
        <v>2210</v>
      </c>
      <c r="W367" s="140"/>
      <c r="X367" s="140"/>
      <c r="Y367" s="141"/>
      <c r="Z367" s="131"/>
      <c r="AA367" s="131"/>
      <c r="AB367" s="131"/>
      <c r="AC367" s="131"/>
      <c r="AD367" s="127"/>
      <c r="AF367" s="121"/>
      <c r="AG367" s="121"/>
      <c r="AH367" s="121"/>
      <c r="AI367" s="121"/>
      <c r="AJ367" s="121"/>
      <c r="AK367" s="121">
        <f>COUNTA('All Details for ACID Pastor'!$V367:$AB367)</f>
        <v>1</v>
      </c>
      <c r="AL367" s="121"/>
      <c r="AM367" s="121"/>
      <c r="AN367" s="121"/>
      <c r="AO367" s="121"/>
      <c r="AP367" s="121"/>
      <c r="AQ367" s="121"/>
      <c r="AR367" s="121"/>
      <c r="AS367" s="121"/>
      <c r="AT367" s="121"/>
      <c r="AU367" s="121"/>
      <c r="AV367" s="121"/>
      <c r="AW367" s="163"/>
      <c r="AX367" s="163"/>
      <c r="AZ367" s="121" t="s">
        <v>139</v>
      </c>
      <c r="BA367" s="163"/>
      <c r="BB367" s="163"/>
      <c r="BC367" s="163"/>
      <c r="BF367" s="163">
        <f>COUNTA('All Details for ACID Pastor'!$T367:$AB367)</f>
        <v>1</v>
      </c>
    </row>
    <row r="368" spans="1:74" ht="70.150000000000006" customHeight="1">
      <c r="A368" s="107">
        <v>369</v>
      </c>
      <c r="B368" s="124" t="s">
        <v>2211</v>
      </c>
      <c r="C368" s="90" t="s">
        <v>2212</v>
      </c>
      <c r="D368" s="95" t="s">
        <v>53</v>
      </c>
      <c r="E368" s="95" t="s">
        <v>54</v>
      </c>
      <c r="F368" s="95"/>
      <c r="G368" s="95"/>
      <c r="H368" s="95"/>
      <c r="I368" s="95"/>
      <c r="J368" s="115" t="s">
        <v>221</v>
      </c>
      <c r="K368" s="193" t="s">
        <v>2213</v>
      </c>
      <c r="L368" s="121"/>
      <c r="M368" s="172" t="s">
        <v>2214</v>
      </c>
      <c r="N368" s="93" t="s">
        <v>2215</v>
      </c>
      <c r="O368" s="92" t="s">
        <v>2216</v>
      </c>
      <c r="P368" s="88" t="s">
        <v>198</v>
      </c>
      <c r="Q368" s="88" t="s">
        <v>48</v>
      </c>
      <c r="R368" s="86">
        <v>9629131448</v>
      </c>
      <c r="S368" s="88" t="s">
        <v>2217</v>
      </c>
      <c r="T368" s="94"/>
      <c r="U368" s="140"/>
      <c r="V368" s="125" t="s">
        <v>381</v>
      </c>
      <c r="W368" s="125" t="s">
        <v>184</v>
      </c>
      <c r="X368" s="140"/>
      <c r="Y368" s="141"/>
      <c r="Z368" s="131"/>
      <c r="AA368" s="131"/>
      <c r="AB368" s="131"/>
      <c r="AC368" s="131"/>
      <c r="AD368" s="127"/>
      <c r="AF368" s="121"/>
      <c r="AG368" s="121"/>
      <c r="AH368" s="121"/>
      <c r="AI368" s="121"/>
      <c r="AJ368" s="121"/>
      <c r="AK368" s="121"/>
      <c r="AL368" s="121">
        <f>COUNTA('All Details for ACID Pastor'!$V368:$AB368)</f>
        <v>2</v>
      </c>
      <c r="AM368" s="121"/>
      <c r="AN368" s="121"/>
      <c r="AO368" s="121"/>
      <c r="AP368" s="121"/>
      <c r="AQ368" s="121"/>
      <c r="AR368" s="121"/>
      <c r="AS368" s="121"/>
      <c r="AT368" s="121"/>
      <c r="AU368" s="121"/>
      <c r="AV368" s="121"/>
      <c r="AW368" s="163"/>
      <c r="AX368" s="163"/>
      <c r="AZ368" s="121" t="s">
        <v>139</v>
      </c>
      <c r="BA368" s="163"/>
      <c r="BB368" s="163"/>
      <c r="BC368" s="163"/>
      <c r="BF368" s="163">
        <f>COUNTA('All Details for ACID Pastor'!$T368:$AB368)</f>
        <v>2</v>
      </c>
    </row>
    <row r="369" spans="1:74" ht="70.150000000000006" customHeight="1">
      <c r="A369" s="107">
        <v>370</v>
      </c>
      <c r="B369" s="124" t="s">
        <v>2218</v>
      </c>
      <c r="C369" s="90" t="s">
        <v>2219</v>
      </c>
      <c r="D369" s="95" t="s">
        <v>53</v>
      </c>
      <c r="E369" s="95" t="s">
        <v>54</v>
      </c>
      <c r="F369" s="95"/>
      <c r="G369" s="95"/>
      <c r="H369" s="95"/>
      <c r="I369" s="95"/>
      <c r="J369" s="115" t="s">
        <v>221</v>
      </c>
      <c r="K369" s="193" t="s">
        <v>2115</v>
      </c>
      <c r="L369" s="121"/>
      <c r="M369" s="172" t="s">
        <v>2220</v>
      </c>
      <c r="N369" s="93" t="s">
        <v>2221</v>
      </c>
      <c r="O369" s="92" t="s">
        <v>2222</v>
      </c>
      <c r="P369" s="88" t="s">
        <v>2223</v>
      </c>
      <c r="Q369" s="88" t="s">
        <v>2224</v>
      </c>
      <c r="R369" s="86">
        <v>9555669795</v>
      </c>
      <c r="S369" s="88" t="s">
        <v>2217</v>
      </c>
      <c r="T369" s="94"/>
      <c r="U369" s="140"/>
      <c r="V369" s="125" t="s">
        <v>2225</v>
      </c>
      <c r="W369" s="125" t="s">
        <v>184</v>
      </c>
      <c r="X369" s="140"/>
      <c r="Y369" s="141"/>
      <c r="Z369" s="131"/>
      <c r="AA369" s="131"/>
      <c r="AB369" s="131"/>
      <c r="AC369" s="131"/>
      <c r="AD369" s="127"/>
      <c r="AE369" s="244"/>
      <c r="AF369" s="121"/>
      <c r="AG369" s="121"/>
      <c r="AH369" s="121"/>
      <c r="AI369" s="121"/>
      <c r="AJ369" s="121"/>
      <c r="AK369" s="121"/>
      <c r="AL369" s="121">
        <f>COUNTA('All Details for ACID Pastor'!$V369:$AB369)</f>
        <v>2</v>
      </c>
      <c r="AM369" s="121"/>
      <c r="AN369" s="121"/>
      <c r="AO369" s="121"/>
      <c r="AP369" s="121"/>
      <c r="AQ369" s="121"/>
      <c r="AR369" s="121"/>
      <c r="AS369" s="121"/>
      <c r="AT369" s="121"/>
      <c r="AU369" s="121"/>
      <c r="AV369" s="121"/>
      <c r="AW369" s="163"/>
      <c r="AX369" s="163"/>
      <c r="AZ369" s="121" t="s">
        <v>139</v>
      </c>
      <c r="BA369" s="163"/>
      <c r="BB369" s="163"/>
      <c r="BC369" s="163"/>
      <c r="BF369" s="163">
        <f>COUNTA('All Details for ACID Pastor'!$T369:$AB369)</f>
        <v>2</v>
      </c>
    </row>
    <row r="370" spans="1:74" s="174" customFormat="1" ht="70.150000000000006" customHeight="1">
      <c r="A370" s="103">
        <v>371</v>
      </c>
      <c r="B370" s="132" t="s">
        <v>2226</v>
      </c>
      <c r="C370" s="101" t="s">
        <v>2227</v>
      </c>
      <c r="D370" s="102" t="s">
        <v>53</v>
      </c>
      <c r="E370" s="102" t="s">
        <v>54</v>
      </c>
      <c r="F370" s="95"/>
      <c r="G370" s="95"/>
      <c r="H370" s="95"/>
      <c r="I370" s="95"/>
      <c r="J370" s="133" t="s">
        <v>1140</v>
      </c>
      <c r="K370" s="256" t="s">
        <v>2228</v>
      </c>
      <c r="L370" s="232" t="s">
        <v>4209</v>
      </c>
      <c r="M370" s="171"/>
      <c r="N370" s="104" t="s">
        <v>2229</v>
      </c>
      <c r="O370" s="105" t="s">
        <v>2230</v>
      </c>
      <c r="P370" s="106" t="s">
        <v>1102</v>
      </c>
      <c r="Q370" s="106" t="s">
        <v>48</v>
      </c>
      <c r="R370" s="134">
        <v>9942538501</v>
      </c>
      <c r="S370" s="106" t="s">
        <v>2217</v>
      </c>
      <c r="T370" s="135"/>
      <c r="U370" s="176"/>
      <c r="V370" s="144" t="s">
        <v>1843</v>
      </c>
      <c r="W370" s="144" t="s">
        <v>110</v>
      </c>
      <c r="X370" s="144" t="s">
        <v>110</v>
      </c>
      <c r="Y370" s="145"/>
      <c r="Z370" s="136"/>
      <c r="AA370" s="136"/>
      <c r="AB370" s="136"/>
      <c r="AC370" s="136"/>
      <c r="AD370" s="222"/>
      <c r="AE370" s="244"/>
      <c r="AF370" s="232"/>
      <c r="AG370" s="232"/>
      <c r="AH370" s="232"/>
      <c r="AI370" s="232"/>
      <c r="AJ370" s="232"/>
      <c r="AK370" s="232"/>
      <c r="AL370" s="232">
        <f>COUNTA('All Details for ACID Pastor'!$V370:$AB370)</f>
        <v>3</v>
      </c>
      <c r="AM370" s="232"/>
      <c r="AN370" s="232"/>
      <c r="AO370" s="232"/>
      <c r="AP370" s="232"/>
      <c r="AQ370" s="232"/>
      <c r="AR370" s="232"/>
      <c r="AS370" s="232"/>
      <c r="AT370" s="232"/>
      <c r="AU370" s="232"/>
      <c r="AV370" s="232"/>
      <c r="AW370" s="233"/>
      <c r="AX370" s="233"/>
      <c r="AY370" s="244"/>
      <c r="AZ370" s="232" t="s">
        <v>139</v>
      </c>
      <c r="BA370" s="233"/>
      <c r="BB370" s="233"/>
      <c r="BC370" s="233"/>
      <c r="BD370" s="244"/>
      <c r="BE370" s="277"/>
      <c r="BF370" s="233">
        <f>COUNTA('All Details for ACID Pastor'!$T370:$AB370)</f>
        <v>3</v>
      </c>
      <c r="BG370" s="249"/>
      <c r="BH370" s="249"/>
      <c r="BI370" s="249"/>
      <c r="BJ370" s="249"/>
      <c r="BK370" s="249"/>
      <c r="BL370" s="249"/>
      <c r="BM370" s="249"/>
      <c r="BN370" s="249"/>
      <c r="BO370" s="249"/>
      <c r="BP370" s="249"/>
      <c r="BQ370" s="249"/>
      <c r="BR370" s="249"/>
      <c r="BS370" s="249"/>
      <c r="BT370" s="249"/>
      <c r="BU370" s="249"/>
      <c r="BV370" s="249"/>
    </row>
    <row r="371" spans="1:74" s="174" customFormat="1" ht="70.150000000000006" customHeight="1">
      <c r="A371" s="103">
        <v>372</v>
      </c>
      <c r="B371" s="132" t="s">
        <v>2231</v>
      </c>
      <c r="C371" s="101" t="s">
        <v>2232</v>
      </c>
      <c r="D371" s="102" t="s">
        <v>53</v>
      </c>
      <c r="E371" s="102" t="s">
        <v>54</v>
      </c>
      <c r="F371" s="95"/>
      <c r="G371" s="95"/>
      <c r="H371" s="95"/>
      <c r="I371" s="95"/>
      <c r="J371" s="175"/>
      <c r="K371" s="256"/>
      <c r="L371" s="232" t="s">
        <v>4209</v>
      </c>
      <c r="M371" s="171"/>
      <c r="N371" s="104" t="s">
        <v>2233</v>
      </c>
      <c r="O371" s="105" t="s">
        <v>2234</v>
      </c>
      <c r="P371" s="106" t="s">
        <v>1102</v>
      </c>
      <c r="Q371" s="106" t="s">
        <v>48</v>
      </c>
      <c r="R371" s="134">
        <v>9865656204</v>
      </c>
      <c r="S371" s="106" t="s">
        <v>2217</v>
      </c>
      <c r="T371" s="135"/>
      <c r="U371" s="176"/>
      <c r="V371" s="144" t="s">
        <v>1843</v>
      </c>
      <c r="W371" s="144" t="s">
        <v>184</v>
      </c>
      <c r="X371" s="176"/>
      <c r="Y371" s="145"/>
      <c r="Z371" s="136"/>
      <c r="AA371" s="136"/>
      <c r="AB371" s="136"/>
      <c r="AC371" s="136"/>
      <c r="AD371" s="222"/>
      <c r="AE371" s="247"/>
      <c r="AF371" s="232"/>
      <c r="AG371" s="232"/>
      <c r="AH371" s="232"/>
      <c r="AI371" s="232"/>
      <c r="AJ371" s="232"/>
      <c r="AK371" s="232"/>
      <c r="AL371" s="232">
        <f>COUNTA('All Details for ACID Pastor'!$V371:$AB371)</f>
        <v>2</v>
      </c>
      <c r="AM371" s="232"/>
      <c r="AN371" s="232"/>
      <c r="AO371" s="232"/>
      <c r="AP371" s="232"/>
      <c r="AQ371" s="232"/>
      <c r="AR371" s="232"/>
      <c r="AS371" s="232"/>
      <c r="AT371" s="232"/>
      <c r="AU371" s="232"/>
      <c r="AV371" s="232"/>
      <c r="AW371" s="233"/>
      <c r="AX371" s="233"/>
      <c r="AY371" s="244"/>
      <c r="AZ371" s="232" t="s">
        <v>139</v>
      </c>
      <c r="BA371" s="233"/>
      <c r="BB371" s="233"/>
      <c r="BC371" s="233"/>
      <c r="BD371" s="244"/>
      <c r="BE371" s="277"/>
      <c r="BF371" s="233">
        <f>COUNTA('All Details for ACID Pastor'!$T371:$AB371)</f>
        <v>2</v>
      </c>
      <c r="BG371" s="249"/>
      <c r="BH371" s="249"/>
      <c r="BI371" s="249"/>
      <c r="BJ371" s="249"/>
      <c r="BK371" s="249"/>
      <c r="BL371" s="249"/>
      <c r="BM371" s="249"/>
      <c r="BN371" s="249"/>
      <c r="BO371" s="249"/>
      <c r="BP371" s="249"/>
      <c r="BQ371" s="249"/>
      <c r="BR371" s="249"/>
      <c r="BS371" s="249"/>
      <c r="BT371" s="249"/>
      <c r="BU371" s="249"/>
      <c r="BV371" s="249"/>
    </row>
    <row r="372" spans="1:74" s="191" customFormat="1" ht="70.150000000000006" customHeight="1">
      <c r="A372" s="107">
        <v>373</v>
      </c>
      <c r="B372" s="124" t="s">
        <v>2235</v>
      </c>
      <c r="C372" s="90" t="s">
        <v>4216</v>
      </c>
      <c r="D372" s="95" t="s">
        <v>4215</v>
      </c>
      <c r="E372" s="95" t="s">
        <v>54</v>
      </c>
      <c r="F372" s="95"/>
      <c r="G372" s="95"/>
      <c r="H372" s="95"/>
      <c r="I372" s="95"/>
      <c r="J372" s="115" t="s">
        <v>1140</v>
      </c>
      <c r="K372" s="193" t="s">
        <v>2236</v>
      </c>
      <c r="L372" s="121" t="s">
        <v>4209</v>
      </c>
      <c r="M372" s="172"/>
      <c r="N372" s="93" t="s">
        <v>2237</v>
      </c>
      <c r="O372" s="92" t="s">
        <v>2238</v>
      </c>
      <c r="P372" s="88" t="s">
        <v>1102</v>
      </c>
      <c r="Q372" s="88" t="s">
        <v>48</v>
      </c>
      <c r="R372" s="86">
        <v>9865364331</v>
      </c>
      <c r="S372" s="88" t="s">
        <v>2217</v>
      </c>
      <c r="T372" s="94"/>
      <c r="U372" s="140"/>
      <c r="V372" s="125" t="s">
        <v>1843</v>
      </c>
      <c r="W372" s="125" t="s">
        <v>110</v>
      </c>
      <c r="X372" s="125" t="s">
        <v>110</v>
      </c>
      <c r="Y372" s="141"/>
      <c r="Z372" s="131"/>
      <c r="AA372" s="131"/>
      <c r="AB372" s="131"/>
      <c r="AC372" s="131"/>
      <c r="AD372" s="127"/>
      <c r="AE372" s="240"/>
      <c r="AF372" s="121"/>
      <c r="AG372" s="121"/>
      <c r="AH372" s="121"/>
      <c r="AI372" s="121"/>
      <c r="AJ372" s="121"/>
      <c r="AK372" s="121"/>
      <c r="AL372" s="121">
        <f>COUNTA('All Details for ACID Pastor'!$V372:$AB372)</f>
        <v>3</v>
      </c>
      <c r="AM372" s="121"/>
      <c r="AN372" s="121"/>
      <c r="AO372" s="121"/>
      <c r="AP372" s="121"/>
      <c r="AQ372" s="121"/>
      <c r="AR372" s="121"/>
      <c r="AS372" s="121"/>
      <c r="AT372" s="121"/>
      <c r="AU372" s="121"/>
      <c r="AV372" s="121"/>
      <c r="AW372" s="238"/>
      <c r="AX372" s="238"/>
      <c r="AY372" s="247"/>
      <c r="AZ372" s="121" t="s">
        <v>4214</v>
      </c>
      <c r="BA372" s="238"/>
      <c r="BB372" s="238"/>
      <c r="BC372" s="238"/>
      <c r="BD372" s="247"/>
      <c r="BE372" s="280"/>
      <c r="BF372" s="238">
        <f>COUNTA('All Details for ACID Pastor'!$T372:$AB372)</f>
        <v>3</v>
      </c>
      <c r="BG372" s="252"/>
      <c r="BH372" s="252"/>
      <c r="BI372" s="252"/>
      <c r="BJ372" s="252"/>
      <c r="BK372" s="252"/>
      <c r="BL372" s="252"/>
      <c r="BM372" s="252"/>
      <c r="BN372" s="252"/>
      <c r="BO372" s="252"/>
      <c r="BP372" s="252"/>
      <c r="BQ372" s="252"/>
      <c r="BR372" s="252"/>
      <c r="BS372" s="252"/>
      <c r="BT372" s="252"/>
      <c r="BU372" s="252"/>
      <c r="BV372" s="252"/>
    </row>
    <row r="373" spans="1:74" ht="78.75" customHeight="1">
      <c r="A373" s="107">
        <v>374</v>
      </c>
      <c r="B373" s="124" t="s">
        <v>2239</v>
      </c>
      <c r="C373" s="90" t="s">
        <v>2240</v>
      </c>
      <c r="D373" s="95" t="s">
        <v>53</v>
      </c>
      <c r="E373" s="95" t="s">
        <v>54</v>
      </c>
      <c r="F373" s="95"/>
      <c r="G373" s="95"/>
      <c r="H373" s="95"/>
      <c r="I373" s="95"/>
      <c r="J373" s="115" t="s">
        <v>1140</v>
      </c>
      <c r="K373" s="193" t="s">
        <v>1806</v>
      </c>
      <c r="L373" s="121"/>
      <c r="M373" s="172"/>
      <c r="N373" s="93" t="s">
        <v>2241</v>
      </c>
      <c r="O373" s="92" t="s">
        <v>2242</v>
      </c>
      <c r="P373" s="88" t="s">
        <v>64</v>
      </c>
      <c r="Q373" s="88" t="s">
        <v>48</v>
      </c>
      <c r="R373" s="86">
        <v>7871852337</v>
      </c>
      <c r="S373" s="88" t="s">
        <v>2217</v>
      </c>
      <c r="T373" s="94"/>
      <c r="U373" s="140"/>
      <c r="V373" s="140"/>
      <c r="W373" s="140"/>
      <c r="X373" s="140"/>
      <c r="Y373" s="141"/>
      <c r="Z373" s="131"/>
      <c r="AA373" s="131"/>
      <c r="AB373" s="131"/>
      <c r="AC373" s="131"/>
      <c r="AD373" s="127"/>
      <c r="AF373" s="121"/>
      <c r="AG373" s="121"/>
      <c r="AH373" s="121"/>
      <c r="AI373" s="121"/>
      <c r="AJ373" s="121"/>
      <c r="AK373" s="121"/>
      <c r="AL373" s="121">
        <f>COUNTA('All Details for ACID Pastor'!$V373:$AB373)</f>
        <v>0</v>
      </c>
      <c r="AM373" s="121"/>
      <c r="AN373" s="121"/>
      <c r="AO373" s="121"/>
      <c r="AP373" s="121"/>
      <c r="AQ373" s="121"/>
      <c r="AR373" s="121"/>
      <c r="AS373" s="121"/>
      <c r="AT373" s="121"/>
      <c r="AU373" s="121"/>
      <c r="AV373" s="121"/>
      <c r="AW373" s="163"/>
      <c r="AX373" s="163"/>
      <c r="AZ373" s="121" t="s">
        <v>139</v>
      </c>
      <c r="BA373" s="163"/>
      <c r="BB373" s="163"/>
      <c r="BC373" s="163"/>
      <c r="BF373" s="163">
        <f>COUNTA('All Details for ACID Pastor'!$T373:$AB373)</f>
        <v>0</v>
      </c>
    </row>
    <row r="374" spans="1:74" ht="70.150000000000006" customHeight="1">
      <c r="A374" s="107">
        <v>375</v>
      </c>
      <c r="B374" s="124" t="s">
        <v>2243</v>
      </c>
      <c r="C374" s="90" t="s">
        <v>2244</v>
      </c>
      <c r="D374" s="95" t="s">
        <v>53</v>
      </c>
      <c r="E374" s="95" t="s">
        <v>68</v>
      </c>
      <c r="F374" s="95"/>
      <c r="G374" s="95"/>
      <c r="H374" s="95"/>
      <c r="I374" s="95"/>
      <c r="J374" s="115" t="s">
        <v>1140</v>
      </c>
      <c r="K374" s="193" t="s">
        <v>2245</v>
      </c>
      <c r="L374" s="121" t="s">
        <v>4209</v>
      </c>
      <c r="M374" s="172"/>
      <c r="N374" s="93" t="s">
        <v>2246</v>
      </c>
      <c r="O374" s="92" t="s">
        <v>2230</v>
      </c>
      <c r="P374" s="88" t="s">
        <v>1102</v>
      </c>
      <c r="Q374" s="88" t="s">
        <v>48</v>
      </c>
      <c r="R374" s="86">
        <v>7094296074</v>
      </c>
      <c r="S374" s="88" t="s">
        <v>2217</v>
      </c>
      <c r="T374" s="94"/>
      <c r="U374" s="140"/>
      <c r="V374" s="125" t="s">
        <v>1843</v>
      </c>
      <c r="W374" s="125" t="s">
        <v>215</v>
      </c>
      <c r="X374" s="125" t="s">
        <v>98</v>
      </c>
      <c r="Y374" s="126" t="s">
        <v>110</v>
      </c>
      <c r="Z374" s="131"/>
      <c r="AA374" s="131"/>
      <c r="AB374" s="127" t="s">
        <v>165</v>
      </c>
      <c r="AC374" s="131" t="s">
        <v>129</v>
      </c>
      <c r="AD374" s="127" t="s">
        <v>129</v>
      </c>
      <c r="AF374" s="121"/>
      <c r="AG374" s="121"/>
      <c r="AH374" s="121"/>
      <c r="AI374" s="121"/>
      <c r="AJ374" s="121"/>
      <c r="AK374" s="121"/>
      <c r="AL374" s="121">
        <f>COUNTA('All Details for ACID Pastor'!$V374:$AB374)</f>
        <v>5</v>
      </c>
      <c r="AM374" s="121"/>
      <c r="AN374" s="121"/>
      <c r="AO374" s="121"/>
      <c r="AP374" s="121"/>
      <c r="AQ374" s="121"/>
      <c r="AR374" s="121"/>
      <c r="AS374" s="121"/>
      <c r="AT374" s="121"/>
      <c r="AU374" s="121"/>
      <c r="AV374" s="121"/>
      <c r="AW374" s="163"/>
      <c r="AX374" s="163"/>
      <c r="AZ374" s="121" t="s">
        <v>49</v>
      </c>
      <c r="BA374" s="163"/>
      <c r="BB374" s="163">
        <v>2</v>
      </c>
      <c r="BC374" s="163"/>
      <c r="BF374" s="163">
        <v>7</v>
      </c>
    </row>
    <row r="375" spans="1:74" ht="70.150000000000006" customHeight="1">
      <c r="A375" s="107">
        <v>376</v>
      </c>
      <c r="B375" s="124" t="s">
        <v>2247</v>
      </c>
      <c r="C375" s="90" t="s">
        <v>2248</v>
      </c>
      <c r="D375" s="95" t="s">
        <v>53</v>
      </c>
      <c r="E375" s="95" t="s">
        <v>160</v>
      </c>
      <c r="F375" s="95"/>
      <c r="G375" s="95"/>
      <c r="H375" s="95"/>
      <c r="I375" s="95"/>
      <c r="J375" s="115" t="s">
        <v>1140</v>
      </c>
      <c r="K375" s="193" t="s">
        <v>2249</v>
      </c>
      <c r="L375" s="121"/>
      <c r="M375" s="172"/>
      <c r="N375" s="93" t="s">
        <v>2250</v>
      </c>
      <c r="O375" s="92" t="s">
        <v>2230</v>
      </c>
      <c r="P375" s="88" t="s">
        <v>1638</v>
      </c>
      <c r="Q375" s="88" t="s">
        <v>48</v>
      </c>
      <c r="R375" s="86">
        <v>6379602586</v>
      </c>
      <c r="S375" s="88" t="s">
        <v>2217</v>
      </c>
      <c r="T375" s="94"/>
      <c r="U375" s="140"/>
      <c r="V375" s="125" t="s">
        <v>1843</v>
      </c>
      <c r="W375" s="140" t="s">
        <v>129</v>
      </c>
      <c r="X375" s="140" t="s">
        <v>129</v>
      </c>
      <c r="Y375" s="140" t="s">
        <v>129</v>
      </c>
      <c r="Z375" s="140" t="s">
        <v>129</v>
      </c>
      <c r="AA375" s="140" t="s">
        <v>129</v>
      </c>
      <c r="AB375" s="140" t="s">
        <v>129</v>
      </c>
      <c r="AC375" s="140" t="s">
        <v>129</v>
      </c>
      <c r="AD375" s="127"/>
      <c r="AE375" s="244"/>
      <c r="AF375" s="121"/>
      <c r="AG375" s="121"/>
      <c r="AH375" s="121"/>
      <c r="AI375" s="121"/>
      <c r="AJ375" s="121"/>
      <c r="AK375" s="121"/>
      <c r="AL375" s="121">
        <v>1</v>
      </c>
      <c r="AM375" s="121"/>
      <c r="AN375" s="121"/>
      <c r="AO375" s="121"/>
      <c r="AP375" s="121"/>
      <c r="AQ375" s="121"/>
      <c r="AR375" s="121"/>
      <c r="AS375" s="121"/>
      <c r="AT375" s="121"/>
      <c r="AU375" s="121"/>
      <c r="AV375" s="121"/>
      <c r="AW375" s="163"/>
      <c r="AX375" s="163"/>
      <c r="AZ375" s="121" t="s">
        <v>49</v>
      </c>
      <c r="BA375" s="163"/>
      <c r="BB375" s="163">
        <v>7</v>
      </c>
      <c r="BC375" s="163"/>
      <c r="BF375" s="163">
        <v>8</v>
      </c>
    </row>
    <row r="376" spans="1:74" s="174" customFormat="1" ht="70.150000000000006" customHeight="1">
      <c r="A376" s="103">
        <v>377</v>
      </c>
      <c r="B376" s="132" t="s">
        <v>2251</v>
      </c>
      <c r="C376" s="101" t="s">
        <v>2252</v>
      </c>
      <c r="D376" s="102" t="s">
        <v>53</v>
      </c>
      <c r="E376" s="102" t="s">
        <v>54</v>
      </c>
      <c r="F376" s="95"/>
      <c r="G376" s="95"/>
      <c r="H376" s="95"/>
      <c r="I376" s="95"/>
      <c r="J376" s="133" t="s">
        <v>661</v>
      </c>
      <c r="K376" s="256" t="s">
        <v>1221</v>
      </c>
      <c r="L376" s="232"/>
      <c r="M376" s="171" t="s">
        <v>2253</v>
      </c>
      <c r="N376" s="104" t="s">
        <v>2254</v>
      </c>
      <c r="O376" s="105" t="s">
        <v>2255</v>
      </c>
      <c r="P376" s="106" t="s">
        <v>666</v>
      </c>
      <c r="Q376" s="106" t="s">
        <v>667</v>
      </c>
      <c r="R376" s="134">
        <v>8553827415</v>
      </c>
      <c r="S376" s="106" t="s">
        <v>2217</v>
      </c>
      <c r="T376" s="135"/>
      <c r="U376" s="176"/>
      <c r="V376" s="176"/>
      <c r="W376" s="176"/>
      <c r="X376" s="176"/>
      <c r="Y376" s="145"/>
      <c r="Z376" s="136"/>
      <c r="AA376" s="136"/>
      <c r="AB376" s="136"/>
      <c r="AC376" s="136"/>
      <c r="AD376" s="222"/>
      <c r="AE376" s="244"/>
      <c r="AF376" s="232"/>
      <c r="AG376" s="232"/>
      <c r="AH376" s="232"/>
      <c r="AI376" s="232"/>
      <c r="AJ376" s="232"/>
      <c r="AK376" s="232"/>
      <c r="AL376" s="232">
        <f>COUNTA('All Details for ACID Pastor'!$V376:$AB376)</f>
        <v>0</v>
      </c>
      <c r="AM376" s="232"/>
      <c r="AN376" s="232"/>
      <c r="AO376" s="232"/>
      <c r="AP376" s="232"/>
      <c r="AQ376" s="232"/>
      <c r="AR376" s="232"/>
      <c r="AS376" s="232"/>
      <c r="AT376" s="232"/>
      <c r="AU376" s="232"/>
      <c r="AV376" s="232"/>
      <c r="AW376" s="233"/>
      <c r="AX376" s="233"/>
      <c r="AY376" s="244"/>
      <c r="AZ376" s="232" t="s">
        <v>139</v>
      </c>
      <c r="BA376" s="233"/>
      <c r="BB376" s="233"/>
      <c r="BC376" s="233"/>
      <c r="BD376" s="244"/>
      <c r="BE376" s="277"/>
      <c r="BF376" s="233">
        <f>COUNTA('All Details for ACID Pastor'!$T376:$AB376)</f>
        <v>0</v>
      </c>
      <c r="BG376" s="249"/>
      <c r="BH376" s="249"/>
      <c r="BI376" s="249"/>
      <c r="BJ376" s="249"/>
      <c r="BK376" s="249"/>
      <c r="BL376" s="249"/>
      <c r="BM376" s="249"/>
      <c r="BN376" s="249"/>
      <c r="BO376" s="249"/>
      <c r="BP376" s="249"/>
      <c r="BQ376" s="249"/>
      <c r="BR376" s="249"/>
      <c r="BS376" s="249"/>
      <c r="BT376" s="249"/>
      <c r="BU376" s="249"/>
      <c r="BV376" s="249"/>
    </row>
    <row r="377" spans="1:74" s="174" customFormat="1" ht="70.150000000000006" customHeight="1">
      <c r="A377" s="103">
        <v>378</v>
      </c>
      <c r="B377" s="132" t="s">
        <v>2256</v>
      </c>
      <c r="C377" s="101" t="s">
        <v>2257</v>
      </c>
      <c r="D377" s="102" t="s">
        <v>53</v>
      </c>
      <c r="E377" s="102" t="s">
        <v>68</v>
      </c>
      <c r="F377" s="95"/>
      <c r="G377" s="95"/>
      <c r="H377" s="95"/>
      <c r="I377" s="95"/>
      <c r="J377" s="133" t="s">
        <v>519</v>
      </c>
      <c r="K377" s="256" t="s">
        <v>2258</v>
      </c>
      <c r="L377" s="232" t="s">
        <v>4209</v>
      </c>
      <c r="M377" s="171"/>
      <c r="N377" s="104" t="s">
        <v>2259</v>
      </c>
      <c r="O377" s="105" t="s">
        <v>2260</v>
      </c>
      <c r="P377" s="106" t="s">
        <v>1102</v>
      </c>
      <c r="Q377" s="106" t="s">
        <v>48</v>
      </c>
      <c r="R377" s="134">
        <v>8344033200</v>
      </c>
      <c r="S377" s="106" t="s">
        <v>2217</v>
      </c>
      <c r="T377" s="135"/>
      <c r="U377" s="176"/>
      <c r="V377" s="144" t="s">
        <v>1843</v>
      </c>
      <c r="W377" s="176"/>
      <c r="X377" s="176"/>
      <c r="Y377" s="145"/>
      <c r="Z377" s="136"/>
      <c r="AA377" s="136"/>
      <c r="AB377" s="136"/>
      <c r="AC377" s="136"/>
      <c r="AD377" s="222"/>
      <c r="AE377" s="240"/>
      <c r="AF377" s="232"/>
      <c r="AG377" s="232"/>
      <c r="AH377" s="232"/>
      <c r="AI377" s="232"/>
      <c r="AJ377" s="232"/>
      <c r="AK377" s="232"/>
      <c r="AL377" s="232">
        <f>COUNTA('All Details for ACID Pastor'!$V377:$AB377)</f>
        <v>1</v>
      </c>
      <c r="AM377" s="232"/>
      <c r="AN377" s="232"/>
      <c r="AO377" s="232"/>
      <c r="AP377" s="232"/>
      <c r="AQ377" s="232"/>
      <c r="AR377" s="232"/>
      <c r="AS377" s="232"/>
      <c r="AT377" s="232"/>
      <c r="AU377" s="232"/>
      <c r="AV377" s="232"/>
      <c r="AW377" s="233"/>
      <c r="AX377" s="233"/>
      <c r="AY377" s="244"/>
      <c r="AZ377" s="232" t="s">
        <v>139</v>
      </c>
      <c r="BA377" s="233"/>
      <c r="BB377" s="233"/>
      <c r="BC377" s="233"/>
      <c r="BD377" s="244"/>
      <c r="BE377" s="277"/>
      <c r="BF377" s="233">
        <f>COUNTA('All Details for ACID Pastor'!$T377:$AB377)</f>
        <v>1</v>
      </c>
      <c r="BG377" s="249"/>
      <c r="BH377" s="249"/>
      <c r="BI377" s="249"/>
      <c r="BJ377" s="249"/>
      <c r="BK377" s="249"/>
      <c r="BL377" s="249"/>
      <c r="BM377" s="249"/>
      <c r="BN377" s="249"/>
      <c r="BO377" s="249"/>
      <c r="BP377" s="249"/>
      <c r="BQ377" s="249"/>
      <c r="BR377" s="249"/>
      <c r="BS377" s="249"/>
      <c r="BT377" s="249"/>
      <c r="BU377" s="249"/>
      <c r="BV377" s="249"/>
    </row>
    <row r="378" spans="1:74" ht="70.150000000000006" customHeight="1">
      <c r="A378" s="107">
        <v>379</v>
      </c>
      <c r="B378" s="124" t="s">
        <v>2261</v>
      </c>
      <c r="C378" s="90" t="s">
        <v>2262</v>
      </c>
      <c r="D378" s="95" t="s">
        <v>53</v>
      </c>
      <c r="E378" s="95" t="s">
        <v>54</v>
      </c>
      <c r="F378" s="95"/>
      <c r="G378" s="95"/>
      <c r="H378" s="95"/>
      <c r="I378" s="95"/>
      <c r="J378" s="115" t="s">
        <v>519</v>
      </c>
      <c r="K378" s="193" t="s">
        <v>2263</v>
      </c>
      <c r="L378" s="121"/>
      <c r="M378" s="172"/>
      <c r="N378" s="93" t="s">
        <v>2264</v>
      </c>
      <c r="O378" s="92" t="s">
        <v>2265</v>
      </c>
      <c r="P378" s="88" t="s">
        <v>73</v>
      </c>
      <c r="Q378" s="88" t="s">
        <v>48</v>
      </c>
      <c r="R378" s="86">
        <v>8695157776</v>
      </c>
      <c r="S378" s="88" t="s">
        <v>2217</v>
      </c>
      <c r="T378" s="94"/>
      <c r="U378" s="140"/>
      <c r="V378" s="125" t="s">
        <v>77</v>
      </c>
      <c r="W378" s="127" t="s">
        <v>165</v>
      </c>
      <c r="X378" s="127" t="s">
        <v>165</v>
      </c>
      <c r="Y378" s="127" t="s">
        <v>165</v>
      </c>
      <c r="Z378" s="127" t="s">
        <v>165</v>
      </c>
      <c r="AA378" s="127" t="s">
        <v>165</v>
      </c>
      <c r="AB378" s="127" t="s">
        <v>165</v>
      </c>
      <c r="AC378" s="131"/>
      <c r="AD378" s="127"/>
      <c r="AF378" s="121"/>
      <c r="AG378" s="121"/>
      <c r="AH378" s="121"/>
      <c r="AI378" s="121"/>
      <c r="AJ378" s="121"/>
      <c r="AK378" s="121"/>
      <c r="AL378" s="121">
        <f>COUNTA('All Details for ACID Pastor'!$V378:$AB378)</f>
        <v>7</v>
      </c>
      <c r="AM378" s="121"/>
      <c r="AN378" s="121"/>
      <c r="AO378" s="121"/>
      <c r="AP378" s="121"/>
      <c r="AQ378" s="121"/>
      <c r="AR378" s="121"/>
      <c r="AS378" s="121"/>
      <c r="AT378" s="121"/>
      <c r="AU378" s="121"/>
      <c r="AV378" s="121"/>
      <c r="AW378" s="163"/>
      <c r="AX378" s="163"/>
      <c r="AZ378" s="121" t="s">
        <v>49</v>
      </c>
      <c r="BA378" s="163"/>
      <c r="BB378" s="163"/>
      <c r="BC378" s="163"/>
      <c r="BF378" s="163">
        <f>COUNTA('All Details for ACID Pastor'!$T378:$AB378)</f>
        <v>7</v>
      </c>
    </row>
    <row r="379" spans="1:74" ht="70.150000000000006" customHeight="1">
      <c r="A379" s="107">
        <v>380</v>
      </c>
      <c r="B379" s="124" t="s">
        <v>2266</v>
      </c>
      <c r="C379" s="90" t="s">
        <v>2267</v>
      </c>
      <c r="D379" s="95" t="s">
        <v>53</v>
      </c>
      <c r="E379" s="95" t="s">
        <v>54</v>
      </c>
      <c r="F379" s="95"/>
      <c r="G379" s="95"/>
      <c r="H379" s="95"/>
      <c r="I379" s="95"/>
      <c r="J379" s="115" t="s">
        <v>1986</v>
      </c>
      <c r="K379" s="193" t="s">
        <v>2268</v>
      </c>
      <c r="L379" s="121"/>
      <c r="M379" s="172"/>
      <c r="N379" s="93" t="s">
        <v>2269</v>
      </c>
      <c r="O379" s="92" t="s">
        <v>2270</v>
      </c>
      <c r="P379" s="88" t="s">
        <v>166</v>
      </c>
      <c r="Q379" s="88" t="s">
        <v>48</v>
      </c>
      <c r="R379" s="86">
        <v>8129033790</v>
      </c>
      <c r="S379" s="88" t="s">
        <v>2217</v>
      </c>
      <c r="T379" s="94"/>
      <c r="U379" s="140"/>
      <c r="V379" s="125" t="s">
        <v>77</v>
      </c>
      <c r="W379" s="125" t="s">
        <v>2271</v>
      </c>
      <c r="X379" s="125" t="s">
        <v>2272</v>
      </c>
      <c r="Y379" s="126" t="s">
        <v>149</v>
      </c>
      <c r="Z379" s="127" t="s">
        <v>2081</v>
      </c>
      <c r="AA379" s="127" t="s">
        <v>2081</v>
      </c>
      <c r="AB379" s="127"/>
      <c r="AC379" s="131"/>
      <c r="AD379" s="127"/>
      <c r="AF379" s="121"/>
      <c r="AG379" s="121"/>
      <c r="AH379" s="121"/>
      <c r="AI379" s="121"/>
      <c r="AJ379" s="121"/>
      <c r="AK379" s="121"/>
      <c r="AL379" s="121">
        <f>COUNTA('All Details for ACID Pastor'!$V379:$AB379)</f>
        <v>6</v>
      </c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63"/>
      <c r="AX379" s="163"/>
      <c r="AZ379" s="121" t="s">
        <v>49</v>
      </c>
      <c r="BA379" s="163"/>
      <c r="BB379" s="163"/>
      <c r="BC379" s="163"/>
      <c r="BF379" s="163">
        <f>COUNTA('All Details for ACID Pastor'!$T379:$AB379)</f>
        <v>6</v>
      </c>
    </row>
    <row r="380" spans="1:74" ht="70.150000000000006" customHeight="1">
      <c r="A380" s="107">
        <v>381</v>
      </c>
      <c r="B380" s="124" t="s">
        <v>2273</v>
      </c>
      <c r="C380" s="90" t="s">
        <v>2274</v>
      </c>
      <c r="D380" s="95" t="s">
        <v>53</v>
      </c>
      <c r="E380" s="95" t="s">
        <v>160</v>
      </c>
      <c r="F380" s="95"/>
      <c r="G380" s="95"/>
      <c r="H380" s="95"/>
      <c r="I380" s="95"/>
      <c r="J380" s="115" t="s">
        <v>1986</v>
      </c>
      <c r="K380" s="193" t="s">
        <v>2275</v>
      </c>
      <c r="L380" s="121"/>
      <c r="M380" s="172"/>
      <c r="N380" s="93" t="s">
        <v>2276</v>
      </c>
      <c r="O380" s="92" t="s">
        <v>2270</v>
      </c>
      <c r="P380" s="88" t="s">
        <v>166</v>
      </c>
      <c r="Q380" s="88" t="s">
        <v>48</v>
      </c>
      <c r="R380" s="86">
        <v>7598315822</v>
      </c>
      <c r="S380" s="88" t="s">
        <v>2217</v>
      </c>
      <c r="T380" s="94"/>
      <c r="U380" s="140"/>
      <c r="V380" s="125" t="s">
        <v>77</v>
      </c>
      <c r="W380" s="125" t="s">
        <v>2271</v>
      </c>
      <c r="X380" s="125" t="s">
        <v>2272</v>
      </c>
      <c r="Y380" s="126" t="s">
        <v>149</v>
      </c>
      <c r="Z380" s="127" t="s">
        <v>2081</v>
      </c>
      <c r="AA380" s="127" t="s">
        <v>2081</v>
      </c>
      <c r="AB380" s="127"/>
      <c r="AC380" s="131"/>
      <c r="AD380" s="127"/>
      <c r="AF380" s="121"/>
      <c r="AG380" s="121"/>
      <c r="AH380" s="121"/>
      <c r="AI380" s="121"/>
      <c r="AJ380" s="121"/>
      <c r="AK380" s="121"/>
      <c r="AL380" s="121">
        <f>COUNTA('All Details for ACID Pastor'!$V380:$AB380)</f>
        <v>6</v>
      </c>
      <c r="AM380" s="121"/>
      <c r="AN380" s="121"/>
      <c r="AO380" s="121"/>
      <c r="AP380" s="121"/>
      <c r="AQ380" s="121"/>
      <c r="AR380" s="121"/>
      <c r="AS380" s="121"/>
      <c r="AT380" s="121"/>
      <c r="AU380" s="121"/>
      <c r="AV380" s="121"/>
      <c r="AW380" s="163"/>
      <c r="AX380" s="163"/>
      <c r="AZ380" s="121" t="s">
        <v>49</v>
      </c>
      <c r="BA380" s="163"/>
      <c r="BB380" s="163"/>
      <c r="BC380" s="163"/>
      <c r="BF380" s="163">
        <f>COUNTA('All Details for ACID Pastor'!$T380:$AB380)</f>
        <v>6</v>
      </c>
    </row>
    <row r="381" spans="1:74" ht="70.150000000000006" customHeight="1">
      <c r="A381" s="107">
        <v>382</v>
      </c>
      <c r="B381" s="124" t="s">
        <v>2277</v>
      </c>
      <c r="C381" s="90" t="s">
        <v>2278</v>
      </c>
      <c r="D381" s="95" t="s">
        <v>53</v>
      </c>
      <c r="E381" s="95" t="s">
        <v>160</v>
      </c>
      <c r="F381" s="95"/>
      <c r="G381" s="95"/>
      <c r="H381" s="95"/>
      <c r="I381" s="95"/>
      <c r="J381" s="115" t="s">
        <v>1986</v>
      </c>
      <c r="K381" s="193" t="s">
        <v>2279</v>
      </c>
      <c r="L381" s="121"/>
      <c r="M381" s="172" t="s">
        <v>2280</v>
      </c>
      <c r="N381" s="93" t="s">
        <v>2281</v>
      </c>
      <c r="O381" s="92" t="s">
        <v>2282</v>
      </c>
      <c r="P381" s="88" t="s">
        <v>1855</v>
      </c>
      <c r="Q381" s="88" t="s">
        <v>517</v>
      </c>
      <c r="R381" s="86">
        <v>9486634403</v>
      </c>
      <c r="S381" s="88" t="s">
        <v>2217</v>
      </c>
      <c r="T381" s="94"/>
      <c r="U381" s="140"/>
      <c r="V381" s="140"/>
      <c r="W381" s="140"/>
      <c r="X381" s="140"/>
      <c r="Y381" s="141"/>
      <c r="Z381" s="131"/>
      <c r="AA381" s="131"/>
      <c r="AB381" s="131"/>
      <c r="AC381" s="131"/>
      <c r="AD381" s="127"/>
      <c r="AF381" s="121"/>
      <c r="AG381" s="121"/>
      <c r="AH381" s="121"/>
      <c r="AI381" s="121"/>
      <c r="AJ381" s="121"/>
      <c r="AK381" s="121"/>
      <c r="AL381" s="121">
        <f>COUNTA('All Details for ACID Pastor'!$V381:$AB381)</f>
        <v>0</v>
      </c>
      <c r="AM381" s="121"/>
      <c r="AN381" s="121"/>
      <c r="AO381" s="121"/>
      <c r="AP381" s="121"/>
      <c r="AQ381" s="121"/>
      <c r="AR381" s="121"/>
      <c r="AS381" s="121"/>
      <c r="AT381" s="121"/>
      <c r="AU381" s="121"/>
      <c r="AV381" s="121"/>
      <c r="AW381" s="163"/>
      <c r="AX381" s="163"/>
      <c r="AZ381" s="121" t="s">
        <v>139</v>
      </c>
      <c r="BA381" s="163"/>
      <c r="BB381" s="163"/>
      <c r="BC381" s="163"/>
      <c r="BF381" s="163">
        <f>COUNTA('All Details for ACID Pastor'!$T381:$AB381)</f>
        <v>0</v>
      </c>
    </row>
    <row r="382" spans="1:74" ht="70.150000000000006" customHeight="1">
      <c r="A382" s="107">
        <v>383</v>
      </c>
      <c r="B382" s="124" t="s">
        <v>2283</v>
      </c>
      <c r="C382" s="90" t="s">
        <v>2284</v>
      </c>
      <c r="D382" s="95" t="s">
        <v>53</v>
      </c>
      <c r="E382" s="95" t="s">
        <v>54</v>
      </c>
      <c r="F382" s="95"/>
      <c r="G382" s="95"/>
      <c r="H382" s="95"/>
      <c r="I382" s="95"/>
      <c r="J382" s="115" t="s">
        <v>1986</v>
      </c>
      <c r="K382" s="193" t="s">
        <v>2285</v>
      </c>
      <c r="L382" s="121"/>
      <c r="M382" s="172" t="s">
        <v>2280</v>
      </c>
      <c r="N382" s="93" t="s">
        <v>2281</v>
      </c>
      <c r="O382" s="92" t="s">
        <v>2282</v>
      </c>
      <c r="P382" s="88" t="s">
        <v>1855</v>
      </c>
      <c r="Q382" s="88" t="s">
        <v>517</v>
      </c>
      <c r="R382" s="86">
        <v>9486634403</v>
      </c>
      <c r="S382" s="88" t="s">
        <v>2217</v>
      </c>
      <c r="T382" s="94"/>
      <c r="U382" s="140"/>
      <c r="V382" s="140"/>
      <c r="W382" s="140"/>
      <c r="X382" s="140"/>
      <c r="Y382" s="141"/>
      <c r="Z382" s="131"/>
      <c r="AA382" s="131"/>
      <c r="AB382" s="131"/>
      <c r="AC382" s="131"/>
      <c r="AD382" s="127"/>
      <c r="AF382" s="121"/>
      <c r="AG382" s="121"/>
      <c r="AH382" s="121"/>
      <c r="AI382" s="121"/>
      <c r="AJ382" s="121"/>
      <c r="AK382" s="121"/>
      <c r="AL382" s="121">
        <f>COUNTA('All Details for ACID Pastor'!$V382:$AB382)</f>
        <v>0</v>
      </c>
      <c r="AM382" s="121"/>
      <c r="AN382" s="121"/>
      <c r="AO382" s="121"/>
      <c r="AP382" s="121"/>
      <c r="AQ382" s="121"/>
      <c r="AR382" s="121"/>
      <c r="AS382" s="121"/>
      <c r="AT382" s="121"/>
      <c r="AU382" s="121"/>
      <c r="AV382" s="121"/>
      <c r="AW382" s="163"/>
      <c r="AX382" s="163"/>
      <c r="AZ382" s="121" t="s">
        <v>139</v>
      </c>
      <c r="BA382" s="163"/>
      <c r="BB382" s="163"/>
      <c r="BC382" s="163"/>
      <c r="BF382" s="163">
        <f>COUNTA('All Details for ACID Pastor'!$T382:$AB382)</f>
        <v>0</v>
      </c>
    </row>
    <row r="383" spans="1:74" ht="70.150000000000006" customHeight="1">
      <c r="A383" s="107">
        <v>384</v>
      </c>
      <c r="B383" s="124" t="s">
        <v>2286</v>
      </c>
      <c r="C383" s="90" t="s">
        <v>2287</v>
      </c>
      <c r="D383" s="95" t="s">
        <v>53</v>
      </c>
      <c r="E383" s="95" t="s">
        <v>54</v>
      </c>
      <c r="F383" s="95"/>
      <c r="G383" s="95"/>
      <c r="H383" s="95"/>
      <c r="I383" s="95"/>
      <c r="J383" s="115" t="s">
        <v>519</v>
      </c>
      <c r="K383" s="193" t="s">
        <v>1119</v>
      </c>
      <c r="L383" s="121"/>
      <c r="M383" s="172"/>
      <c r="N383" s="93" t="s">
        <v>2288</v>
      </c>
      <c r="O383" s="92" t="s">
        <v>2289</v>
      </c>
      <c r="P383" s="88" t="s">
        <v>94</v>
      </c>
      <c r="Q383" s="88" t="s">
        <v>48</v>
      </c>
      <c r="R383" s="86">
        <v>9578804880</v>
      </c>
      <c r="S383" s="88" t="s">
        <v>2217</v>
      </c>
      <c r="T383" s="94"/>
      <c r="U383" s="140"/>
      <c r="V383" s="125" t="s">
        <v>77</v>
      </c>
      <c r="W383" s="125" t="s">
        <v>184</v>
      </c>
      <c r="X383" s="125" t="s">
        <v>682</v>
      </c>
      <c r="Y383" s="125" t="s">
        <v>682</v>
      </c>
      <c r="Z383" s="125" t="s">
        <v>682</v>
      </c>
      <c r="AA383" s="125" t="s">
        <v>682</v>
      </c>
      <c r="AB383" s="131"/>
      <c r="AC383" s="131"/>
      <c r="AD383" s="127"/>
      <c r="AF383" s="121"/>
      <c r="AG383" s="121"/>
      <c r="AH383" s="121"/>
      <c r="AI383" s="121"/>
      <c r="AJ383" s="121"/>
      <c r="AK383" s="121"/>
      <c r="AL383" s="121">
        <f>COUNTA('All Details for ACID Pastor'!$V383:$AB383)</f>
        <v>6</v>
      </c>
      <c r="AM383" s="121"/>
      <c r="AN383" s="121"/>
      <c r="AO383" s="121"/>
      <c r="AP383" s="121"/>
      <c r="AQ383" s="121"/>
      <c r="AR383" s="121"/>
      <c r="AS383" s="121"/>
      <c r="AT383" s="121"/>
      <c r="AU383" s="121"/>
      <c r="AV383" s="121"/>
      <c r="AW383" s="163"/>
      <c r="AX383" s="163"/>
      <c r="AZ383" s="121" t="s">
        <v>2290</v>
      </c>
      <c r="BA383" s="163"/>
      <c r="BB383" s="163"/>
      <c r="BC383" s="163"/>
      <c r="BF383" s="163">
        <f>COUNTA('All Details for ACID Pastor'!$T383:$AB383)</f>
        <v>6</v>
      </c>
    </row>
    <row r="384" spans="1:74" ht="70.150000000000006" customHeight="1">
      <c r="A384" s="107">
        <v>385</v>
      </c>
      <c r="B384" s="124" t="s">
        <v>2291</v>
      </c>
      <c r="C384" s="90" t="s">
        <v>2292</v>
      </c>
      <c r="D384" s="95" t="s">
        <v>53</v>
      </c>
      <c r="E384" s="95" t="s">
        <v>54</v>
      </c>
      <c r="F384" s="95"/>
      <c r="G384" s="95"/>
      <c r="H384" s="95"/>
      <c r="I384" s="95"/>
      <c r="J384" s="115" t="s">
        <v>1140</v>
      </c>
      <c r="K384" s="193" t="s">
        <v>2293</v>
      </c>
      <c r="L384" s="121"/>
      <c r="M384" s="172" t="s">
        <v>2294</v>
      </c>
      <c r="N384" s="93" t="s">
        <v>2295</v>
      </c>
      <c r="O384" s="92" t="s">
        <v>2296</v>
      </c>
      <c r="P384" s="88" t="s">
        <v>1217</v>
      </c>
      <c r="Q384" s="88" t="s">
        <v>48</v>
      </c>
      <c r="R384" s="86">
        <v>9787434902</v>
      </c>
      <c r="S384" s="88" t="s">
        <v>2217</v>
      </c>
      <c r="T384" s="94"/>
      <c r="U384" s="140"/>
      <c r="V384" s="125" t="s">
        <v>149</v>
      </c>
      <c r="W384" s="140"/>
      <c r="X384" s="140"/>
      <c r="Y384" s="141"/>
      <c r="Z384" s="131"/>
      <c r="AA384" s="131"/>
      <c r="AB384" s="131"/>
      <c r="AC384" s="131"/>
      <c r="AD384" s="127"/>
      <c r="AF384" s="121"/>
      <c r="AG384" s="121"/>
      <c r="AH384" s="121"/>
      <c r="AI384" s="121"/>
      <c r="AJ384" s="121"/>
      <c r="AK384" s="121"/>
      <c r="AL384" s="121">
        <f>COUNTA('All Details for ACID Pastor'!$V384:$AB384)</f>
        <v>1</v>
      </c>
      <c r="AM384" s="121"/>
      <c r="AN384" s="121"/>
      <c r="AO384" s="121"/>
      <c r="AP384" s="121"/>
      <c r="AQ384" s="121"/>
      <c r="AR384" s="121"/>
      <c r="AS384" s="121"/>
      <c r="AT384" s="121"/>
      <c r="AU384" s="121"/>
      <c r="AV384" s="121"/>
      <c r="AW384" s="163"/>
      <c r="AX384" s="163"/>
      <c r="AZ384" s="121" t="s">
        <v>49</v>
      </c>
      <c r="BA384" s="163"/>
      <c r="BB384" s="163"/>
      <c r="BC384" s="163"/>
      <c r="BF384" s="163">
        <f>COUNTA('All Details for ACID Pastor'!$T384:$AB384)</f>
        <v>1</v>
      </c>
    </row>
    <row r="385" spans="1:74" ht="70.150000000000006" customHeight="1">
      <c r="A385" s="107">
        <v>386</v>
      </c>
      <c r="B385" s="124" t="s">
        <v>2297</v>
      </c>
      <c r="C385" s="90" t="s">
        <v>2298</v>
      </c>
      <c r="D385" s="95" t="s">
        <v>53</v>
      </c>
      <c r="E385" s="95" t="s">
        <v>1975</v>
      </c>
      <c r="F385" s="95"/>
      <c r="G385" s="95"/>
      <c r="H385" s="95"/>
      <c r="I385" s="95"/>
      <c r="J385" s="115" t="s">
        <v>113</v>
      </c>
      <c r="K385" s="193" t="s">
        <v>2299</v>
      </c>
      <c r="L385" s="121"/>
      <c r="M385" s="172"/>
      <c r="N385" s="93" t="s">
        <v>2300</v>
      </c>
      <c r="O385" s="92" t="s">
        <v>2301</v>
      </c>
      <c r="P385" s="88" t="s">
        <v>47</v>
      </c>
      <c r="Q385" s="88" t="s">
        <v>48</v>
      </c>
      <c r="R385" s="86">
        <v>9751136790</v>
      </c>
      <c r="S385" s="88" t="s">
        <v>2217</v>
      </c>
      <c r="T385" s="94"/>
      <c r="U385" s="140"/>
      <c r="V385" s="140"/>
      <c r="W385" s="140"/>
      <c r="X385" s="140"/>
      <c r="Y385" s="141"/>
      <c r="Z385" s="131"/>
      <c r="AA385" s="131"/>
      <c r="AB385" s="131"/>
      <c r="AC385" s="131"/>
      <c r="AD385" s="127"/>
      <c r="AE385" s="244"/>
      <c r="AF385" s="121"/>
      <c r="AG385" s="121"/>
      <c r="AH385" s="121"/>
      <c r="AI385" s="121"/>
      <c r="AJ385" s="121"/>
      <c r="AK385" s="121"/>
      <c r="AL385" s="121">
        <f>COUNTA('All Details for ACID Pastor'!$V385:$AB385)</f>
        <v>0</v>
      </c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63"/>
      <c r="AX385" s="163"/>
      <c r="AZ385" s="121" t="s">
        <v>139</v>
      </c>
      <c r="BA385" s="163"/>
      <c r="BB385" s="163"/>
      <c r="BC385" s="163"/>
      <c r="BF385" s="163">
        <f>COUNTA('All Details for ACID Pastor'!$T385:$AB385)</f>
        <v>0</v>
      </c>
    </row>
    <row r="386" spans="1:74" s="174" customFormat="1" ht="70.150000000000006" customHeight="1">
      <c r="A386" s="103">
        <v>387</v>
      </c>
      <c r="B386" s="132" t="s">
        <v>2302</v>
      </c>
      <c r="C386" s="101" t="s">
        <v>2303</v>
      </c>
      <c r="D386" s="102" t="s">
        <v>53</v>
      </c>
      <c r="E386" s="102" t="s">
        <v>54</v>
      </c>
      <c r="F386" s="95"/>
      <c r="G386" s="95"/>
      <c r="H386" s="95"/>
      <c r="I386" s="95"/>
      <c r="J386" s="133" t="s">
        <v>1140</v>
      </c>
      <c r="K386" s="256" t="s">
        <v>2304</v>
      </c>
      <c r="L386" s="232" t="s">
        <v>4209</v>
      </c>
      <c r="M386" s="171" t="s">
        <v>2305</v>
      </c>
      <c r="N386" s="104" t="s">
        <v>2306</v>
      </c>
      <c r="O386" s="105" t="s">
        <v>2307</v>
      </c>
      <c r="P386" s="106" t="s">
        <v>1102</v>
      </c>
      <c r="Q386" s="106" t="s">
        <v>48</v>
      </c>
      <c r="R386" s="134">
        <v>7502224353</v>
      </c>
      <c r="S386" s="106" t="s">
        <v>2217</v>
      </c>
      <c r="T386" s="135"/>
      <c r="U386" s="176"/>
      <c r="V386" s="176"/>
      <c r="W386" s="176"/>
      <c r="X386" s="176"/>
      <c r="Y386" s="145"/>
      <c r="Z386" s="136"/>
      <c r="AA386" s="136"/>
      <c r="AB386" s="136"/>
      <c r="AC386" s="136"/>
      <c r="AD386" s="222"/>
      <c r="AE386" s="244"/>
      <c r="AF386" s="232"/>
      <c r="AG386" s="232"/>
      <c r="AH386" s="232"/>
      <c r="AI386" s="232"/>
      <c r="AJ386" s="232"/>
      <c r="AK386" s="232"/>
      <c r="AL386" s="232">
        <f>COUNTA('All Details for ACID Pastor'!$V386:$AB386)</f>
        <v>0</v>
      </c>
      <c r="AM386" s="232"/>
      <c r="AN386" s="232"/>
      <c r="AO386" s="232"/>
      <c r="AP386" s="232"/>
      <c r="AQ386" s="232"/>
      <c r="AR386" s="232"/>
      <c r="AS386" s="232"/>
      <c r="AT386" s="232"/>
      <c r="AU386" s="232"/>
      <c r="AV386" s="232"/>
      <c r="AW386" s="233"/>
      <c r="AX386" s="233"/>
      <c r="AY386" s="244"/>
      <c r="AZ386" s="232" t="s">
        <v>139</v>
      </c>
      <c r="BA386" s="233"/>
      <c r="BB386" s="233"/>
      <c r="BC386" s="233"/>
      <c r="BD386" s="244"/>
      <c r="BE386" s="277"/>
      <c r="BF386" s="233">
        <f>COUNTA('All Details for ACID Pastor'!$T386:$AB386)</f>
        <v>0</v>
      </c>
      <c r="BG386" s="249"/>
      <c r="BH386" s="249"/>
      <c r="BI386" s="249"/>
      <c r="BJ386" s="249"/>
      <c r="BK386" s="249"/>
      <c r="BL386" s="249"/>
      <c r="BM386" s="249"/>
      <c r="BN386" s="249"/>
      <c r="BO386" s="249"/>
      <c r="BP386" s="249"/>
      <c r="BQ386" s="249"/>
      <c r="BR386" s="249"/>
      <c r="BS386" s="249"/>
      <c r="BT386" s="249"/>
      <c r="BU386" s="249"/>
      <c r="BV386" s="249"/>
    </row>
    <row r="387" spans="1:74" s="174" customFormat="1" ht="70.150000000000006" customHeight="1">
      <c r="A387" s="103">
        <v>388</v>
      </c>
      <c r="B387" s="132" t="s">
        <v>2308</v>
      </c>
      <c r="C387" s="101" t="s">
        <v>2309</v>
      </c>
      <c r="D387" s="102" t="s">
        <v>53</v>
      </c>
      <c r="E387" s="102" t="s">
        <v>160</v>
      </c>
      <c r="F387" s="95"/>
      <c r="G387" s="95"/>
      <c r="H387" s="95"/>
      <c r="I387" s="95"/>
      <c r="J387" s="133" t="s">
        <v>1140</v>
      </c>
      <c r="K387" s="256" t="s">
        <v>2310</v>
      </c>
      <c r="L387" s="232" t="s">
        <v>4201</v>
      </c>
      <c r="M387" s="171" t="s">
        <v>2305</v>
      </c>
      <c r="N387" s="104" t="s">
        <v>2311</v>
      </c>
      <c r="O387" s="105" t="s">
        <v>2307</v>
      </c>
      <c r="P387" s="106" t="s">
        <v>1102</v>
      </c>
      <c r="Q387" s="106" t="s">
        <v>48</v>
      </c>
      <c r="R387" s="134">
        <v>7502224353</v>
      </c>
      <c r="S387" s="106" t="s">
        <v>2217</v>
      </c>
      <c r="T387" s="135"/>
      <c r="U387" s="176"/>
      <c r="V387" s="176"/>
      <c r="W387" s="176"/>
      <c r="X387" s="176"/>
      <c r="Y387" s="145"/>
      <c r="Z387" s="136"/>
      <c r="AA387" s="136"/>
      <c r="AB387" s="136"/>
      <c r="AC387" s="136"/>
      <c r="AD387" s="222"/>
      <c r="AE387" s="240"/>
      <c r="AF387" s="232"/>
      <c r="AG387" s="232"/>
      <c r="AH387" s="232"/>
      <c r="AI387" s="232"/>
      <c r="AJ387" s="232"/>
      <c r="AK387" s="232"/>
      <c r="AL387" s="232">
        <f>COUNTA('All Details for ACID Pastor'!$V387:$AB387)</f>
        <v>0</v>
      </c>
      <c r="AM387" s="232"/>
      <c r="AN387" s="232"/>
      <c r="AO387" s="232"/>
      <c r="AP387" s="232"/>
      <c r="AQ387" s="232"/>
      <c r="AR387" s="232"/>
      <c r="AS387" s="232"/>
      <c r="AT387" s="232"/>
      <c r="AU387" s="232"/>
      <c r="AV387" s="232"/>
      <c r="AW387" s="233"/>
      <c r="AX387" s="233"/>
      <c r="AY387" s="244"/>
      <c r="AZ387" s="232" t="s">
        <v>139</v>
      </c>
      <c r="BA387" s="233"/>
      <c r="BB387" s="233"/>
      <c r="BC387" s="233"/>
      <c r="BD387" s="244"/>
      <c r="BE387" s="277"/>
      <c r="BF387" s="233">
        <f>COUNTA('All Details for ACID Pastor'!$T387:$AB387)</f>
        <v>0</v>
      </c>
      <c r="BG387" s="249"/>
      <c r="BH387" s="249"/>
      <c r="BI387" s="249"/>
      <c r="BJ387" s="249"/>
      <c r="BK387" s="249"/>
      <c r="BL387" s="249"/>
      <c r="BM387" s="249"/>
      <c r="BN387" s="249"/>
      <c r="BO387" s="249"/>
      <c r="BP387" s="249"/>
      <c r="BQ387" s="249"/>
      <c r="BR387" s="249"/>
      <c r="BS387" s="249"/>
      <c r="BT387" s="249"/>
      <c r="BU387" s="249"/>
      <c r="BV387" s="249"/>
    </row>
    <row r="388" spans="1:74" ht="78.75" customHeight="1">
      <c r="A388" s="107">
        <v>389</v>
      </c>
      <c r="B388" s="124" t="s">
        <v>2312</v>
      </c>
      <c r="C388" s="90" t="s">
        <v>2313</v>
      </c>
      <c r="D388" s="91" t="s">
        <v>4207</v>
      </c>
      <c r="E388" s="95" t="s">
        <v>54</v>
      </c>
      <c r="F388" s="95"/>
      <c r="G388" s="95"/>
      <c r="H388" s="95"/>
      <c r="I388" s="95"/>
      <c r="J388" s="115" t="s">
        <v>2314</v>
      </c>
      <c r="K388" s="193" t="s">
        <v>2315</v>
      </c>
      <c r="L388" s="121"/>
      <c r="M388" s="172" t="s">
        <v>2316</v>
      </c>
      <c r="N388" s="93" t="s">
        <v>2317</v>
      </c>
      <c r="O388" s="92" t="s">
        <v>2318</v>
      </c>
      <c r="P388" s="88" t="s">
        <v>769</v>
      </c>
      <c r="Q388" s="88" t="s">
        <v>48</v>
      </c>
      <c r="R388" s="86">
        <v>9176539539</v>
      </c>
      <c r="S388" s="88" t="s">
        <v>2217</v>
      </c>
      <c r="T388" s="94"/>
      <c r="U388" s="140"/>
      <c r="V388" s="125" t="s">
        <v>77</v>
      </c>
      <c r="W388" s="125" t="s">
        <v>2319</v>
      </c>
      <c r="X388" s="125" t="s">
        <v>78</v>
      </c>
      <c r="Y388" s="126" t="s">
        <v>79</v>
      </c>
      <c r="Z388" s="127" t="s">
        <v>99</v>
      </c>
      <c r="AA388" s="127" t="s">
        <v>99</v>
      </c>
      <c r="AB388" s="127" t="s">
        <v>99</v>
      </c>
      <c r="AC388" s="131"/>
      <c r="AD388" s="127"/>
      <c r="AF388" s="121"/>
      <c r="AG388" s="121"/>
      <c r="AH388" s="121"/>
      <c r="AI388" s="121"/>
      <c r="AJ388" s="121"/>
      <c r="AK388" s="121"/>
      <c r="AL388" s="121">
        <f>COUNTA('All Details for ACID Pastor'!$V388:$AB388)</f>
        <v>7</v>
      </c>
      <c r="AM388" s="121"/>
      <c r="AN388" s="121"/>
      <c r="AO388" s="121"/>
      <c r="AP388" s="121"/>
      <c r="AQ388" s="121"/>
      <c r="AR388" s="121"/>
      <c r="AS388" s="121"/>
      <c r="AT388" s="121"/>
      <c r="AU388" s="121"/>
      <c r="AV388" s="121"/>
      <c r="AW388" s="163"/>
      <c r="AX388" s="163"/>
      <c r="AZ388" s="121" t="s">
        <v>49</v>
      </c>
      <c r="BA388" s="163"/>
      <c r="BB388" s="163"/>
      <c r="BC388" s="163"/>
      <c r="BF388" s="163">
        <f>COUNTA('All Details for ACID Pastor'!$T388:$AB388)</f>
        <v>7</v>
      </c>
    </row>
    <row r="389" spans="1:74" ht="70.150000000000006" customHeight="1">
      <c r="A389" s="107">
        <v>390</v>
      </c>
      <c r="B389" s="124" t="s">
        <v>2320</v>
      </c>
      <c r="C389" s="90" t="s">
        <v>2321</v>
      </c>
      <c r="D389" s="95" t="s">
        <v>53</v>
      </c>
      <c r="E389" s="95" t="s">
        <v>54</v>
      </c>
      <c r="F389" s="95"/>
      <c r="G389" s="95"/>
      <c r="H389" s="95"/>
      <c r="I389" s="95"/>
      <c r="J389" s="115" t="s">
        <v>2322</v>
      </c>
      <c r="K389" s="193" t="s">
        <v>2323</v>
      </c>
      <c r="L389" s="121"/>
      <c r="M389" s="172" t="s">
        <v>2324</v>
      </c>
      <c r="N389" s="93" t="s">
        <v>2325</v>
      </c>
      <c r="O389" s="92" t="s">
        <v>1351</v>
      </c>
      <c r="P389" s="88" t="s">
        <v>1002</v>
      </c>
      <c r="Q389" s="88" t="s">
        <v>48</v>
      </c>
      <c r="R389" s="86">
        <v>9486257078</v>
      </c>
      <c r="S389" s="88" t="s">
        <v>2217</v>
      </c>
      <c r="T389" s="94"/>
      <c r="U389" s="140"/>
      <c r="V389" s="125" t="s">
        <v>1003</v>
      </c>
      <c r="W389" s="125" t="s">
        <v>184</v>
      </c>
      <c r="X389" s="125" t="s">
        <v>110</v>
      </c>
      <c r="Y389" s="126" t="s">
        <v>149</v>
      </c>
      <c r="Z389" s="126" t="s">
        <v>149</v>
      </c>
      <c r="AA389" s="127" t="s">
        <v>1005</v>
      </c>
      <c r="AB389" s="127" t="s">
        <v>1005</v>
      </c>
      <c r="AC389" s="127" t="s">
        <v>1005</v>
      </c>
      <c r="AD389" s="127"/>
      <c r="AF389" s="121"/>
      <c r="AG389" s="121"/>
      <c r="AH389" s="121"/>
      <c r="AI389" s="121"/>
      <c r="AJ389" s="121"/>
      <c r="AK389" s="121"/>
      <c r="AL389" s="121">
        <f>COUNTA('All Details for ACID Pastor'!$V389:$AB389)</f>
        <v>7</v>
      </c>
      <c r="AM389" s="121"/>
      <c r="AN389" s="121"/>
      <c r="AO389" s="121"/>
      <c r="AP389" s="121"/>
      <c r="AQ389" s="121"/>
      <c r="AR389" s="121"/>
      <c r="AS389" s="121"/>
      <c r="AT389" s="121"/>
      <c r="AU389" s="121"/>
      <c r="AV389" s="121"/>
      <c r="AW389" s="163"/>
      <c r="AX389" s="163"/>
      <c r="AZ389" s="121" t="s">
        <v>49</v>
      </c>
      <c r="BA389" s="163"/>
      <c r="BB389" s="163"/>
      <c r="BC389" s="163"/>
      <c r="BF389" s="163">
        <v>8</v>
      </c>
    </row>
    <row r="390" spans="1:74" ht="70.150000000000006" customHeight="1">
      <c r="A390" s="107">
        <v>391</v>
      </c>
      <c r="B390" s="124" t="s">
        <v>2326</v>
      </c>
      <c r="C390" s="90" t="s">
        <v>2327</v>
      </c>
      <c r="D390" s="95" t="s">
        <v>53</v>
      </c>
      <c r="E390" s="95" t="s">
        <v>160</v>
      </c>
      <c r="F390" s="95"/>
      <c r="G390" s="95"/>
      <c r="H390" s="95"/>
      <c r="I390" s="95"/>
      <c r="J390" s="115" t="s">
        <v>2322</v>
      </c>
      <c r="K390" s="193" t="s">
        <v>2328</v>
      </c>
      <c r="L390" s="121"/>
      <c r="M390" s="172"/>
      <c r="N390" s="93" t="s">
        <v>2329</v>
      </c>
      <c r="O390" s="92" t="s">
        <v>2330</v>
      </c>
      <c r="P390" s="88" t="s">
        <v>1002</v>
      </c>
      <c r="Q390" s="88" t="s">
        <v>48</v>
      </c>
      <c r="R390" s="86">
        <v>9597504783</v>
      </c>
      <c r="S390" s="88" t="s">
        <v>2217</v>
      </c>
      <c r="T390" s="94"/>
      <c r="U390" s="140"/>
      <c r="V390" s="125" t="s">
        <v>215</v>
      </c>
      <c r="W390" s="125" t="s">
        <v>184</v>
      </c>
      <c r="X390" s="125" t="s">
        <v>184</v>
      </c>
      <c r="Y390" s="126" t="s">
        <v>110</v>
      </c>
      <c r="Z390" s="131"/>
      <c r="AA390" s="131" t="s">
        <v>4220</v>
      </c>
      <c r="AB390" s="131" t="s">
        <v>4220</v>
      </c>
      <c r="AC390" s="131" t="s">
        <v>4220</v>
      </c>
      <c r="AD390" s="127"/>
      <c r="AF390" s="121"/>
      <c r="AG390" s="121"/>
      <c r="AH390" s="121"/>
      <c r="AI390" s="121"/>
      <c r="AJ390" s="121"/>
      <c r="AK390" s="121"/>
      <c r="AL390" s="121">
        <f>COUNTA('All Details for ACID Pastor'!$V390:$AB390)</f>
        <v>6</v>
      </c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63"/>
      <c r="AX390" s="163"/>
      <c r="AZ390" s="121" t="s">
        <v>49</v>
      </c>
      <c r="BA390" s="163"/>
      <c r="BB390" s="163"/>
      <c r="BC390" s="163">
        <v>3</v>
      </c>
      <c r="BF390" s="163">
        <v>9</v>
      </c>
    </row>
    <row r="391" spans="1:74" ht="70.150000000000006" customHeight="1">
      <c r="A391" s="107">
        <v>392</v>
      </c>
      <c r="B391" s="124" t="s">
        <v>2331</v>
      </c>
      <c r="C391" s="90" t="s">
        <v>2332</v>
      </c>
      <c r="D391" s="95" t="s">
        <v>132</v>
      </c>
      <c r="E391" s="95" t="s">
        <v>54</v>
      </c>
      <c r="F391" s="95"/>
      <c r="G391" s="95"/>
      <c r="H391" s="95"/>
      <c r="I391" s="95"/>
      <c r="J391" s="115" t="s">
        <v>2322</v>
      </c>
      <c r="K391" s="193" t="s">
        <v>2333</v>
      </c>
      <c r="L391" s="121"/>
      <c r="M391" s="172"/>
      <c r="N391" s="93" t="s">
        <v>2334</v>
      </c>
      <c r="O391" s="92" t="s">
        <v>2335</v>
      </c>
      <c r="P391" s="88" t="s">
        <v>1002</v>
      </c>
      <c r="Q391" s="88" t="s">
        <v>48</v>
      </c>
      <c r="R391" s="86">
        <v>9944614333</v>
      </c>
      <c r="S391" s="88" t="s">
        <v>2217</v>
      </c>
      <c r="T391" s="94"/>
      <c r="U391" s="140"/>
      <c r="V391" s="125" t="s">
        <v>215</v>
      </c>
      <c r="W391" s="125" t="s">
        <v>184</v>
      </c>
      <c r="X391" s="125" t="s">
        <v>110</v>
      </c>
      <c r="Y391" s="141"/>
      <c r="Z391" s="131"/>
      <c r="AA391" s="131" t="s">
        <v>4220</v>
      </c>
      <c r="AB391" s="131" t="s">
        <v>4220</v>
      </c>
      <c r="AC391" s="131" t="s">
        <v>4220</v>
      </c>
      <c r="AD391" s="127"/>
      <c r="AF391" s="121"/>
      <c r="AG391" s="121"/>
      <c r="AH391" s="121"/>
      <c r="AI391" s="121"/>
      <c r="AJ391" s="121"/>
      <c r="AK391" s="121"/>
      <c r="AL391" s="121">
        <f>COUNTA('All Details for ACID Pastor'!$V391:$AB391)</f>
        <v>5</v>
      </c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63"/>
      <c r="AX391" s="163"/>
      <c r="AZ391" s="121" t="s">
        <v>49</v>
      </c>
      <c r="BA391" s="163"/>
      <c r="BB391" s="163"/>
      <c r="BC391" s="163">
        <v>3</v>
      </c>
      <c r="BF391" s="163">
        <v>8</v>
      </c>
    </row>
    <row r="392" spans="1:74" ht="70.150000000000006" customHeight="1">
      <c r="A392" s="107">
        <v>393</v>
      </c>
      <c r="B392" s="124" t="s">
        <v>2336</v>
      </c>
      <c r="C392" s="90" t="s">
        <v>2337</v>
      </c>
      <c r="D392" s="95" t="s">
        <v>53</v>
      </c>
      <c r="E392" s="95" t="s">
        <v>54</v>
      </c>
      <c r="F392" s="95"/>
      <c r="G392" s="95"/>
      <c r="H392" s="95"/>
      <c r="I392" s="95"/>
      <c r="J392" s="115" t="s">
        <v>2322</v>
      </c>
      <c r="K392" s="193" t="s">
        <v>2338</v>
      </c>
      <c r="L392" s="121"/>
      <c r="M392" s="172" t="s">
        <v>2339</v>
      </c>
      <c r="N392" s="93" t="s">
        <v>2340</v>
      </c>
      <c r="O392" s="92" t="s">
        <v>2330</v>
      </c>
      <c r="P392" s="88" t="s">
        <v>1002</v>
      </c>
      <c r="Q392" s="88" t="s">
        <v>48</v>
      </c>
      <c r="R392" s="86">
        <v>7639372360</v>
      </c>
      <c r="S392" s="88" t="s">
        <v>2217</v>
      </c>
      <c r="T392" s="94"/>
      <c r="U392" s="140"/>
      <c r="V392" s="125" t="s">
        <v>215</v>
      </c>
      <c r="W392" s="125" t="s">
        <v>184</v>
      </c>
      <c r="X392" s="125" t="s">
        <v>110</v>
      </c>
      <c r="Y392" s="141"/>
      <c r="Z392" s="131"/>
      <c r="AA392" s="127" t="s">
        <v>1005</v>
      </c>
      <c r="AB392" s="127" t="s">
        <v>1005</v>
      </c>
      <c r="AC392" s="127" t="s">
        <v>1005</v>
      </c>
      <c r="AD392" s="127"/>
      <c r="AF392" s="121"/>
      <c r="AG392" s="121"/>
      <c r="AH392" s="121"/>
      <c r="AI392" s="121"/>
      <c r="AJ392" s="121"/>
      <c r="AK392" s="121"/>
      <c r="AL392" s="121">
        <v>3</v>
      </c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63"/>
      <c r="AX392" s="163"/>
      <c r="AZ392" s="121" t="s">
        <v>49</v>
      </c>
      <c r="BA392" s="163"/>
      <c r="BB392" s="163"/>
      <c r="BC392" s="163"/>
      <c r="BF392" s="163">
        <v>6</v>
      </c>
    </row>
    <row r="393" spans="1:74" ht="70.150000000000006" customHeight="1">
      <c r="A393" s="107">
        <v>394</v>
      </c>
      <c r="B393" s="124" t="s">
        <v>2341</v>
      </c>
      <c r="C393" s="90" t="s">
        <v>2342</v>
      </c>
      <c r="D393" s="95" t="s">
        <v>53</v>
      </c>
      <c r="E393" s="95" t="s">
        <v>54</v>
      </c>
      <c r="F393" s="95"/>
      <c r="G393" s="95"/>
      <c r="H393" s="95"/>
      <c r="I393" s="95"/>
      <c r="J393" s="115" t="s">
        <v>1957</v>
      </c>
      <c r="K393" s="193" t="s">
        <v>2343</v>
      </c>
      <c r="L393" s="121"/>
      <c r="M393" s="172"/>
      <c r="N393" s="93" t="s">
        <v>2344</v>
      </c>
      <c r="O393" s="92" t="s">
        <v>2167</v>
      </c>
      <c r="P393" s="88" t="s">
        <v>786</v>
      </c>
      <c r="Q393" s="88" t="s">
        <v>48</v>
      </c>
      <c r="R393" s="86"/>
      <c r="S393" s="88" t="s">
        <v>2217</v>
      </c>
      <c r="T393" s="94"/>
      <c r="U393" s="140"/>
      <c r="V393" s="140"/>
      <c r="W393" s="140"/>
      <c r="X393" s="140"/>
      <c r="Y393" s="141"/>
      <c r="Z393" s="131"/>
      <c r="AA393" s="131"/>
      <c r="AB393" s="131"/>
      <c r="AC393" s="131"/>
      <c r="AD393" s="127"/>
      <c r="AF393" s="121"/>
      <c r="AG393" s="121"/>
      <c r="AH393" s="121"/>
      <c r="AI393" s="121"/>
      <c r="AJ393" s="121"/>
      <c r="AK393" s="121"/>
      <c r="AL393" s="121">
        <f>COUNTA('All Details for ACID Pastor'!$V393:$AB393)</f>
        <v>0</v>
      </c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63"/>
      <c r="AX393" s="163"/>
      <c r="AZ393" s="121" t="s">
        <v>139</v>
      </c>
      <c r="BA393" s="163"/>
      <c r="BB393" s="163"/>
      <c r="BC393" s="163"/>
      <c r="BF393" s="163">
        <f>COUNTA('All Details for ACID Pastor'!$T393:$AB393)</f>
        <v>0</v>
      </c>
    </row>
    <row r="394" spans="1:74" ht="70.150000000000006" customHeight="1">
      <c r="A394" s="107">
        <v>395</v>
      </c>
      <c r="B394" s="124" t="s">
        <v>2345</v>
      </c>
      <c r="C394" s="90" t="s">
        <v>2346</v>
      </c>
      <c r="D394" s="95" t="s">
        <v>53</v>
      </c>
      <c r="E394" s="95" t="s">
        <v>54</v>
      </c>
      <c r="F394" s="95"/>
      <c r="G394" s="95"/>
      <c r="H394" s="95"/>
      <c r="I394" s="95"/>
      <c r="J394" s="115" t="s">
        <v>1957</v>
      </c>
      <c r="K394" s="193" t="s">
        <v>2347</v>
      </c>
      <c r="L394" s="121"/>
      <c r="M394" s="172"/>
      <c r="N394" s="93" t="s">
        <v>2348</v>
      </c>
      <c r="O394" s="92" t="s">
        <v>2167</v>
      </c>
      <c r="P394" s="88" t="s">
        <v>86</v>
      </c>
      <c r="Q394" s="88" t="s">
        <v>48</v>
      </c>
      <c r="R394" s="86">
        <v>9095921750</v>
      </c>
      <c r="S394" s="88" t="s">
        <v>2217</v>
      </c>
      <c r="T394" s="94"/>
      <c r="U394" s="140"/>
      <c r="V394" s="140"/>
      <c r="W394" s="140"/>
      <c r="X394" s="140"/>
      <c r="Y394" s="141"/>
      <c r="Z394" s="131"/>
      <c r="AA394" s="131"/>
      <c r="AB394" s="131"/>
      <c r="AC394" s="131"/>
      <c r="AD394" s="127"/>
      <c r="AF394" s="121"/>
      <c r="AG394" s="121"/>
      <c r="AH394" s="121"/>
      <c r="AI394" s="121"/>
      <c r="AJ394" s="121"/>
      <c r="AK394" s="121"/>
      <c r="AL394" s="121">
        <f>COUNTA('All Details for ACID Pastor'!$V394:$AB394)</f>
        <v>0</v>
      </c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63"/>
      <c r="AX394" s="163"/>
      <c r="AZ394" s="121" t="s">
        <v>139</v>
      </c>
      <c r="BA394" s="163"/>
      <c r="BB394" s="163"/>
      <c r="BC394" s="163"/>
      <c r="BF394" s="163">
        <f>COUNTA('All Details for ACID Pastor'!$T394:$AB394)</f>
        <v>0</v>
      </c>
    </row>
    <row r="395" spans="1:74" ht="70.150000000000006" customHeight="1">
      <c r="A395" s="107">
        <v>396</v>
      </c>
      <c r="B395" s="124" t="s">
        <v>2349</v>
      </c>
      <c r="C395" s="90" t="s">
        <v>2350</v>
      </c>
      <c r="D395" s="95" t="s">
        <v>53</v>
      </c>
      <c r="E395" s="95" t="s">
        <v>54</v>
      </c>
      <c r="F395" s="95"/>
      <c r="G395" s="95"/>
      <c r="H395" s="95"/>
      <c r="I395" s="95"/>
      <c r="J395" s="115" t="s">
        <v>1140</v>
      </c>
      <c r="K395" s="193" t="s">
        <v>2351</v>
      </c>
      <c r="L395" s="121"/>
      <c r="M395" s="172" t="s">
        <v>2352</v>
      </c>
      <c r="N395" s="93" t="s">
        <v>2353</v>
      </c>
      <c r="O395" s="92" t="s">
        <v>2354</v>
      </c>
      <c r="P395" s="88" t="s">
        <v>1217</v>
      </c>
      <c r="Q395" s="88" t="s">
        <v>48</v>
      </c>
      <c r="R395" s="86">
        <v>9942693040</v>
      </c>
      <c r="S395" s="88" t="s">
        <v>2355</v>
      </c>
      <c r="T395" s="94"/>
      <c r="U395" s="140"/>
      <c r="V395" s="140"/>
      <c r="W395" s="140"/>
      <c r="X395" s="140"/>
      <c r="Y395" s="141"/>
      <c r="Z395" s="131"/>
      <c r="AA395" s="131"/>
      <c r="AB395" s="131"/>
      <c r="AC395" s="131"/>
      <c r="AD395" s="127"/>
      <c r="AF395" s="121"/>
      <c r="AG395" s="121"/>
      <c r="AH395" s="121"/>
      <c r="AI395" s="121"/>
      <c r="AJ395" s="121"/>
      <c r="AK395" s="121"/>
      <c r="AL395" s="121"/>
      <c r="AM395" s="121">
        <f>COUNTA('All Details for ACID Pastor'!$W395:$AB395)</f>
        <v>0</v>
      </c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63"/>
      <c r="AX395" s="163"/>
      <c r="AZ395" s="121" t="s">
        <v>139</v>
      </c>
      <c r="BA395" s="163"/>
      <c r="BB395" s="163"/>
      <c r="BC395" s="163"/>
      <c r="BF395" s="163">
        <f>COUNTA('All Details for ACID Pastor'!$T395:$AB395)</f>
        <v>0</v>
      </c>
    </row>
    <row r="396" spans="1:74" ht="70.150000000000006" customHeight="1">
      <c r="A396" s="107">
        <v>397</v>
      </c>
      <c r="B396" s="124" t="s">
        <v>2356</v>
      </c>
      <c r="C396" s="90" t="s">
        <v>2357</v>
      </c>
      <c r="D396" s="95" t="s">
        <v>53</v>
      </c>
      <c r="E396" s="95" t="s">
        <v>54</v>
      </c>
      <c r="F396" s="95"/>
      <c r="G396" s="95"/>
      <c r="H396" s="95"/>
      <c r="I396" s="95"/>
      <c r="J396" s="115" t="s">
        <v>2322</v>
      </c>
      <c r="K396" s="193" t="s">
        <v>2358</v>
      </c>
      <c r="L396" s="121" t="s">
        <v>4209</v>
      </c>
      <c r="M396" s="172"/>
      <c r="N396" s="93" t="s">
        <v>2359</v>
      </c>
      <c r="O396" s="92" t="s">
        <v>2360</v>
      </c>
      <c r="P396" s="88" t="s">
        <v>1010</v>
      </c>
      <c r="Q396" s="88" t="s">
        <v>48</v>
      </c>
      <c r="R396" s="86">
        <v>9942177690</v>
      </c>
      <c r="S396" s="88" t="s">
        <v>2355</v>
      </c>
      <c r="T396" s="94"/>
      <c r="U396" s="140"/>
      <c r="V396" s="140"/>
      <c r="W396" s="125" t="s">
        <v>826</v>
      </c>
      <c r="X396" s="125" t="s">
        <v>2361</v>
      </c>
      <c r="Y396" s="126" t="s">
        <v>110</v>
      </c>
      <c r="Z396" s="131"/>
      <c r="AA396" s="131"/>
      <c r="AB396" s="131"/>
      <c r="AC396" s="131"/>
      <c r="AD396" s="127"/>
      <c r="AF396" s="121"/>
      <c r="AG396" s="121"/>
      <c r="AH396" s="121"/>
      <c r="AI396" s="121"/>
      <c r="AJ396" s="121"/>
      <c r="AK396" s="121"/>
      <c r="AL396" s="121"/>
      <c r="AM396" s="121">
        <f>COUNTA('All Details for ACID Pastor'!$W396:$AB396)</f>
        <v>3</v>
      </c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63"/>
      <c r="AX396" s="163"/>
      <c r="AZ396" s="121" t="s">
        <v>139</v>
      </c>
      <c r="BA396" s="163"/>
      <c r="BB396" s="163"/>
      <c r="BC396" s="163"/>
      <c r="BF396" s="163">
        <f>COUNTA('All Details for ACID Pastor'!$T396:$AB396)</f>
        <v>3</v>
      </c>
    </row>
    <row r="397" spans="1:74" ht="70.150000000000006" customHeight="1">
      <c r="A397" s="107"/>
      <c r="B397" s="124" t="s">
        <v>2362</v>
      </c>
      <c r="C397" s="90" t="s">
        <v>2363</v>
      </c>
      <c r="D397" s="95" t="s">
        <v>53</v>
      </c>
      <c r="E397" s="95" t="s">
        <v>54</v>
      </c>
      <c r="F397" s="95"/>
      <c r="G397" s="95"/>
      <c r="H397" s="95"/>
      <c r="I397" s="95"/>
      <c r="J397" s="118"/>
      <c r="K397" s="193" t="s">
        <v>2364</v>
      </c>
      <c r="L397" s="121"/>
      <c r="M397" s="172"/>
      <c r="N397" s="93" t="s">
        <v>2365</v>
      </c>
      <c r="O397" s="92" t="s">
        <v>2366</v>
      </c>
      <c r="P397" s="88" t="s">
        <v>73</v>
      </c>
      <c r="Q397" s="88" t="s">
        <v>48</v>
      </c>
      <c r="R397" s="86">
        <v>9787641920</v>
      </c>
      <c r="S397" s="88"/>
      <c r="T397" s="94"/>
      <c r="U397" s="140"/>
      <c r="V397" s="140"/>
      <c r="W397" s="125"/>
      <c r="X397" s="125"/>
      <c r="Y397" s="126"/>
      <c r="Z397" s="131"/>
      <c r="AA397" s="131"/>
      <c r="AB397" s="147"/>
      <c r="AC397" s="141"/>
      <c r="AD397" s="14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>
        <f>COUNTA('All Details for ACID Pastor'!$AA397:$AB397)</f>
        <v>0</v>
      </c>
      <c r="AU397" s="121">
        <f>COUNTA('All Details for ACID Pastor'!$AA397:$AB397)</f>
        <v>0</v>
      </c>
      <c r="AV397" s="121"/>
      <c r="AW397" s="163"/>
      <c r="AX397" s="163"/>
      <c r="AZ397" s="121"/>
      <c r="BA397" s="163"/>
      <c r="BB397" s="163"/>
      <c r="BC397" s="163"/>
      <c r="BF397" s="163">
        <f>COUNTA('All Details for ACID Pastor'!$T397:$AB397)</f>
        <v>0</v>
      </c>
    </row>
    <row r="398" spans="1:74" ht="70.150000000000006" customHeight="1">
      <c r="A398" s="107">
        <v>398</v>
      </c>
      <c r="B398" s="124" t="s">
        <v>2367</v>
      </c>
      <c r="C398" s="90" t="s">
        <v>2368</v>
      </c>
      <c r="D398" s="95" t="s">
        <v>53</v>
      </c>
      <c r="E398" s="95" t="s">
        <v>1975</v>
      </c>
      <c r="F398" s="95"/>
      <c r="G398" s="95"/>
      <c r="H398" s="95"/>
      <c r="I398" s="95"/>
      <c r="J398" s="115" t="s">
        <v>2322</v>
      </c>
      <c r="K398" s="193" t="s">
        <v>2369</v>
      </c>
      <c r="L398" s="121"/>
      <c r="M398" s="172"/>
      <c r="N398" s="93" t="s">
        <v>2370</v>
      </c>
      <c r="O398" s="92" t="s">
        <v>2371</v>
      </c>
      <c r="P398" s="88" t="s">
        <v>576</v>
      </c>
      <c r="Q398" s="88" t="s">
        <v>48</v>
      </c>
      <c r="R398" s="86">
        <v>9443527677</v>
      </c>
      <c r="S398" s="88" t="s">
        <v>2355</v>
      </c>
      <c r="T398" s="94"/>
      <c r="U398" s="140"/>
      <c r="V398" s="140"/>
      <c r="W398" s="140"/>
      <c r="X398" s="140"/>
      <c r="Y398" s="141"/>
      <c r="Z398" s="131"/>
      <c r="AA398" s="131"/>
      <c r="AB398" s="131"/>
      <c r="AC398" s="131"/>
      <c r="AD398" s="127"/>
      <c r="AF398" s="121"/>
      <c r="AG398" s="121"/>
      <c r="AH398" s="121"/>
      <c r="AI398" s="121"/>
      <c r="AJ398" s="121"/>
      <c r="AK398" s="121"/>
      <c r="AL398" s="121"/>
      <c r="AM398" s="121">
        <f>COUNTA('All Details for ACID Pastor'!$W398:$AB398)</f>
        <v>0</v>
      </c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63"/>
      <c r="AX398" s="163"/>
      <c r="AZ398" s="121" t="s">
        <v>139</v>
      </c>
      <c r="BA398" s="163"/>
      <c r="BB398" s="163"/>
      <c r="BC398" s="163"/>
      <c r="BF398" s="163">
        <f>COUNTA('All Details for ACID Pastor'!$T398:$AB398)</f>
        <v>0</v>
      </c>
    </row>
    <row r="399" spans="1:74" ht="70.150000000000006" customHeight="1">
      <c r="A399" s="107">
        <v>399</v>
      </c>
      <c r="B399" s="124" t="s">
        <v>2372</v>
      </c>
      <c r="C399" s="90" t="s">
        <v>2373</v>
      </c>
      <c r="D399" s="95" t="s">
        <v>53</v>
      </c>
      <c r="E399" s="95" t="s">
        <v>54</v>
      </c>
      <c r="F399" s="95"/>
      <c r="G399" s="95"/>
      <c r="H399" s="95"/>
      <c r="I399" s="95"/>
      <c r="J399" s="115" t="s">
        <v>2322</v>
      </c>
      <c r="K399" s="193" t="s">
        <v>2374</v>
      </c>
      <c r="L399" s="121"/>
      <c r="M399" s="172"/>
      <c r="N399" s="93" t="s">
        <v>2375</v>
      </c>
      <c r="O399" s="92" t="s">
        <v>2376</v>
      </c>
      <c r="P399" s="88" t="s">
        <v>2377</v>
      </c>
      <c r="Q399" s="88" t="s">
        <v>2378</v>
      </c>
      <c r="R399" s="86">
        <v>8790575792</v>
      </c>
      <c r="S399" s="88" t="s">
        <v>2355</v>
      </c>
      <c r="T399" s="94"/>
      <c r="U399" s="140"/>
      <c r="V399" s="140"/>
      <c r="W399" s="125" t="s">
        <v>110</v>
      </c>
      <c r="X399" s="125" t="s">
        <v>110</v>
      </c>
      <c r="Y399" s="126" t="s">
        <v>110</v>
      </c>
      <c r="Z399" s="131"/>
      <c r="AA399" s="131"/>
      <c r="AB399" s="131"/>
      <c r="AC399" s="131"/>
      <c r="AD399" s="127"/>
      <c r="AF399" s="121"/>
      <c r="AG399" s="121"/>
      <c r="AH399" s="121"/>
      <c r="AI399" s="121"/>
      <c r="AJ399" s="121"/>
      <c r="AK399" s="121"/>
      <c r="AL399" s="121"/>
      <c r="AM399" s="121">
        <f>COUNTA('All Details for ACID Pastor'!$W399:$AB399)</f>
        <v>3</v>
      </c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63"/>
      <c r="AX399" s="163"/>
      <c r="AZ399" s="121" t="s">
        <v>49</v>
      </c>
      <c r="BA399" s="163"/>
      <c r="BB399" s="163"/>
      <c r="BC399" s="163"/>
      <c r="BF399" s="163">
        <f>COUNTA('All Details for ACID Pastor'!$T399:$AB399)</f>
        <v>3</v>
      </c>
    </row>
    <row r="400" spans="1:74" ht="70.150000000000006" customHeight="1">
      <c r="A400" s="107"/>
      <c r="B400" s="124" t="s">
        <v>2379</v>
      </c>
      <c r="C400" s="90" t="s">
        <v>2380</v>
      </c>
      <c r="D400" s="95" t="s">
        <v>53</v>
      </c>
      <c r="E400" s="95" t="s">
        <v>142</v>
      </c>
      <c r="F400" s="95"/>
      <c r="G400" s="95"/>
      <c r="H400" s="95"/>
      <c r="I400" s="95"/>
      <c r="J400" s="115" t="s">
        <v>2381</v>
      </c>
      <c r="K400" s="193" t="s">
        <v>2382</v>
      </c>
      <c r="L400" s="121"/>
      <c r="M400" s="172" t="s">
        <v>2383</v>
      </c>
      <c r="N400" s="93" t="s">
        <v>2384</v>
      </c>
      <c r="O400" s="92" t="s">
        <v>2385</v>
      </c>
      <c r="P400" s="88" t="s">
        <v>2386</v>
      </c>
      <c r="Q400" s="88" t="s">
        <v>2387</v>
      </c>
      <c r="R400" s="86">
        <v>9424392294</v>
      </c>
      <c r="S400" s="88"/>
      <c r="T400" s="94"/>
      <c r="U400" s="140"/>
      <c r="V400" s="140"/>
      <c r="W400" s="125"/>
      <c r="X400" s="125"/>
      <c r="Y400" s="126"/>
      <c r="Z400" s="131"/>
      <c r="AA400" s="131"/>
      <c r="AB400" s="147"/>
      <c r="AC400" s="141"/>
      <c r="AD400" s="14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  <c r="AQ400" s="121"/>
      <c r="AR400" s="121"/>
      <c r="AS400" s="121"/>
      <c r="AT400" s="121">
        <f>COUNTA('All Details for ACID Pastor'!$AA400:$AB400)</f>
        <v>0</v>
      </c>
      <c r="AU400" s="121">
        <f>COUNTA('All Details for ACID Pastor'!$AA400:$AB400)</f>
        <v>0</v>
      </c>
      <c r="AV400" s="121"/>
      <c r="AW400" s="163"/>
      <c r="AX400" s="163"/>
      <c r="AZ400" s="121"/>
      <c r="BA400" s="163"/>
      <c r="BB400" s="163"/>
      <c r="BC400" s="163"/>
      <c r="BF400" s="163">
        <f>COUNTA('All Details for ACID Pastor'!$T400:$AB400)</f>
        <v>0</v>
      </c>
    </row>
    <row r="401" spans="1:74" ht="70.150000000000006" customHeight="1">
      <c r="A401" s="107"/>
      <c r="B401" s="124" t="s">
        <v>2388</v>
      </c>
      <c r="C401" s="90" t="s">
        <v>2389</v>
      </c>
      <c r="D401" s="95" t="s">
        <v>53</v>
      </c>
      <c r="E401" s="95" t="s">
        <v>54</v>
      </c>
      <c r="F401" s="95"/>
      <c r="G401" s="95"/>
      <c r="H401" s="95"/>
      <c r="I401" s="95"/>
      <c r="J401" s="115" t="s">
        <v>2390</v>
      </c>
      <c r="K401" s="193" t="s">
        <v>2391</v>
      </c>
      <c r="L401" s="121"/>
      <c r="M401" s="172"/>
      <c r="N401" s="93" t="s">
        <v>2392</v>
      </c>
      <c r="O401" s="92" t="s">
        <v>1878</v>
      </c>
      <c r="P401" s="88" t="s">
        <v>786</v>
      </c>
      <c r="Q401" s="88" t="s">
        <v>48</v>
      </c>
      <c r="R401" s="86">
        <v>9842385627</v>
      </c>
      <c r="S401" s="88"/>
      <c r="T401" s="94"/>
      <c r="U401" s="140"/>
      <c r="V401" s="140"/>
      <c r="W401" s="125"/>
      <c r="X401" s="125"/>
      <c r="Y401" s="126"/>
      <c r="Z401" s="131"/>
      <c r="AA401" s="131"/>
      <c r="AB401" s="147"/>
      <c r="AC401" s="141"/>
      <c r="AD401" s="14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  <c r="AP401" s="121"/>
      <c r="AQ401" s="121"/>
      <c r="AR401" s="121"/>
      <c r="AS401" s="121"/>
      <c r="AT401" s="121">
        <f>COUNTA('All Details for ACID Pastor'!$AA401:$AB401)</f>
        <v>0</v>
      </c>
      <c r="AU401" s="121">
        <f>COUNTA('All Details for ACID Pastor'!$AA401:$AB401)</f>
        <v>0</v>
      </c>
      <c r="AV401" s="121"/>
      <c r="AW401" s="163"/>
      <c r="AX401" s="163"/>
      <c r="AZ401" s="121"/>
      <c r="BA401" s="163"/>
      <c r="BB401" s="163"/>
      <c r="BC401" s="163"/>
      <c r="BF401" s="163">
        <f>COUNTA('All Details for ACID Pastor'!$T401:$AB401)</f>
        <v>0</v>
      </c>
    </row>
    <row r="402" spans="1:74" ht="70.150000000000006" customHeight="1">
      <c r="A402" s="107">
        <v>400</v>
      </c>
      <c r="B402" s="124" t="s">
        <v>2393</v>
      </c>
      <c r="C402" s="90" t="s">
        <v>2394</v>
      </c>
      <c r="D402" s="95" t="s">
        <v>53</v>
      </c>
      <c r="E402" s="95" t="s">
        <v>54</v>
      </c>
      <c r="F402" s="95"/>
      <c r="G402" s="95"/>
      <c r="H402" s="95"/>
      <c r="I402" s="95"/>
      <c r="J402" s="115" t="s">
        <v>1140</v>
      </c>
      <c r="K402" s="193" t="s">
        <v>1162</v>
      </c>
      <c r="L402" s="121"/>
      <c r="M402" s="172"/>
      <c r="N402" s="93" t="s">
        <v>2395</v>
      </c>
      <c r="O402" s="92" t="s">
        <v>2396</v>
      </c>
      <c r="P402" s="88" t="s">
        <v>786</v>
      </c>
      <c r="Q402" s="88" t="s">
        <v>48</v>
      </c>
      <c r="R402" s="86">
        <v>7373224507</v>
      </c>
      <c r="S402" s="88" t="s">
        <v>2355</v>
      </c>
      <c r="T402" s="94"/>
      <c r="U402" s="140"/>
      <c r="V402" s="140"/>
      <c r="W402" s="140"/>
      <c r="X402" s="140"/>
      <c r="Y402" s="141"/>
      <c r="Z402" s="131"/>
      <c r="AA402" s="131"/>
      <c r="AB402" s="131"/>
      <c r="AC402" s="131"/>
      <c r="AD402" s="127"/>
      <c r="AF402" s="121"/>
      <c r="AG402" s="121"/>
      <c r="AH402" s="121"/>
      <c r="AI402" s="121"/>
      <c r="AJ402" s="121"/>
      <c r="AK402" s="121"/>
      <c r="AL402" s="121"/>
      <c r="AM402" s="121">
        <f>COUNTA('All Details for ACID Pastor'!$W402:$AB402)</f>
        <v>0</v>
      </c>
      <c r="AN402" s="121"/>
      <c r="AO402" s="121"/>
      <c r="AP402" s="121"/>
      <c r="AQ402" s="121"/>
      <c r="AR402" s="121"/>
      <c r="AS402" s="121"/>
      <c r="AT402" s="121"/>
      <c r="AU402" s="121"/>
      <c r="AV402" s="121"/>
      <c r="AW402" s="163"/>
      <c r="AX402" s="163"/>
      <c r="AZ402" s="121" t="s">
        <v>139</v>
      </c>
      <c r="BA402" s="163"/>
      <c r="BB402" s="163"/>
      <c r="BC402" s="163"/>
      <c r="BF402" s="163">
        <f>COUNTA('All Details for ACID Pastor'!$T402:$AB402)</f>
        <v>0</v>
      </c>
    </row>
    <row r="403" spans="1:74" ht="70.150000000000006" customHeight="1">
      <c r="A403" s="107">
        <v>401</v>
      </c>
      <c r="B403" s="124" t="s">
        <v>2397</v>
      </c>
      <c r="C403" s="90" t="s">
        <v>2398</v>
      </c>
      <c r="D403" s="95" t="s">
        <v>53</v>
      </c>
      <c r="E403" s="95" t="s">
        <v>54</v>
      </c>
      <c r="F403" s="95"/>
      <c r="G403" s="95"/>
      <c r="H403" s="95"/>
      <c r="I403" s="95"/>
      <c r="J403" s="115" t="s">
        <v>1128</v>
      </c>
      <c r="K403" s="193" t="s">
        <v>2399</v>
      </c>
      <c r="L403" s="121"/>
      <c r="M403" s="172"/>
      <c r="N403" s="93" t="s">
        <v>2400</v>
      </c>
      <c r="O403" s="92" t="s">
        <v>2401</v>
      </c>
      <c r="P403" s="88" t="s">
        <v>94</v>
      </c>
      <c r="Q403" s="88" t="s">
        <v>48</v>
      </c>
      <c r="R403" s="86">
        <v>9578791456</v>
      </c>
      <c r="S403" s="88" t="s">
        <v>2355</v>
      </c>
      <c r="T403" s="94"/>
      <c r="U403" s="140"/>
      <c r="V403" s="140"/>
      <c r="W403" s="140"/>
      <c r="X403" s="140"/>
      <c r="Y403" s="141"/>
      <c r="Z403" s="131"/>
      <c r="AA403" s="131"/>
      <c r="AB403" s="131"/>
      <c r="AC403" s="131"/>
      <c r="AD403" s="127"/>
      <c r="AF403" s="121"/>
      <c r="AG403" s="121"/>
      <c r="AH403" s="121"/>
      <c r="AI403" s="121"/>
      <c r="AJ403" s="121"/>
      <c r="AK403" s="121"/>
      <c r="AL403" s="121"/>
      <c r="AM403" s="121">
        <f>COUNTA('All Details for ACID Pastor'!$W403:$AB403)</f>
        <v>0</v>
      </c>
      <c r="AN403" s="121"/>
      <c r="AO403" s="121"/>
      <c r="AP403" s="121"/>
      <c r="AQ403" s="121"/>
      <c r="AR403" s="121"/>
      <c r="AS403" s="121"/>
      <c r="AT403" s="121"/>
      <c r="AU403" s="121"/>
      <c r="AV403" s="121"/>
      <c r="AW403" s="163"/>
      <c r="AX403" s="163"/>
      <c r="AZ403" s="121" t="s">
        <v>2402</v>
      </c>
      <c r="BA403" s="163"/>
      <c r="BB403" s="163"/>
      <c r="BC403" s="163"/>
      <c r="BF403" s="163">
        <f>COUNTA('All Details for ACID Pastor'!$T403:$AB403)</f>
        <v>0</v>
      </c>
    </row>
    <row r="404" spans="1:74" ht="70.150000000000006" customHeight="1">
      <c r="A404" s="107">
        <v>402</v>
      </c>
      <c r="B404" s="124" t="s">
        <v>2403</v>
      </c>
      <c r="C404" s="90" t="s">
        <v>2404</v>
      </c>
      <c r="D404" s="95" t="s">
        <v>53</v>
      </c>
      <c r="E404" s="95" t="s">
        <v>54</v>
      </c>
      <c r="F404" s="95"/>
      <c r="G404" s="95"/>
      <c r="H404" s="95"/>
      <c r="I404" s="95"/>
      <c r="J404" s="115" t="s">
        <v>814</v>
      </c>
      <c r="K404" s="193" t="s">
        <v>2405</v>
      </c>
      <c r="L404" s="121"/>
      <c r="M404" s="172"/>
      <c r="N404" s="93" t="s">
        <v>2406</v>
      </c>
      <c r="O404" s="92" t="s">
        <v>824</v>
      </c>
      <c r="P404" s="88" t="s">
        <v>503</v>
      </c>
      <c r="Q404" s="88" t="s">
        <v>48</v>
      </c>
      <c r="R404" s="86">
        <v>9884450457</v>
      </c>
      <c r="S404" s="88" t="s">
        <v>2355</v>
      </c>
      <c r="T404" s="94"/>
      <c r="U404" s="140"/>
      <c r="V404" s="140"/>
      <c r="W404" s="125" t="s">
        <v>2361</v>
      </c>
      <c r="X404" s="125" t="s">
        <v>184</v>
      </c>
      <c r="Y404" s="141"/>
      <c r="Z404" s="131"/>
      <c r="AA404" s="131"/>
      <c r="AB404" s="131"/>
      <c r="AC404" s="131"/>
      <c r="AD404" s="127"/>
      <c r="AF404" s="121"/>
      <c r="AG404" s="121"/>
      <c r="AH404" s="121"/>
      <c r="AI404" s="121"/>
      <c r="AJ404" s="121"/>
      <c r="AK404" s="121"/>
      <c r="AL404" s="121"/>
      <c r="AM404" s="121">
        <f>COUNTA('All Details for ACID Pastor'!$W404:$AB404)</f>
        <v>2</v>
      </c>
      <c r="AN404" s="121"/>
      <c r="AO404" s="121"/>
      <c r="AP404" s="121"/>
      <c r="AQ404" s="121"/>
      <c r="AR404" s="121"/>
      <c r="AS404" s="121"/>
      <c r="AT404" s="121"/>
      <c r="AU404" s="121"/>
      <c r="AV404" s="121"/>
      <c r="AW404" s="163"/>
      <c r="AX404" s="163"/>
      <c r="AZ404" s="121" t="s">
        <v>139</v>
      </c>
      <c r="BA404" s="163"/>
      <c r="BB404" s="163"/>
      <c r="BC404" s="163"/>
      <c r="BF404" s="163">
        <f>COUNTA('All Details for ACID Pastor'!$T404:$AB404)</f>
        <v>2</v>
      </c>
    </row>
    <row r="405" spans="1:74" ht="70.150000000000006" customHeight="1">
      <c r="A405" s="107">
        <v>403</v>
      </c>
      <c r="B405" s="124" t="s">
        <v>2407</v>
      </c>
      <c r="C405" s="90" t="s">
        <v>2408</v>
      </c>
      <c r="D405" s="95" t="s">
        <v>53</v>
      </c>
      <c r="E405" s="95" t="s">
        <v>54</v>
      </c>
      <c r="F405" s="95"/>
      <c r="G405" s="95"/>
      <c r="H405" s="95"/>
      <c r="I405" s="95"/>
      <c r="J405" s="115" t="s">
        <v>1128</v>
      </c>
      <c r="K405" s="193" t="s">
        <v>2409</v>
      </c>
      <c r="L405" s="121"/>
      <c r="M405" s="172"/>
      <c r="N405" s="93" t="s">
        <v>2410</v>
      </c>
      <c r="O405" s="92" t="s">
        <v>2411</v>
      </c>
      <c r="P405" s="88" t="s">
        <v>2412</v>
      </c>
      <c r="Q405" s="88" t="s">
        <v>2413</v>
      </c>
      <c r="R405" s="86">
        <v>9167555116</v>
      </c>
      <c r="S405" s="88" t="s">
        <v>2355</v>
      </c>
      <c r="T405" s="94"/>
      <c r="U405" s="140"/>
      <c r="V405" s="140"/>
      <c r="W405" s="140"/>
      <c r="X405" s="140"/>
      <c r="Y405" s="141"/>
      <c r="Z405" s="131"/>
      <c r="AA405" s="131"/>
      <c r="AB405" s="131"/>
      <c r="AC405" s="131"/>
      <c r="AD405" s="127"/>
      <c r="AF405" s="121"/>
      <c r="AG405" s="121"/>
      <c r="AH405" s="121"/>
      <c r="AI405" s="121"/>
      <c r="AJ405" s="121"/>
      <c r="AK405" s="121"/>
      <c r="AL405" s="121"/>
      <c r="AM405" s="121">
        <f>COUNTA('All Details for ACID Pastor'!$W405:$AB405)</f>
        <v>0</v>
      </c>
      <c r="AN405" s="121"/>
      <c r="AO405" s="121"/>
      <c r="AP405" s="121"/>
      <c r="AQ405" s="121"/>
      <c r="AR405" s="121"/>
      <c r="AS405" s="121"/>
      <c r="AT405" s="121"/>
      <c r="AU405" s="121"/>
      <c r="AV405" s="121"/>
      <c r="AW405" s="163"/>
      <c r="AX405" s="163"/>
      <c r="AZ405" s="121" t="s">
        <v>139</v>
      </c>
      <c r="BA405" s="163"/>
      <c r="BB405" s="163"/>
      <c r="BC405" s="163"/>
      <c r="BF405" s="163">
        <f>COUNTA('All Details for ACID Pastor'!$T405:$AB405)</f>
        <v>0</v>
      </c>
    </row>
    <row r="406" spans="1:74" ht="70.150000000000006" customHeight="1">
      <c r="A406" s="107">
        <v>404</v>
      </c>
      <c r="B406" s="124" t="s">
        <v>2414</v>
      </c>
      <c r="C406" s="90" t="s">
        <v>2415</v>
      </c>
      <c r="D406" s="95" t="s">
        <v>53</v>
      </c>
      <c r="E406" s="95" t="s">
        <v>54</v>
      </c>
      <c r="F406" s="95"/>
      <c r="G406" s="95"/>
      <c r="H406" s="95"/>
      <c r="I406" s="95"/>
      <c r="J406" s="115" t="s">
        <v>1458</v>
      </c>
      <c r="K406" s="193" t="s">
        <v>2416</v>
      </c>
      <c r="L406" s="121"/>
      <c r="M406" s="172"/>
      <c r="N406" s="93" t="s">
        <v>2417</v>
      </c>
      <c r="O406" s="92" t="s">
        <v>2418</v>
      </c>
      <c r="P406" s="88" t="s">
        <v>60</v>
      </c>
      <c r="Q406" s="88" t="s">
        <v>48</v>
      </c>
      <c r="R406" s="86">
        <v>9952827456</v>
      </c>
      <c r="S406" s="88" t="s">
        <v>2355</v>
      </c>
      <c r="T406" s="94"/>
      <c r="U406" s="140"/>
      <c r="V406" s="140"/>
      <c r="W406" s="125" t="s">
        <v>635</v>
      </c>
      <c r="X406" s="125" t="s">
        <v>110</v>
      </c>
      <c r="Y406" s="126" t="s">
        <v>110</v>
      </c>
      <c r="Z406" s="131"/>
      <c r="AA406" s="131"/>
      <c r="AB406" s="131"/>
      <c r="AC406" s="131"/>
      <c r="AD406" s="127"/>
      <c r="AF406" s="121"/>
      <c r="AG406" s="121"/>
      <c r="AH406" s="121"/>
      <c r="AI406" s="121"/>
      <c r="AJ406" s="121"/>
      <c r="AK406" s="121"/>
      <c r="AL406" s="121"/>
      <c r="AM406" s="121">
        <f>COUNTA('All Details for ACID Pastor'!$W406:$AB406)</f>
        <v>3</v>
      </c>
      <c r="AN406" s="121"/>
      <c r="AO406" s="121"/>
      <c r="AP406" s="121"/>
      <c r="AQ406" s="121"/>
      <c r="AR406" s="121"/>
      <c r="AS406" s="121"/>
      <c r="AT406" s="121"/>
      <c r="AU406" s="121"/>
      <c r="AV406" s="121"/>
      <c r="AW406" s="163"/>
      <c r="AX406" s="163"/>
      <c r="AZ406" s="121" t="s">
        <v>49</v>
      </c>
      <c r="BA406" s="163"/>
      <c r="BB406" s="163"/>
      <c r="BC406" s="163"/>
      <c r="BF406" s="163">
        <f>COUNTA('All Details for ACID Pastor'!$T406:$AB406)</f>
        <v>3</v>
      </c>
    </row>
    <row r="407" spans="1:74" ht="70.150000000000006" customHeight="1">
      <c r="A407" s="107">
        <v>405</v>
      </c>
      <c r="B407" s="124" t="s">
        <v>2419</v>
      </c>
      <c r="C407" s="90" t="s">
        <v>2420</v>
      </c>
      <c r="D407" s="95" t="s">
        <v>53</v>
      </c>
      <c r="E407" s="95" t="s">
        <v>54</v>
      </c>
      <c r="F407" s="95"/>
      <c r="G407" s="95"/>
      <c r="H407" s="95"/>
      <c r="I407" s="95"/>
      <c r="J407" s="115" t="s">
        <v>1458</v>
      </c>
      <c r="K407" s="193" t="s">
        <v>2421</v>
      </c>
      <c r="L407" s="121"/>
      <c r="M407" s="172"/>
      <c r="N407" s="93" t="s">
        <v>2422</v>
      </c>
      <c r="O407" s="92" t="s">
        <v>2423</v>
      </c>
      <c r="P407" s="88" t="s">
        <v>60</v>
      </c>
      <c r="Q407" s="88" t="s">
        <v>48</v>
      </c>
      <c r="R407" s="86">
        <v>8122524489</v>
      </c>
      <c r="S407" s="88" t="s">
        <v>2355</v>
      </c>
      <c r="T407" s="94"/>
      <c r="U407" s="140"/>
      <c r="V407" s="140"/>
      <c r="W407" s="125" t="s">
        <v>215</v>
      </c>
      <c r="X407" s="140"/>
      <c r="Y407" s="141"/>
      <c r="Z407" s="131"/>
      <c r="AA407" s="131"/>
      <c r="AB407" s="131"/>
      <c r="AC407" s="131"/>
      <c r="AD407" s="127"/>
      <c r="AF407" s="121"/>
      <c r="AG407" s="121"/>
      <c r="AH407" s="121"/>
      <c r="AI407" s="121"/>
      <c r="AJ407" s="121"/>
      <c r="AK407" s="121"/>
      <c r="AL407" s="121"/>
      <c r="AM407" s="121">
        <f>COUNTA('All Details for ACID Pastor'!$W407:$AB407)</f>
        <v>1</v>
      </c>
      <c r="AN407" s="121"/>
      <c r="AO407" s="121"/>
      <c r="AP407" s="121"/>
      <c r="AQ407" s="121"/>
      <c r="AR407" s="121"/>
      <c r="AS407" s="121"/>
      <c r="AT407" s="121"/>
      <c r="AU407" s="121"/>
      <c r="AV407" s="121"/>
      <c r="AW407" s="163"/>
      <c r="AX407" s="163"/>
      <c r="AZ407" s="121" t="s">
        <v>139</v>
      </c>
      <c r="BA407" s="163"/>
      <c r="BB407" s="163"/>
      <c r="BC407" s="163"/>
      <c r="BF407" s="163">
        <f>COUNTA('All Details for ACID Pastor'!$T407:$AB407)</f>
        <v>1</v>
      </c>
    </row>
    <row r="408" spans="1:74" ht="70.150000000000006" customHeight="1">
      <c r="A408" s="107">
        <v>406</v>
      </c>
      <c r="B408" s="124" t="s">
        <v>2424</v>
      </c>
      <c r="C408" s="90" t="s">
        <v>2425</v>
      </c>
      <c r="D408" s="95" t="s">
        <v>53</v>
      </c>
      <c r="E408" s="95" t="s">
        <v>54</v>
      </c>
      <c r="F408" s="95"/>
      <c r="G408" s="95"/>
      <c r="H408" s="95"/>
      <c r="I408" s="95"/>
      <c r="J408" s="115" t="s">
        <v>1458</v>
      </c>
      <c r="K408" s="193" t="s">
        <v>2426</v>
      </c>
      <c r="L408" s="121"/>
      <c r="M408" s="172"/>
      <c r="N408" s="93" t="s">
        <v>2427</v>
      </c>
      <c r="O408" s="92" t="s">
        <v>2428</v>
      </c>
      <c r="P408" s="88" t="s">
        <v>60</v>
      </c>
      <c r="Q408" s="88" t="s">
        <v>48</v>
      </c>
      <c r="R408" s="86">
        <v>8760626690</v>
      </c>
      <c r="S408" s="88" t="s">
        <v>2355</v>
      </c>
      <c r="T408" s="94"/>
      <c r="U408" s="140"/>
      <c r="V408" s="140"/>
      <c r="W408" s="125" t="s">
        <v>215</v>
      </c>
      <c r="X408" s="125" t="s">
        <v>110</v>
      </c>
      <c r="Y408" s="126" t="s">
        <v>110</v>
      </c>
      <c r="Z408" s="131"/>
      <c r="AA408" s="131" t="s">
        <v>129</v>
      </c>
      <c r="AB408" s="131" t="s">
        <v>129</v>
      </c>
      <c r="AC408" s="131" t="s">
        <v>129</v>
      </c>
      <c r="AD408" s="127"/>
      <c r="AF408" s="121"/>
      <c r="AG408" s="121"/>
      <c r="AH408" s="121"/>
      <c r="AI408" s="121"/>
      <c r="AJ408" s="121"/>
      <c r="AK408" s="121"/>
      <c r="AL408" s="121"/>
      <c r="AM408" s="121">
        <v>3</v>
      </c>
      <c r="AN408" s="121"/>
      <c r="AO408" s="121"/>
      <c r="AP408" s="121"/>
      <c r="AQ408" s="121"/>
      <c r="AR408" s="121"/>
      <c r="AS408" s="121"/>
      <c r="AT408" s="121"/>
      <c r="AU408" s="121"/>
      <c r="AV408" s="121"/>
      <c r="AW408" s="163"/>
      <c r="AX408" s="163"/>
      <c r="AZ408" s="121" t="s">
        <v>49</v>
      </c>
      <c r="BA408" s="163"/>
      <c r="BB408" s="163">
        <v>3</v>
      </c>
      <c r="BC408" s="163"/>
      <c r="BF408" s="163">
        <v>6</v>
      </c>
    </row>
    <row r="409" spans="1:74" ht="70.150000000000006" customHeight="1">
      <c r="A409" s="107">
        <v>407</v>
      </c>
      <c r="B409" s="124" t="s">
        <v>2429</v>
      </c>
      <c r="C409" s="90" t="s">
        <v>2430</v>
      </c>
      <c r="D409" s="95" t="s">
        <v>53</v>
      </c>
      <c r="E409" s="95" t="s">
        <v>54</v>
      </c>
      <c r="F409" s="95"/>
      <c r="G409" s="95"/>
      <c r="H409" s="95"/>
      <c r="I409" s="95"/>
      <c r="J409" s="115" t="s">
        <v>1458</v>
      </c>
      <c r="K409" s="193" t="s">
        <v>2431</v>
      </c>
      <c r="L409" s="121"/>
      <c r="M409" s="172"/>
      <c r="N409" s="93" t="s">
        <v>2432</v>
      </c>
      <c r="O409" s="92" t="s">
        <v>2433</v>
      </c>
      <c r="P409" s="88" t="s">
        <v>2434</v>
      </c>
      <c r="Q409" s="88" t="s">
        <v>48</v>
      </c>
      <c r="R409" s="86">
        <v>9095199329</v>
      </c>
      <c r="S409" s="88" t="s">
        <v>2355</v>
      </c>
      <c r="T409" s="94"/>
      <c r="U409" s="140"/>
      <c r="V409" s="140"/>
      <c r="W409" s="125" t="s">
        <v>215</v>
      </c>
      <c r="X409" s="140" t="s">
        <v>129</v>
      </c>
      <c r="Y409" s="141" t="s">
        <v>129</v>
      </c>
      <c r="Z409" s="131" t="s">
        <v>129</v>
      </c>
      <c r="AA409" s="131" t="s">
        <v>129</v>
      </c>
      <c r="AB409" s="131" t="s">
        <v>129</v>
      </c>
      <c r="AC409" s="131" t="s">
        <v>129</v>
      </c>
      <c r="AD409" s="127"/>
      <c r="AF409" s="121"/>
      <c r="AG409" s="121"/>
      <c r="AH409" s="121"/>
      <c r="AI409" s="121"/>
      <c r="AJ409" s="121"/>
      <c r="AK409" s="121"/>
      <c r="AL409" s="121"/>
      <c r="AM409" s="121">
        <v>1</v>
      </c>
      <c r="AN409" s="121"/>
      <c r="AO409" s="121"/>
      <c r="AP409" s="121"/>
      <c r="AQ409" s="121"/>
      <c r="AR409" s="121"/>
      <c r="AS409" s="121"/>
      <c r="AT409" s="121"/>
      <c r="AU409" s="121"/>
      <c r="AV409" s="121"/>
      <c r="AW409" s="163"/>
      <c r="AX409" s="163"/>
      <c r="AZ409" s="121" t="s">
        <v>49</v>
      </c>
      <c r="BA409" s="163"/>
      <c r="BB409" s="163">
        <v>6</v>
      </c>
      <c r="BC409" s="163"/>
      <c r="BF409" s="163">
        <v>7</v>
      </c>
    </row>
    <row r="410" spans="1:74" ht="70.150000000000006" customHeight="1">
      <c r="A410" s="107"/>
      <c r="B410" s="124" t="s">
        <v>2435</v>
      </c>
      <c r="C410" s="90" t="s">
        <v>2436</v>
      </c>
      <c r="D410" s="95" t="s">
        <v>53</v>
      </c>
      <c r="E410" s="95" t="s">
        <v>54</v>
      </c>
      <c r="F410" s="95"/>
      <c r="G410" s="95"/>
      <c r="H410" s="95"/>
      <c r="I410" s="95"/>
      <c r="J410" s="115" t="s">
        <v>1458</v>
      </c>
      <c r="K410" s="193" t="s">
        <v>1421</v>
      </c>
      <c r="L410" s="121"/>
      <c r="M410" s="172"/>
      <c r="N410" s="93" t="s">
        <v>2437</v>
      </c>
      <c r="O410" s="92" t="s">
        <v>2438</v>
      </c>
      <c r="P410" s="88" t="s">
        <v>1613</v>
      </c>
      <c r="Q410" s="88" t="s">
        <v>48</v>
      </c>
      <c r="R410" s="86">
        <v>9943533877</v>
      </c>
      <c r="S410" s="88"/>
      <c r="T410" s="94"/>
      <c r="U410" s="140"/>
      <c r="V410" s="140"/>
      <c r="W410" s="125"/>
      <c r="X410" s="140"/>
      <c r="Y410" s="141"/>
      <c r="Z410" s="131"/>
      <c r="AA410" s="131"/>
      <c r="AB410" s="147"/>
      <c r="AC410" s="141"/>
      <c r="AD410" s="14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  <c r="AP410" s="121"/>
      <c r="AQ410" s="121"/>
      <c r="AR410" s="121"/>
      <c r="AS410" s="121"/>
      <c r="AT410" s="121">
        <f>COUNTA('All Details for ACID Pastor'!$AA410:$AB410)</f>
        <v>0</v>
      </c>
      <c r="AU410" s="121">
        <f>COUNTA('All Details for ACID Pastor'!$AA410:$AB410)</f>
        <v>0</v>
      </c>
      <c r="AV410" s="121"/>
      <c r="AW410" s="163"/>
      <c r="AX410" s="163"/>
      <c r="AZ410" s="121"/>
      <c r="BA410" s="163"/>
      <c r="BB410" s="163"/>
      <c r="BC410" s="163"/>
      <c r="BF410" s="163">
        <f>COUNTA('All Details for ACID Pastor'!$T410:$AB410)</f>
        <v>0</v>
      </c>
    </row>
    <row r="411" spans="1:74" ht="70.150000000000006" customHeight="1">
      <c r="A411" s="107">
        <v>408</v>
      </c>
      <c r="B411" s="124" t="s">
        <v>2439</v>
      </c>
      <c r="C411" s="90" t="s">
        <v>2440</v>
      </c>
      <c r="D411" s="95" t="s">
        <v>53</v>
      </c>
      <c r="E411" s="95" t="s">
        <v>54</v>
      </c>
      <c r="F411" s="95"/>
      <c r="G411" s="95"/>
      <c r="H411" s="95"/>
      <c r="I411" s="95"/>
      <c r="J411" s="115" t="s">
        <v>1458</v>
      </c>
      <c r="K411" s="193" t="s">
        <v>2441</v>
      </c>
      <c r="L411" s="121"/>
      <c r="M411" s="172"/>
      <c r="N411" s="93" t="s">
        <v>2442</v>
      </c>
      <c r="O411" s="92" t="s">
        <v>2443</v>
      </c>
      <c r="P411" s="88" t="s">
        <v>60</v>
      </c>
      <c r="Q411" s="88" t="s">
        <v>48</v>
      </c>
      <c r="R411" s="86">
        <v>8098525812</v>
      </c>
      <c r="S411" s="88" t="s">
        <v>2355</v>
      </c>
      <c r="T411" s="94"/>
      <c r="U411" s="140"/>
      <c r="V411" s="140"/>
      <c r="W411" s="125" t="s">
        <v>2444</v>
      </c>
      <c r="X411" s="125" t="s">
        <v>2445</v>
      </c>
      <c r="Y411" s="126" t="s">
        <v>110</v>
      </c>
      <c r="Z411" s="127" t="s">
        <v>149</v>
      </c>
      <c r="AA411" s="131" t="s">
        <v>129</v>
      </c>
      <c r="AB411" s="131" t="s">
        <v>129</v>
      </c>
      <c r="AC411" s="131" t="s">
        <v>129</v>
      </c>
      <c r="AD411" s="127"/>
      <c r="AF411" s="121"/>
      <c r="AG411" s="121"/>
      <c r="AH411" s="121"/>
      <c r="AI411" s="121"/>
      <c r="AJ411" s="121"/>
      <c r="AK411" s="121"/>
      <c r="AL411" s="121"/>
      <c r="AM411" s="121">
        <v>4</v>
      </c>
      <c r="AN411" s="121"/>
      <c r="AO411" s="121"/>
      <c r="AP411" s="121"/>
      <c r="AQ411" s="121"/>
      <c r="AR411" s="121"/>
      <c r="AS411" s="121"/>
      <c r="AT411" s="121"/>
      <c r="AU411" s="121"/>
      <c r="AV411" s="121"/>
      <c r="AW411" s="163"/>
      <c r="AX411" s="163"/>
      <c r="AZ411" s="121" t="s">
        <v>49</v>
      </c>
      <c r="BA411" s="163"/>
      <c r="BB411" s="163">
        <v>3</v>
      </c>
      <c r="BC411" s="163"/>
      <c r="BF411" s="163">
        <v>7</v>
      </c>
    </row>
    <row r="412" spans="1:74" ht="70.150000000000006" customHeight="1">
      <c r="A412" s="107">
        <v>409</v>
      </c>
      <c r="B412" s="124" t="s">
        <v>2446</v>
      </c>
      <c r="C412" s="90" t="s">
        <v>2447</v>
      </c>
      <c r="D412" s="95" t="s">
        <v>53</v>
      </c>
      <c r="E412" s="95" t="s">
        <v>1975</v>
      </c>
      <c r="F412" s="95"/>
      <c r="G412" s="95"/>
      <c r="H412" s="95"/>
      <c r="I412" s="95"/>
      <c r="J412" s="115" t="s">
        <v>1458</v>
      </c>
      <c r="K412" s="193" t="s">
        <v>2448</v>
      </c>
      <c r="L412" s="121"/>
      <c r="M412" s="172"/>
      <c r="N412" s="93" t="s">
        <v>2449</v>
      </c>
      <c r="O412" s="92" t="s">
        <v>2450</v>
      </c>
      <c r="P412" s="88" t="s">
        <v>2434</v>
      </c>
      <c r="Q412" s="88" t="s">
        <v>48</v>
      </c>
      <c r="R412" s="86">
        <v>9626854098</v>
      </c>
      <c r="S412" s="88" t="s">
        <v>2355</v>
      </c>
      <c r="T412" s="94"/>
      <c r="U412" s="140"/>
      <c r="V412" s="140"/>
      <c r="W412" s="125" t="s">
        <v>635</v>
      </c>
      <c r="X412" s="125" t="s">
        <v>78</v>
      </c>
      <c r="Y412" s="126" t="s">
        <v>110</v>
      </c>
      <c r="Z412" s="127" t="s">
        <v>165</v>
      </c>
      <c r="AA412" s="127" t="s">
        <v>165</v>
      </c>
      <c r="AB412" s="127" t="s">
        <v>165</v>
      </c>
      <c r="AC412" s="131"/>
      <c r="AD412" s="127"/>
      <c r="AE412" s="244"/>
      <c r="AF412" s="121"/>
      <c r="AG412" s="121"/>
      <c r="AH412" s="121"/>
      <c r="AI412" s="121"/>
      <c r="AJ412" s="121"/>
      <c r="AK412" s="121"/>
      <c r="AL412" s="121"/>
      <c r="AM412" s="121">
        <f>COUNTA('All Details for ACID Pastor'!$W412:$AB412)</f>
        <v>6</v>
      </c>
      <c r="AN412" s="121"/>
      <c r="AO412" s="121"/>
      <c r="AP412" s="121"/>
      <c r="AQ412" s="121"/>
      <c r="AR412" s="121"/>
      <c r="AS412" s="121"/>
      <c r="AT412" s="121"/>
      <c r="AU412" s="121"/>
      <c r="AV412" s="121"/>
      <c r="AW412" s="163"/>
      <c r="AX412" s="163"/>
      <c r="AZ412" s="121" t="s">
        <v>49</v>
      </c>
      <c r="BA412" s="163"/>
      <c r="BB412" s="163"/>
      <c r="BC412" s="163"/>
      <c r="BF412" s="163">
        <f>COUNTA('All Details for ACID Pastor'!$T412:$AB412)</f>
        <v>6</v>
      </c>
    </row>
    <row r="413" spans="1:74" s="174" customFormat="1" ht="70.150000000000006" customHeight="1">
      <c r="A413" s="103">
        <v>410</v>
      </c>
      <c r="B413" s="132" t="s">
        <v>2451</v>
      </c>
      <c r="C413" s="101" t="s">
        <v>2452</v>
      </c>
      <c r="D413" s="102" t="s">
        <v>53</v>
      </c>
      <c r="E413" s="102" t="s">
        <v>142</v>
      </c>
      <c r="F413" s="95"/>
      <c r="G413" s="95"/>
      <c r="H413" s="95"/>
      <c r="I413" s="95"/>
      <c r="J413" s="133" t="s">
        <v>1458</v>
      </c>
      <c r="K413" s="256" t="s">
        <v>2453</v>
      </c>
      <c r="L413" s="232"/>
      <c r="M413" s="171" t="s">
        <v>2454</v>
      </c>
      <c r="N413" s="104" t="s">
        <v>2455</v>
      </c>
      <c r="O413" s="105" t="s">
        <v>2456</v>
      </c>
      <c r="P413" s="106" t="s">
        <v>60</v>
      </c>
      <c r="Q413" s="106" t="s">
        <v>48</v>
      </c>
      <c r="R413" s="134">
        <v>9442740512</v>
      </c>
      <c r="S413" s="106" t="s">
        <v>2355</v>
      </c>
      <c r="T413" s="135"/>
      <c r="U413" s="176"/>
      <c r="V413" s="176"/>
      <c r="W413" s="176"/>
      <c r="X413" s="176"/>
      <c r="Y413" s="145"/>
      <c r="Z413" s="136"/>
      <c r="AA413" s="136"/>
      <c r="AB413" s="136"/>
      <c r="AC413" s="136"/>
      <c r="AD413" s="222"/>
      <c r="AE413" s="244"/>
      <c r="AF413" s="232"/>
      <c r="AG413" s="232"/>
      <c r="AH413" s="232"/>
      <c r="AI413" s="232"/>
      <c r="AJ413" s="232"/>
      <c r="AK413" s="232"/>
      <c r="AL413" s="232"/>
      <c r="AM413" s="232">
        <f>COUNTA('All Details for ACID Pastor'!$W413:$AB413)</f>
        <v>0</v>
      </c>
      <c r="AN413" s="232"/>
      <c r="AO413" s="232"/>
      <c r="AP413" s="232"/>
      <c r="AQ413" s="232"/>
      <c r="AR413" s="232"/>
      <c r="AS413" s="232"/>
      <c r="AT413" s="232"/>
      <c r="AU413" s="232"/>
      <c r="AV413" s="232"/>
      <c r="AW413" s="233"/>
      <c r="AX413" s="233"/>
      <c r="AY413" s="244"/>
      <c r="AZ413" s="232" t="s">
        <v>139</v>
      </c>
      <c r="BA413" s="233"/>
      <c r="BB413" s="233"/>
      <c r="BC413" s="233"/>
      <c r="BD413" s="244"/>
      <c r="BE413" s="277"/>
      <c r="BF413" s="233">
        <f>COUNTA('All Details for ACID Pastor'!$T413:$AB413)</f>
        <v>0</v>
      </c>
      <c r="BG413" s="249"/>
      <c r="BH413" s="249"/>
      <c r="BI413" s="249"/>
      <c r="BJ413" s="249"/>
      <c r="BK413" s="249"/>
      <c r="BL413" s="249"/>
      <c r="BM413" s="249"/>
      <c r="BN413" s="249"/>
      <c r="BO413" s="249"/>
      <c r="BP413" s="249"/>
      <c r="BQ413" s="249"/>
      <c r="BR413" s="249"/>
      <c r="BS413" s="249"/>
      <c r="BT413" s="249"/>
      <c r="BU413" s="249"/>
      <c r="BV413" s="249"/>
    </row>
    <row r="414" spans="1:74" s="174" customFormat="1" ht="70.150000000000006" customHeight="1">
      <c r="A414" s="103">
        <v>411</v>
      </c>
      <c r="B414" s="132" t="s">
        <v>2457</v>
      </c>
      <c r="C414" s="101" t="s">
        <v>2458</v>
      </c>
      <c r="D414" s="102" t="s">
        <v>53</v>
      </c>
      <c r="E414" s="102" t="s">
        <v>68</v>
      </c>
      <c r="F414" s="95"/>
      <c r="G414" s="95"/>
      <c r="H414" s="95"/>
      <c r="I414" s="95"/>
      <c r="J414" s="133" t="s">
        <v>1458</v>
      </c>
      <c r="K414" s="256" t="s">
        <v>2459</v>
      </c>
      <c r="L414" s="232"/>
      <c r="M414" s="171"/>
      <c r="N414" s="104" t="s">
        <v>2460</v>
      </c>
      <c r="O414" s="105" t="s">
        <v>2461</v>
      </c>
      <c r="P414" s="106" t="s">
        <v>60</v>
      </c>
      <c r="Q414" s="106" t="s">
        <v>48</v>
      </c>
      <c r="R414" s="134">
        <v>9486817718</v>
      </c>
      <c r="S414" s="106" t="s">
        <v>2355</v>
      </c>
      <c r="T414" s="135"/>
      <c r="U414" s="176"/>
      <c r="V414" s="176"/>
      <c r="W414" s="144" t="s">
        <v>215</v>
      </c>
      <c r="X414" s="176"/>
      <c r="Y414" s="145"/>
      <c r="Z414" s="136"/>
      <c r="AA414" s="136"/>
      <c r="AB414" s="136"/>
      <c r="AC414" s="136"/>
      <c r="AD414" s="222"/>
      <c r="AE414" s="240"/>
      <c r="AF414" s="232"/>
      <c r="AG414" s="232"/>
      <c r="AH414" s="232"/>
      <c r="AI414" s="232"/>
      <c r="AJ414" s="232"/>
      <c r="AK414" s="232"/>
      <c r="AL414" s="232"/>
      <c r="AM414" s="232">
        <f>COUNTA('All Details for ACID Pastor'!$W414:$AB414)</f>
        <v>1</v>
      </c>
      <c r="AN414" s="232"/>
      <c r="AO414" s="232"/>
      <c r="AP414" s="232"/>
      <c r="AQ414" s="232"/>
      <c r="AR414" s="232"/>
      <c r="AS414" s="232"/>
      <c r="AT414" s="232"/>
      <c r="AU414" s="232"/>
      <c r="AV414" s="232"/>
      <c r="AW414" s="233"/>
      <c r="AX414" s="233"/>
      <c r="AY414" s="244"/>
      <c r="AZ414" s="232" t="s">
        <v>139</v>
      </c>
      <c r="BA414" s="233"/>
      <c r="BB414" s="233"/>
      <c r="BC414" s="233"/>
      <c r="BD414" s="244"/>
      <c r="BE414" s="277"/>
      <c r="BF414" s="233">
        <f>COUNTA('All Details for ACID Pastor'!$T414:$AB414)</f>
        <v>1</v>
      </c>
      <c r="BG414" s="249"/>
      <c r="BH414" s="249"/>
      <c r="BI414" s="249"/>
      <c r="BJ414" s="249"/>
      <c r="BK414" s="249"/>
      <c r="BL414" s="249"/>
      <c r="BM414" s="249"/>
      <c r="BN414" s="249"/>
      <c r="BO414" s="249"/>
      <c r="BP414" s="249"/>
      <c r="BQ414" s="249"/>
      <c r="BR414" s="249"/>
      <c r="BS414" s="249"/>
      <c r="BT414" s="249"/>
      <c r="BU414" s="249"/>
      <c r="BV414" s="249"/>
    </row>
    <row r="415" spans="1:74" ht="70.150000000000006" customHeight="1">
      <c r="A415" s="107">
        <v>412</v>
      </c>
      <c r="B415" s="124" t="s">
        <v>2462</v>
      </c>
      <c r="C415" s="90" t="s">
        <v>2463</v>
      </c>
      <c r="D415" s="95" t="s">
        <v>53</v>
      </c>
      <c r="E415" s="95" t="s">
        <v>54</v>
      </c>
      <c r="F415" s="95"/>
      <c r="G415" s="95"/>
      <c r="H415" s="95"/>
      <c r="I415" s="95"/>
      <c r="J415" s="115" t="s">
        <v>1458</v>
      </c>
      <c r="K415" s="193" t="s">
        <v>2464</v>
      </c>
      <c r="L415" s="121"/>
      <c r="M415" s="172" t="s">
        <v>2465</v>
      </c>
      <c r="N415" s="93" t="s">
        <v>2466</v>
      </c>
      <c r="O415" s="92" t="s">
        <v>2467</v>
      </c>
      <c r="P415" s="88" t="s">
        <v>1613</v>
      </c>
      <c r="Q415" s="88" t="s">
        <v>48</v>
      </c>
      <c r="R415" s="86">
        <v>7639166122</v>
      </c>
      <c r="S415" s="88" t="s">
        <v>2355</v>
      </c>
      <c r="T415" s="94"/>
      <c r="U415" s="140"/>
      <c r="V415" s="140"/>
      <c r="W415" s="125" t="s">
        <v>635</v>
      </c>
      <c r="X415" s="140"/>
      <c r="Y415" s="141"/>
      <c r="Z415" s="131"/>
      <c r="AA415" s="131"/>
      <c r="AB415" s="131"/>
      <c r="AC415" s="131"/>
      <c r="AD415" s="127"/>
      <c r="AF415" s="121"/>
      <c r="AG415" s="121"/>
      <c r="AH415" s="121"/>
      <c r="AI415" s="121"/>
      <c r="AJ415" s="121"/>
      <c r="AK415" s="121"/>
      <c r="AL415" s="121"/>
      <c r="AM415" s="121">
        <f>COUNTA('All Details for ACID Pastor'!$W415:$AB415)</f>
        <v>1</v>
      </c>
      <c r="AN415" s="121"/>
      <c r="AO415" s="121"/>
      <c r="AP415" s="121"/>
      <c r="AQ415" s="121"/>
      <c r="AR415" s="121"/>
      <c r="AS415" s="121"/>
      <c r="AT415" s="121"/>
      <c r="AU415" s="121"/>
      <c r="AV415" s="121"/>
      <c r="AW415" s="163"/>
      <c r="AX415" s="163"/>
      <c r="AZ415" s="121" t="s">
        <v>139</v>
      </c>
      <c r="BA415" s="163"/>
      <c r="BB415" s="163"/>
      <c r="BC415" s="163"/>
      <c r="BF415" s="163">
        <f>COUNTA('All Details for ACID Pastor'!$T415:$AB415)</f>
        <v>1</v>
      </c>
    </row>
    <row r="416" spans="1:74" ht="70.150000000000006" customHeight="1">
      <c r="A416" s="107">
        <v>413</v>
      </c>
      <c r="B416" s="124" t="s">
        <v>2468</v>
      </c>
      <c r="C416" s="90" t="s">
        <v>2469</v>
      </c>
      <c r="D416" s="95" t="s">
        <v>53</v>
      </c>
      <c r="E416" s="95" t="s">
        <v>54</v>
      </c>
      <c r="F416" s="95"/>
      <c r="G416" s="95"/>
      <c r="H416" s="95"/>
      <c r="I416" s="95"/>
      <c r="J416" s="115" t="s">
        <v>1458</v>
      </c>
      <c r="K416" s="193" t="s">
        <v>2470</v>
      </c>
      <c r="L416" s="121"/>
      <c r="M416" s="172"/>
      <c r="N416" s="93" t="s">
        <v>2471</v>
      </c>
      <c r="O416" s="92" t="s">
        <v>2472</v>
      </c>
      <c r="P416" s="88" t="s">
        <v>2434</v>
      </c>
      <c r="Q416" s="88" t="s">
        <v>48</v>
      </c>
      <c r="R416" s="86">
        <v>8189825715</v>
      </c>
      <c r="S416" s="88" t="s">
        <v>2355</v>
      </c>
      <c r="T416" s="94"/>
      <c r="U416" s="140"/>
      <c r="V416" s="140"/>
      <c r="W416" s="140"/>
      <c r="X416" s="140"/>
      <c r="Y416" s="141"/>
      <c r="Z416" s="131"/>
      <c r="AA416" s="131"/>
      <c r="AB416" s="131"/>
      <c r="AC416" s="131"/>
      <c r="AD416" s="127"/>
      <c r="AF416" s="121"/>
      <c r="AG416" s="121"/>
      <c r="AH416" s="121"/>
      <c r="AI416" s="121"/>
      <c r="AJ416" s="121"/>
      <c r="AK416" s="121"/>
      <c r="AL416" s="121"/>
      <c r="AM416" s="121">
        <f>COUNTA('All Details for ACID Pastor'!$W416:$AB416)</f>
        <v>0</v>
      </c>
      <c r="AN416" s="121"/>
      <c r="AO416" s="121"/>
      <c r="AP416" s="121"/>
      <c r="AQ416" s="121"/>
      <c r="AR416" s="121"/>
      <c r="AS416" s="121"/>
      <c r="AT416" s="121"/>
      <c r="AU416" s="121"/>
      <c r="AV416" s="121"/>
      <c r="AW416" s="163"/>
      <c r="AX416" s="163"/>
      <c r="AZ416" s="121" t="s">
        <v>139</v>
      </c>
      <c r="BA416" s="163"/>
      <c r="BB416" s="163"/>
      <c r="BC416" s="163"/>
      <c r="BF416" s="163">
        <f>COUNTA('All Details for ACID Pastor'!$T416:$AB416)</f>
        <v>0</v>
      </c>
    </row>
    <row r="417" spans="1:74" ht="70.150000000000006" customHeight="1">
      <c r="A417" s="107">
        <v>414</v>
      </c>
      <c r="B417" s="124" t="s">
        <v>2473</v>
      </c>
      <c r="C417" s="90" t="s">
        <v>2474</v>
      </c>
      <c r="D417" s="95" t="s">
        <v>53</v>
      </c>
      <c r="E417" s="95" t="s">
        <v>54</v>
      </c>
      <c r="F417" s="95"/>
      <c r="G417" s="95"/>
      <c r="H417" s="95"/>
      <c r="I417" s="95"/>
      <c r="J417" s="115" t="s">
        <v>113</v>
      </c>
      <c r="K417" s="193" t="s">
        <v>2475</v>
      </c>
      <c r="L417" s="121"/>
      <c r="M417" s="172"/>
      <c r="N417" s="93" t="s">
        <v>2476</v>
      </c>
      <c r="O417" s="92" t="s">
        <v>217</v>
      </c>
      <c r="P417" s="88" t="s">
        <v>94</v>
      </c>
      <c r="Q417" s="88" t="s">
        <v>48</v>
      </c>
      <c r="R417" s="86">
        <v>9751410993</v>
      </c>
      <c r="S417" s="88" t="s">
        <v>2355</v>
      </c>
      <c r="T417" s="94"/>
      <c r="U417" s="140"/>
      <c r="V417" s="140"/>
      <c r="W417" s="125" t="s">
        <v>98</v>
      </c>
      <c r="X417" s="125" t="s">
        <v>78</v>
      </c>
      <c r="Y417" s="141"/>
      <c r="Z417" s="131"/>
      <c r="AA417" s="131"/>
      <c r="AB417" s="131"/>
      <c r="AC417" s="131"/>
      <c r="AD417" s="127"/>
      <c r="AE417" s="244"/>
      <c r="AF417" s="121"/>
      <c r="AG417" s="121"/>
      <c r="AH417" s="121"/>
      <c r="AI417" s="121"/>
      <c r="AJ417" s="121"/>
      <c r="AK417" s="121"/>
      <c r="AL417" s="121"/>
      <c r="AM417" s="121">
        <f>COUNTA('All Details for ACID Pastor'!$W417:$AB417)</f>
        <v>2</v>
      </c>
      <c r="AN417" s="121"/>
      <c r="AO417" s="121"/>
      <c r="AP417" s="121"/>
      <c r="AQ417" s="121"/>
      <c r="AR417" s="121"/>
      <c r="AS417" s="121"/>
      <c r="AT417" s="121"/>
      <c r="AU417" s="121"/>
      <c r="AV417" s="121"/>
      <c r="AW417" s="163"/>
      <c r="AX417" s="163"/>
      <c r="AZ417" s="121" t="s">
        <v>100</v>
      </c>
      <c r="BA417" s="163"/>
      <c r="BB417" s="163"/>
      <c r="BC417" s="163"/>
      <c r="BF417" s="163">
        <f>COUNTA('All Details for ACID Pastor'!$T417:$AB417)</f>
        <v>2</v>
      </c>
    </row>
    <row r="418" spans="1:74" s="174" customFormat="1" ht="70.150000000000006" customHeight="1">
      <c r="A418" s="103">
        <v>415</v>
      </c>
      <c r="B418" s="132" t="s">
        <v>2477</v>
      </c>
      <c r="C418" s="101" t="s">
        <v>2478</v>
      </c>
      <c r="D418" s="102" t="s">
        <v>53</v>
      </c>
      <c r="E418" s="102" t="s">
        <v>1975</v>
      </c>
      <c r="F418" s="95"/>
      <c r="G418" s="95"/>
      <c r="H418" s="95"/>
      <c r="I418" s="95"/>
      <c r="J418" s="133" t="s">
        <v>1128</v>
      </c>
      <c r="K418" s="256" t="s">
        <v>2479</v>
      </c>
      <c r="L418" s="232"/>
      <c r="M418" s="171" t="s">
        <v>2480</v>
      </c>
      <c r="N418" s="104" t="s">
        <v>2481</v>
      </c>
      <c r="O418" s="105" t="s">
        <v>2482</v>
      </c>
      <c r="P418" s="106" t="s">
        <v>60</v>
      </c>
      <c r="Q418" s="106" t="s">
        <v>48</v>
      </c>
      <c r="R418" s="134">
        <v>7845172745</v>
      </c>
      <c r="S418" s="106" t="s">
        <v>2355</v>
      </c>
      <c r="T418" s="135"/>
      <c r="U418" s="176"/>
      <c r="V418" s="176"/>
      <c r="W418" s="176"/>
      <c r="X418" s="176"/>
      <c r="Y418" s="145"/>
      <c r="Z418" s="136"/>
      <c r="AA418" s="136"/>
      <c r="AB418" s="136"/>
      <c r="AC418" s="136"/>
      <c r="AD418" s="222"/>
      <c r="AE418" s="240"/>
      <c r="AF418" s="232"/>
      <c r="AG418" s="232"/>
      <c r="AH418" s="232"/>
      <c r="AI418" s="232"/>
      <c r="AJ418" s="232"/>
      <c r="AK418" s="232"/>
      <c r="AL418" s="232"/>
      <c r="AM418" s="232">
        <f>COUNTA('All Details for ACID Pastor'!$W418:$AB418)</f>
        <v>0</v>
      </c>
      <c r="AN418" s="232"/>
      <c r="AO418" s="232"/>
      <c r="AP418" s="232"/>
      <c r="AQ418" s="232"/>
      <c r="AR418" s="232"/>
      <c r="AS418" s="232"/>
      <c r="AT418" s="232"/>
      <c r="AU418" s="232"/>
      <c r="AV418" s="232"/>
      <c r="AW418" s="233"/>
      <c r="AX418" s="233"/>
      <c r="AY418" s="244"/>
      <c r="AZ418" s="232" t="s">
        <v>139</v>
      </c>
      <c r="BA418" s="233"/>
      <c r="BB418" s="233"/>
      <c r="BC418" s="233"/>
      <c r="BD418" s="244"/>
      <c r="BE418" s="277"/>
      <c r="BF418" s="233">
        <f>COUNTA('All Details for ACID Pastor'!$T418:$AB418)</f>
        <v>0</v>
      </c>
      <c r="BG418" s="249"/>
      <c r="BH418" s="249"/>
      <c r="BI418" s="249"/>
      <c r="BJ418" s="249"/>
      <c r="BK418" s="249"/>
      <c r="BL418" s="249"/>
      <c r="BM418" s="249"/>
      <c r="BN418" s="249"/>
      <c r="BO418" s="249"/>
      <c r="BP418" s="249"/>
      <c r="BQ418" s="249"/>
      <c r="BR418" s="249"/>
      <c r="BS418" s="249"/>
      <c r="BT418" s="249"/>
      <c r="BU418" s="249"/>
      <c r="BV418" s="249"/>
    </row>
    <row r="419" spans="1:74" ht="78.75" customHeight="1">
      <c r="A419" s="107">
        <v>416</v>
      </c>
      <c r="B419" s="124" t="s">
        <v>2483</v>
      </c>
      <c r="C419" s="90" t="s">
        <v>2484</v>
      </c>
      <c r="D419" s="95" t="s">
        <v>53</v>
      </c>
      <c r="E419" s="95" t="s">
        <v>160</v>
      </c>
      <c r="F419" s="95"/>
      <c r="G419" s="95"/>
      <c r="H419" s="95"/>
      <c r="I419" s="95"/>
      <c r="J419" s="115" t="s">
        <v>1128</v>
      </c>
      <c r="K419" s="193" t="s">
        <v>2485</v>
      </c>
      <c r="L419" s="121"/>
      <c r="M419" s="172"/>
      <c r="N419" s="93" t="s">
        <v>2486</v>
      </c>
      <c r="O419" s="92" t="s">
        <v>2487</v>
      </c>
      <c r="P419" s="88" t="s">
        <v>64</v>
      </c>
      <c r="Q419" s="88" t="s">
        <v>48</v>
      </c>
      <c r="R419" s="86">
        <v>7845172745</v>
      </c>
      <c r="S419" s="88" t="s">
        <v>2355</v>
      </c>
      <c r="T419" s="94"/>
      <c r="U419" s="140"/>
      <c r="V419" s="140"/>
      <c r="W419" s="140"/>
      <c r="X419" s="140"/>
      <c r="Y419" s="141"/>
      <c r="Z419" s="131"/>
      <c r="AA419" s="131"/>
      <c r="AB419" s="131"/>
      <c r="AC419" s="131"/>
      <c r="AD419" s="127"/>
      <c r="AF419" s="121"/>
      <c r="AG419" s="121"/>
      <c r="AH419" s="121"/>
      <c r="AI419" s="121"/>
      <c r="AJ419" s="121"/>
      <c r="AK419" s="121"/>
      <c r="AL419" s="121"/>
      <c r="AM419" s="121">
        <f>COUNTA('All Details for ACID Pastor'!$W419:$AB419)</f>
        <v>0</v>
      </c>
      <c r="AN419" s="121"/>
      <c r="AO419" s="121"/>
      <c r="AP419" s="121"/>
      <c r="AQ419" s="121"/>
      <c r="AR419" s="121"/>
      <c r="AS419" s="121"/>
      <c r="AT419" s="121"/>
      <c r="AU419" s="121"/>
      <c r="AV419" s="121"/>
      <c r="AW419" s="163"/>
      <c r="AX419" s="163"/>
      <c r="AZ419" s="121" t="s">
        <v>139</v>
      </c>
      <c r="BA419" s="163"/>
      <c r="BB419" s="163"/>
      <c r="BC419" s="163"/>
      <c r="BF419" s="163">
        <f>COUNTA('All Details for ACID Pastor'!$T419:$AB419)</f>
        <v>0</v>
      </c>
    </row>
    <row r="420" spans="1:74" ht="70.150000000000006" customHeight="1">
      <c r="A420" s="107">
        <v>417</v>
      </c>
      <c r="B420" s="124" t="s">
        <v>2488</v>
      </c>
      <c r="C420" s="90" t="s">
        <v>2489</v>
      </c>
      <c r="D420" s="95" t="s">
        <v>53</v>
      </c>
      <c r="E420" s="95" t="s">
        <v>54</v>
      </c>
      <c r="F420" s="95"/>
      <c r="G420" s="95"/>
      <c r="H420" s="95"/>
      <c r="I420" s="95"/>
      <c r="J420" s="115" t="s">
        <v>2490</v>
      </c>
      <c r="K420" s="193" t="s">
        <v>2491</v>
      </c>
      <c r="L420" s="121"/>
      <c r="M420" s="172" t="s">
        <v>2492</v>
      </c>
      <c r="N420" s="93" t="s">
        <v>2493</v>
      </c>
      <c r="O420" s="92" t="s">
        <v>2494</v>
      </c>
      <c r="P420" s="88" t="s">
        <v>1855</v>
      </c>
      <c r="Q420" s="88" t="s">
        <v>517</v>
      </c>
      <c r="R420" s="86">
        <v>9747149115</v>
      </c>
      <c r="S420" s="88" t="s">
        <v>2355</v>
      </c>
      <c r="T420" s="94"/>
      <c r="U420" s="140"/>
      <c r="V420" s="140"/>
      <c r="W420" s="140"/>
      <c r="X420" s="140"/>
      <c r="Y420" s="141"/>
      <c r="Z420" s="131"/>
      <c r="AA420" s="131"/>
      <c r="AB420" s="131"/>
      <c r="AC420" s="131"/>
      <c r="AD420" s="127"/>
      <c r="AF420" s="121"/>
      <c r="AG420" s="121"/>
      <c r="AH420" s="121"/>
      <c r="AI420" s="121"/>
      <c r="AJ420" s="121"/>
      <c r="AK420" s="121"/>
      <c r="AL420" s="121"/>
      <c r="AM420" s="121">
        <f>COUNTA('All Details for ACID Pastor'!$W420:$AB420)</f>
        <v>0</v>
      </c>
      <c r="AN420" s="121"/>
      <c r="AO420" s="121"/>
      <c r="AP420" s="121"/>
      <c r="AQ420" s="121"/>
      <c r="AR420" s="121"/>
      <c r="AS420" s="121"/>
      <c r="AT420" s="121"/>
      <c r="AU420" s="121"/>
      <c r="AV420" s="121"/>
      <c r="AW420" s="163"/>
      <c r="AX420" s="163"/>
      <c r="AZ420" s="121" t="s">
        <v>139</v>
      </c>
      <c r="BA420" s="163"/>
      <c r="BB420" s="163"/>
      <c r="BC420" s="163"/>
      <c r="BF420" s="163">
        <f>COUNTA('All Details for ACID Pastor'!$T420:$AB420)</f>
        <v>0</v>
      </c>
    </row>
    <row r="421" spans="1:74" ht="70.150000000000006" customHeight="1">
      <c r="A421" s="107">
        <v>418</v>
      </c>
      <c r="B421" s="124" t="s">
        <v>2495</v>
      </c>
      <c r="C421" s="90" t="s">
        <v>2496</v>
      </c>
      <c r="D421" s="95" t="s">
        <v>53</v>
      </c>
      <c r="E421" s="95" t="s">
        <v>68</v>
      </c>
      <c r="F421" s="95"/>
      <c r="G421" s="95"/>
      <c r="H421" s="95"/>
      <c r="I421" s="95"/>
      <c r="J421" s="115" t="s">
        <v>2490</v>
      </c>
      <c r="K421" s="193" t="s">
        <v>2497</v>
      </c>
      <c r="L421" s="121"/>
      <c r="M421" s="172"/>
      <c r="N421" s="93" t="s">
        <v>2498</v>
      </c>
      <c r="O421" s="92" t="s">
        <v>2499</v>
      </c>
      <c r="P421" s="88" t="s">
        <v>1855</v>
      </c>
      <c r="Q421" s="88" t="s">
        <v>517</v>
      </c>
      <c r="R421" s="86">
        <v>9387830432</v>
      </c>
      <c r="S421" s="88" t="s">
        <v>2355</v>
      </c>
      <c r="T421" s="94"/>
      <c r="U421" s="140"/>
      <c r="V421" s="140"/>
      <c r="W421" s="140"/>
      <c r="X421" s="140"/>
      <c r="Y421" s="141"/>
      <c r="Z421" s="131"/>
      <c r="AA421" s="131"/>
      <c r="AB421" s="131"/>
      <c r="AC421" s="131"/>
      <c r="AD421" s="127"/>
      <c r="AF421" s="121"/>
      <c r="AG421" s="121"/>
      <c r="AH421" s="121"/>
      <c r="AI421" s="121"/>
      <c r="AJ421" s="121"/>
      <c r="AK421" s="121"/>
      <c r="AL421" s="121"/>
      <c r="AM421" s="121">
        <f>COUNTA('All Details for ACID Pastor'!$W421:$AB421)</f>
        <v>0</v>
      </c>
      <c r="AN421" s="121"/>
      <c r="AO421" s="121"/>
      <c r="AP421" s="121"/>
      <c r="AQ421" s="121"/>
      <c r="AR421" s="121"/>
      <c r="AS421" s="121"/>
      <c r="AT421" s="121"/>
      <c r="AU421" s="121"/>
      <c r="AV421" s="121"/>
      <c r="AW421" s="163"/>
      <c r="AX421" s="163"/>
      <c r="AZ421" s="121" t="s">
        <v>139</v>
      </c>
      <c r="BA421" s="163"/>
      <c r="BB421" s="163"/>
      <c r="BC421" s="163"/>
      <c r="BF421" s="163">
        <f>COUNTA('All Details for ACID Pastor'!$T421:$AB421)</f>
        <v>0</v>
      </c>
    </row>
    <row r="422" spans="1:74" ht="70.150000000000006" customHeight="1">
      <c r="A422" s="107">
        <v>419</v>
      </c>
      <c r="B422" s="124" t="s">
        <v>2500</v>
      </c>
      <c r="C422" s="90" t="s">
        <v>2501</v>
      </c>
      <c r="D422" s="95" t="s">
        <v>53</v>
      </c>
      <c r="E422" s="95" t="s">
        <v>54</v>
      </c>
      <c r="F422" s="95"/>
      <c r="G422" s="95"/>
      <c r="H422" s="95"/>
      <c r="I422" s="95"/>
      <c r="J422" s="115" t="s">
        <v>2490</v>
      </c>
      <c r="K422" s="193" t="s">
        <v>2502</v>
      </c>
      <c r="L422" s="121"/>
      <c r="M422" s="172"/>
      <c r="N422" s="93" t="s">
        <v>2503</v>
      </c>
      <c r="O422" s="92" t="s">
        <v>2504</v>
      </c>
      <c r="P422" s="88" t="s">
        <v>1855</v>
      </c>
      <c r="Q422" s="88" t="s">
        <v>517</v>
      </c>
      <c r="R422" s="86">
        <v>9539816290</v>
      </c>
      <c r="S422" s="88" t="s">
        <v>2355</v>
      </c>
      <c r="T422" s="94"/>
      <c r="U422" s="140"/>
      <c r="V422" s="140"/>
      <c r="W422" s="140"/>
      <c r="X422" s="140"/>
      <c r="Y422" s="141"/>
      <c r="Z422" s="131"/>
      <c r="AA422" s="131"/>
      <c r="AB422" s="131"/>
      <c r="AC422" s="131"/>
      <c r="AD422" s="127"/>
      <c r="AF422" s="121"/>
      <c r="AG422" s="121"/>
      <c r="AH422" s="121"/>
      <c r="AI422" s="121"/>
      <c r="AJ422" s="121"/>
      <c r="AK422" s="121"/>
      <c r="AL422" s="121"/>
      <c r="AM422" s="121">
        <f>COUNTA('All Details for ACID Pastor'!$W422:$AB422)</f>
        <v>0</v>
      </c>
      <c r="AN422" s="121"/>
      <c r="AO422" s="121"/>
      <c r="AP422" s="121"/>
      <c r="AQ422" s="121"/>
      <c r="AR422" s="121"/>
      <c r="AS422" s="121"/>
      <c r="AT422" s="121"/>
      <c r="AU422" s="121"/>
      <c r="AV422" s="121"/>
      <c r="AW422" s="163"/>
      <c r="AX422" s="163"/>
      <c r="AZ422" s="121" t="s">
        <v>139</v>
      </c>
      <c r="BA422" s="163"/>
      <c r="BB422" s="163"/>
      <c r="BC422" s="163"/>
      <c r="BF422" s="163">
        <f>COUNTA('All Details for ACID Pastor'!$T422:$AB422)</f>
        <v>0</v>
      </c>
    </row>
    <row r="423" spans="1:74" ht="70.150000000000006" customHeight="1">
      <c r="A423" s="107">
        <v>420</v>
      </c>
      <c r="B423" s="124" t="s">
        <v>2505</v>
      </c>
      <c r="C423" s="90" t="s">
        <v>2506</v>
      </c>
      <c r="D423" s="95" t="s">
        <v>53</v>
      </c>
      <c r="E423" s="95" t="s">
        <v>54</v>
      </c>
      <c r="F423" s="95"/>
      <c r="G423" s="95"/>
      <c r="H423" s="95"/>
      <c r="I423" s="95"/>
      <c r="J423" s="115" t="s">
        <v>2490</v>
      </c>
      <c r="K423" s="193" t="s">
        <v>2507</v>
      </c>
      <c r="L423" s="121"/>
      <c r="M423" s="172"/>
      <c r="N423" s="93" t="s">
        <v>2508</v>
      </c>
      <c r="O423" s="92" t="s">
        <v>2509</v>
      </c>
      <c r="P423" s="88" t="s">
        <v>1855</v>
      </c>
      <c r="Q423" s="88" t="s">
        <v>517</v>
      </c>
      <c r="R423" s="86">
        <v>7402028281</v>
      </c>
      <c r="S423" s="88" t="s">
        <v>2355</v>
      </c>
      <c r="T423" s="94"/>
      <c r="U423" s="140"/>
      <c r="V423" s="140"/>
      <c r="W423" s="140"/>
      <c r="X423" s="140"/>
      <c r="Y423" s="141"/>
      <c r="Z423" s="131"/>
      <c r="AA423" s="131"/>
      <c r="AB423" s="131"/>
      <c r="AC423" s="131"/>
      <c r="AD423" s="127"/>
      <c r="AF423" s="121"/>
      <c r="AG423" s="121"/>
      <c r="AH423" s="121"/>
      <c r="AI423" s="121"/>
      <c r="AJ423" s="121"/>
      <c r="AK423" s="121"/>
      <c r="AL423" s="121"/>
      <c r="AM423" s="121">
        <f>COUNTA('All Details for ACID Pastor'!$W423:$AB423)</f>
        <v>0</v>
      </c>
      <c r="AN423" s="121"/>
      <c r="AO423" s="121"/>
      <c r="AP423" s="121"/>
      <c r="AQ423" s="121"/>
      <c r="AR423" s="121"/>
      <c r="AS423" s="121"/>
      <c r="AT423" s="121"/>
      <c r="AU423" s="121"/>
      <c r="AV423" s="121"/>
      <c r="AW423" s="163"/>
      <c r="AX423" s="163"/>
      <c r="AZ423" s="121" t="s">
        <v>139</v>
      </c>
      <c r="BA423" s="163"/>
      <c r="BB423" s="163"/>
      <c r="BC423" s="163"/>
      <c r="BF423" s="163">
        <f>COUNTA('All Details for ACID Pastor'!$T423:$AB423)</f>
        <v>0</v>
      </c>
    </row>
    <row r="424" spans="1:74" ht="70.150000000000006" customHeight="1">
      <c r="A424" s="107">
        <v>421</v>
      </c>
      <c r="B424" s="124" t="s">
        <v>2510</v>
      </c>
      <c r="C424" s="90" t="s">
        <v>2511</v>
      </c>
      <c r="D424" s="95" t="s">
        <v>53</v>
      </c>
      <c r="E424" s="95" t="s">
        <v>142</v>
      </c>
      <c r="F424" s="95"/>
      <c r="G424" s="95"/>
      <c r="H424" s="95"/>
      <c r="I424" s="95"/>
      <c r="J424" s="115" t="s">
        <v>2490</v>
      </c>
      <c r="K424" s="193" t="s">
        <v>2512</v>
      </c>
      <c r="L424" s="121"/>
      <c r="M424" s="172"/>
      <c r="N424" s="93" t="s">
        <v>2513</v>
      </c>
      <c r="O424" s="92" t="s">
        <v>2514</v>
      </c>
      <c r="P424" s="88" t="s">
        <v>1855</v>
      </c>
      <c r="Q424" s="88" t="s">
        <v>517</v>
      </c>
      <c r="R424" s="86">
        <v>9526187327</v>
      </c>
      <c r="S424" s="88" t="s">
        <v>2355</v>
      </c>
      <c r="T424" s="94"/>
      <c r="U424" s="140"/>
      <c r="V424" s="140"/>
      <c r="W424" s="140"/>
      <c r="X424" s="140"/>
      <c r="Y424" s="141"/>
      <c r="Z424" s="131"/>
      <c r="AA424" s="131"/>
      <c r="AB424" s="131"/>
      <c r="AC424" s="131"/>
      <c r="AD424" s="127"/>
      <c r="AF424" s="121"/>
      <c r="AG424" s="121"/>
      <c r="AH424" s="121"/>
      <c r="AI424" s="121"/>
      <c r="AJ424" s="121"/>
      <c r="AK424" s="121"/>
      <c r="AL424" s="121"/>
      <c r="AM424" s="121">
        <f>COUNTA('All Details for ACID Pastor'!$W424:$AB424)</f>
        <v>0</v>
      </c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63"/>
      <c r="AX424" s="163"/>
      <c r="AZ424" s="121" t="s">
        <v>139</v>
      </c>
      <c r="BA424" s="163"/>
      <c r="BB424" s="163"/>
      <c r="BC424" s="163"/>
      <c r="BF424" s="163">
        <f>COUNTA('All Details for ACID Pastor'!$T424:$AB424)</f>
        <v>0</v>
      </c>
    </row>
    <row r="425" spans="1:74" ht="70.150000000000006" customHeight="1">
      <c r="A425" s="107">
        <v>422</v>
      </c>
      <c r="B425" s="124" t="s">
        <v>2515</v>
      </c>
      <c r="C425" s="90" t="s">
        <v>2516</v>
      </c>
      <c r="D425" s="95" t="s">
        <v>53</v>
      </c>
      <c r="E425" s="95" t="s">
        <v>54</v>
      </c>
      <c r="F425" s="95"/>
      <c r="G425" s="95"/>
      <c r="H425" s="95"/>
      <c r="I425" s="95"/>
      <c r="J425" s="115" t="s">
        <v>2490</v>
      </c>
      <c r="K425" s="193" t="s">
        <v>2517</v>
      </c>
      <c r="L425" s="155" t="s">
        <v>4209</v>
      </c>
      <c r="M425" s="172"/>
      <c r="N425" s="93" t="s">
        <v>2518</v>
      </c>
      <c r="O425" s="92" t="s">
        <v>2509</v>
      </c>
      <c r="P425" s="88" t="s">
        <v>1855</v>
      </c>
      <c r="Q425" s="88" t="s">
        <v>517</v>
      </c>
      <c r="R425" s="86">
        <v>9446970730</v>
      </c>
      <c r="S425" s="88" t="s">
        <v>2355</v>
      </c>
      <c r="T425" s="94"/>
      <c r="U425" s="140"/>
      <c r="V425" s="140"/>
      <c r="W425" s="140"/>
      <c r="X425" s="140"/>
      <c r="Y425" s="141"/>
      <c r="Z425" s="131"/>
      <c r="AA425" s="131"/>
      <c r="AB425" s="131"/>
      <c r="AC425" s="131"/>
      <c r="AD425" s="127"/>
      <c r="AF425" s="121"/>
      <c r="AG425" s="121"/>
      <c r="AH425" s="121"/>
      <c r="AI425" s="121"/>
      <c r="AJ425" s="121"/>
      <c r="AK425" s="121"/>
      <c r="AL425" s="121"/>
      <c r="AM425" s="121">
        <f>COUNTA('All Details for ACID Pastor'!$W425:$AB425)</f>
        <v>0</v>
      </c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63"/>
      <c r="AX425" s="163"/>
      <c r="AZ425" s="121" t="s">
        <v>139</v>
      </c>
      <c r="BA425" s="163"/>
      <c r="BB425" s="163"/>
      <c r="BC425" s="163"/>
      <c r="BF425" s="163">
        <f>COUNTA('All Details for ACID Pastor'!$T425:$AB425)</f>
        <v>0</v>
      </c>
    </row>
    <row r="426" spans="1:74" ht="70.150000000000006" customHeight="1">
      <c r="A426" s="107">
        <v>423</v>
      </c>
      <c r="B426" s="124" t="s">
        <v>2519</v>
      </c>
      <c r="C426" s="90" t="s">
        <v>2520</v>
      </c>
      <c r="D426" s="95" t="s">
        <v>53</v>
      </c>
      <c r="E426" s="95" t="s">
        <v>54</v>
      </c>
      <c r="F426" s="95"/>
      <c r="G426" s="95"/>
      <c r="H426" s="95"/>
      <c r="I426" s="95"/>
      <c r="J426" s="115" t="s">
        <v>2490</v>
      </c>
      <c r="K426" s="193" t="s">
        <v>948</v>
      </c>
      <c r="L426" s="155" t="s">
        <v>4209</v>
      </c>
      <c r="M426" s="172" t="s">
        <v>2521</v>
      </c>
      <c r="N426" s="93" t="s">
        <v>2522</v>
      </c>
      <c r="O426" s="92" t="s">
        <v>2509</v>
      </c>
      <c r="P426" s="88" t="s">
        <v>1855</v>
      </c>
      <c r="Q426" s="88" t="s">
        <v>517</v>
      </c>
      <c r="R426" s="86">
        <v>9961990962</v>
      </c>
      <c r="S426" s="88" t="s">
        <v>2355</v>
      </c>
      <c r="T426" s="94"/>
      <c r="U426" s="140"/>
      <c r="V426" s="140"/>
      <c r="W426" s="140"/>
      <c r="X426" s="140"/>
      <c r="Y426" s="141"/>
      <c r="Z426" s="131"/>
      <c r="AA426" s="131"/>
      <c r="AB426" s="131"/>
      <c r="AC426" s="131"/>
      <c r="AD426" s="127"/>
      <c r="AF426" s="121"/>
      <c r="AG426" s="121"/>
      <c r="AH426" s="121"/>
      <c r="AI426" s="121"/>
      <c r="AJ426" s="121"/>
      <c r="AK426" s="121"/>
      <c r="AL426" s="121"/>
      <c r="AM426" s="121">
        <f>COUNTA('All Details for ACID Pastor'!$W426:$AB426)</f>
        <v>0</v>
      </c>
      <c r="AN426" s="121"/>
      <c r="AO426" s="121"/>
      <c r="AP426" s="121"/>
      <c r="AQ426" s="121"/>
      <c r="AR426" s="121"/>
      <c r="AS426" s="121"/>
      <c r="AT426" s="121"/>
      <c r="AU426" s="121"/>
      <c r="AV426" s="121"/>
      <c r="AW426" s="163"/>
      <c r="AX426" s="163"/>
      <c r="AZ426" s="121" t="s">
        <v>139</v>
      </c>
      <c r="BA426" s="163"/>
      <c r="BB426" s="163"/>
      <c r="BC426" s="163"/>
      <c r="BF426" s="163">
        <f>COUNTA('All Details for ACID Pastor'!$T426:$AB426)</f>
        <v>0</v>
      </c>
    </row>
    <row r="427" spans="1:74" ht="70.150000000000006" customHeight="1">
      <c r="A427" s="107">
        <v>424</v>
      </c>
      <c r="B427" s="124" t="s">
        <v>2523</v>
      </c>
      <c r="C427" s="90" t="s">
        <v>2524</v>
      </c>
      <c r="D427" s="95" t="s">
        <v>53</v>
      </c>
      <c r="E427" s="95" t="s">
        <v>54</v>
      </c>
      <c r="F427" s="95"/>
      <c r="G427" s="95"/>
      <c r="H427" s="95"/>
      <c r="I427" s="95"/>
      <c r="J427" s="115" t="s">
        <v>2490</v>
      </c>
      <c r="K427" s="193" t="s">
        <v>2525</v>
      </c>
      <c r="L427" s="155" t="s">
        <v>4209</v>
      </c>
      <c r="M427" s="172"/>
      <c r="N427" s="93" t="s">
        <v>2526</v>
      </c>
      <c r="O427" s="92" t="s">
        <v>2527</v>
      </c>
      <c r="P427" s="88" t="s">
        <v>1855</v>
      </c>
      <c r="Q427" s="88" t="s">
        <v>517</v>
      </c>
      <c r="R427" s="86">
        <v>7402028281</v>
      </c>
      <c r="S427" s="88" t="s">
        <v>2355</v>
      </c>
      <c r="T427" s="94"/>
      <c r="U427" s="140"/>
      <c r="V427" s="140"/>
      <c r="W427" s="140"/>
      <c r="X427" s="140"/>
      <c r="Y427" s="141"/>
      <c r="Z427" s="131"/>
      <c r="AA427" s="131"/>
      <c r="AB427" s="131"/>
      <c r="AC427" s="131"/>
      <c r="AD427" s="127"/>
      <c r="AF427" s="121"/>
      <c r="AG427" s="121"/>
      <c r="AH427" s="121"/>
      <c r="AI427" s="121"/>
      <c r="AJ427" s="121"/>
      <c r="AK427" s="121"/>
      <c r="AL427" s="121"/>
      <c r="AM427" s="121">
        <f>COUNTA('All Details for ACID Pastor'!$W427:$AB427)</f>
        <v>0</v>
      </c>
      <c r="AN427" s="121"/>
      <c r="AO427" s="121"/>
      <c r="AP427" s="121"/>
      <c r="AQ427" s="121"/>
      <c r="AR427" s="121"/>
      <c r="AS427" s="121"/>
      <c r="AT427" s="121"/>
      <c r="AU427" s="121"/>
      <c r="AV427" s="121"/>
      <c r="AW427" s="163"/>
      <c r="AX427" s="163"/>
      <c r="AZ427" s="121" t="s">
        <v>139</v>
      </c>
      <c r="BA427" s="163"/>
      <c r="BB427" s="163"/>
      <c r="BC427" s="163"/>
      <c r="BF427" s="163">
        <f>COUNTA('All Details for ACID Pastor'!$T427:$AB427)</f>
        <v>0</v>
      </c>
    </row>
    <row r="428" spans="1:74" ht="70.150000000000006" customHeight="1">
      <c r="A428" s="107">
        <v>425</v>
      </c>
      <c r="B428" s="124" t="s">
        <v>2528</v>
      </c>
      <c r="C428" s="90" t="s">
        <v>2529</v>
      </c>
      <c r="D428" s="95" t="s">
        <v>53</v>
      </c>
      <c r="E428" s="95" t="s">
        <v>54</v>
      </c>
      <c r="F428" s="95"/>
      <c r="G428" s="95"/>
      <c r="H428" s="95"/>
      <c r="I428" s="95"/>
      <c r="J428" s="115" t="s">
        <v>2490</v>
      </c>
      <c r="K428" s="193" t="s">
        <v>2530</v>
      </c>
      <c r="L428" s="155" t="s">
        <v>4209</v>
      </c>
      <c r="M428" s="172" t="s">
        <v>1852</v>
      </c>
      <c r="N428" s="93" t="s">
        <v>2531</v>
      </c>
      <c r="O428" s="92" t="s">
        <v>2532</v>
      </c>
      <c r="P428" s="88" t="s">
        <v>166</v>
      </c>
      <c r="Q428" s="88" t="s">
        <v>48</v>
      </c>
      <c r="R428" s="86">
        <v>7402028281</v>
      </c>
      <c r="S428" s="88" t="s">
        <v>2355</v>
      </c>
      <c r="T428" s="94"/>
      <c r="U428" s="140"/>
      <c r="V428" s="140"/>
      <c r="W428" s="140"/>
      <c r="X428" s="140"/>
      <c r="Y428" s="141"/>
      <c r="Z428" s="131"/>
      <c r="AA428" s="131"/>
      <c r="AB428" s="131"/>
      <c r="AC428" s="131"/>
      <c r="AD428" s="127"/>
      <c r="AF428" s="121"/>
      <c r="AG428" s="121"/>
      <c r="AH428" s="121"/>
      <c r="AI428" s="121"/>
      <c r="AJ428" s="121"/>
      <c r="AK428" s="121"/>
      <c r="AL428" s="121"/>
      <c r="AM428" s="121">
        <f>COUNTA('All Details for ACID Pastor'!$W428:$AB428)</f>
        <v>0</v>
      </c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63"/>
      <c r="AX428" s="163"/>
      <c r="AZ428" s="121" t="s">
        <v>139</v>
      </c>
      <c r="BA428" s="163"/>
      <c r="BB428" s="163"/>
      <c r="BC428" s="163"/>
      <c r="BF428" s="163">
        <f>COUNTA('All Details for ACID Pastor'!$T428:$AB428)</f>
        <v>0</v>
      </c>
    </row>
    <row r="429" spans="1:74" ht="70.150000000000006" customHeight="1">
      <c r="A429" s="107"/>
      <c r="B429" s="124" t="s">
        <v>2533</v>
      </c>
      <c r="C429" s="90" t="s">
        <v>2534</v>
      </c>
      <c r="D429" s="95" t="s">
        <v>53</v>
      </c>
      <c r="E429" s="95" t="s">
        <v>54</v>
      </c>
      <c r="F429" s="95"/>
      <c r="G429" s="95"/>
      <c r="H429" s="95"/>
      <c r="I429" s="95"/>
      <c r="J429" s="115" t="s">
        <v>2535</v>
      </c>
      <c r="K429" s="193" t="s">
        <v>2536</v>
      </c>
      <c r="L429" s="155" t="s">
        <v>4209</v>
      </c>
      <c r="M429" s="172" t="s">
        <v>2537</v>
      </c>
      <c r="N429" s="93" t="s">
        <v>2538</v>
      </c>
      <c r="O429" s="92" t="s">
        <v>2539</v>
      </c>
      <c r="P429" s="88" t="s">
        <v>2540</v>
      </c>
      <c r="Q429" s="88" t="s">
        <v>517</v>
      </c>
      <c r="R429" s="86">
        <v>9744115403</v>
      </c>
      <c r="S429" s="88"/>
      <c r="T429" s="94"/>
      <c r="U429" s="140"/>
      <c r="V429" s="140"/>
      <c r="W429" s="140"/>
      <c r="X429" s="140"/>
      <c r="Y429" s="141"/>
      <c r="Z429" s="131"/>
      <c r="AA429" s="131"/>
      <c r="AB429" s="147"/>
      <c r="AC429" s="141"/>
      <c r="AD429" s="14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>
        <f>COUNTA('All Details for ACID Pastor'!$AA429:$AB429)</f>
        <v>0</v>
      </c>
      <c r="AU429" s="121">
        <f>COUNTA('All Details for ACID Pastor'!$AA429:$AB429)</f>
        <v>0</v>
      </c>
      <c r="AV429" s="121"/>
      <c r="AW429" s="163"/>
      <c r="AX429" s="163"/>
      <c r="AZ429" s="121"/>
      <c r="BA429" s="163"/>
      <c r="BB429" s="163"/>
      <c r="BC429" s="163"/>
      <c r="BF429" s="163">
        <f>COUNTA('All Details for ACID Pastor'!$T429:$AB429)</f>
        <v>0</v>
      </c>
    </row>
    <row r="430" spans="1:74" ht="70.150000000000006" customHeight="1">
      <c r="A430" s="107">
        <v>426</v>
      </c>
      <c r="B430" s="124" t="s">
        <v>2541</v>
      </c>
      <c r="C430" s="90" t="s">
        <v>2542</v>
      </c>
      <c r="D430" s="95" t="s">
        <v>53</v>
      </c>
      <c r="E430" s="95" t="s">
        <v>54</v>
      </c>
      <c r="F430" s="95"/>
      <c r="G430" s="95"/>
      <c r="H430" s="95"/>
      <c r="I430" s="95"/>
      <c r="J430" s="115" t="s">
        <v>2322</v>
      </c>
      <c r="K430" s="193" t="s">
        <v>2543</v>
      </c>
      <c r="L430" s="155" t="s">
        <v>4209</v>
      </c>
      <c r="M430" s="172"/>
      <c r="N430" s="93" t="s">
        <v>2544</v>
      </c>
      <c r="O430" s="92" t="s">
        <v>2545</v>
      </c>
      <c r="P430" s="88" t="s">
        <v>1002</v>
      </c>
      <c r="Q430" s="88" t="s">
        <v>48</v>
      </c>
      <c r="R430" s="86">
        <v>9442306702</v>
      </c>
      <c r="S430" s="88" t="s">
        <v>2355</v>
      </c>
      <c r="T430" s="94"/>
      <c r="U430" s="140"/>
      <c r="V430" s="140"/>
      <c r="W430" s="125" t="s">
        <v>184</v>
      </c>
      <c r="X430" s="125" t="s">
        <v>184</v>
      </c>
      <c r="Y430" s="141"/>
      <c r="Z430" s="131"/>
      <c r="AA430" s="131"/>
      <c r="AB430" s="131"/>
      <c r="AC430" s="131"/>
      <c r="AD430" s="127"/>
      <c r="AF430" s="121"/>
      <c r="AG430" s="121"/>
      <c r="AH430" s="121"/>
      <c r="AI430" s="121"/>
      <c r="AJ430" s="121"/>
      <c r="AK430" s="121"/>
      <c r="AL430" s="121"/>
      <c r="AM430" s="121">
        <f>COUNTA('All Details for ACID Pastor'!$W430:$AB430)</f>
        <v>2</v>
      </c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63"/>
      <c r="AX430" s="163"/>
      <c r="AZ430" s="121" t="s">
        <v>139</v>
      </c>
      <c r="BA430" s="163"/>
      <c r="BB430" s="163"/>
      <c r="BC430" s="163"/>
      <c r="BF430" s="163">
        <f>COUNTA('All Details for ACID Pastor'!$T430:$AB430)</f>
        <v>2</v>
      </c>
    </row>
    <row r="431" spans="1:74" ht="70.150000000000006" customHeight="1">
      <c r="A431" s="107">
        <v>427</v>
      </c>
      <c r="B431" s="124" t="s">
        <v>2546</v>
      </c>
      <c r="C431" s="90" t="s">
        <v>2547</v>
      </c>
      <c r="D431" s="95" t="s">
        <v>53</v>
      </c>
      <c r="E431" s="95" t="s">
        <v>1975</v>
      </c>
      <c r="F431" s="95"/>
      <c r="G431" s="95"/>
      <c r="H431" s="95"/>
      <c r="I431" s="95"/>
      <c r="J431" s="115" t="s">
        <v>2322</v>
      </c>
      <c r="K431" s="193" t="s">
        <v>2548</v>
      </c>
      <c r="L431" s="155" t="s">
        <v>4209</v>
      </c>
      <c r="M431" s="172"/>
      <c r="N431" s="93" t="s">
        <v>2549</v>
      </c>
      <c r="O431" s="92" t="s">
        <v>2550</v>
      </c>
      <c r="P431" s="88" t="s">
        <v>1002</v>
      </c>
      <c r="Q431" s="88"/>
      <c r="R431" s="86"/>
      <c r="S431" s="88" t="s">
        <v>2355</v>
      </c>
      <c r="T431" s="94"/>
      <c r="U431" s="140"/>
      <c r="V431" s="140"/>
      <c r="W431" s="140"/>
      <c r="X431" s="140"/>
      <c r="Y431" s="141"/>
      <c r="Z431" s="131"/>
      <c r="AA431" s="131"/>
      <c r="AB431" s="131"/>
      <c r="AC431" s="131"/>
      <c r="AD431" s="127"/>
      <c r="AF431" s="121"/>
      <c r="AG431" s="121"/>
      <c r="AH431" s="121"/>
      <c r="AI431" s="121"/>
      <c r="AJ431" s="121"/>
      <c r="AK431" s="121"/>
      <c r="AL431" s="121"/>
      <c r="AM431" s="121">
        <f>COUNTA('All Details for ACID Pastor'!$W431:$AB431)</f>
        <v>0</v>
      </c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63"/>
      <c r="AX431" s="163"/>
      <c r="AZ431" s="121" t="s">
        <v>139</v>
      </c>
      <c r="BA431" s="163"/>
      <c r="BB431" s="163"/>
      <c r="BC431" s="163"/>
      <c r="BF431" s="163">
        <f>COUNTA('All Details for ACID Pastor'!$T431:$AB431)</f>
        <v>0</v>
      </c>
    </row>
    <row r="432" spans="1:74" ht="70.150000000000006" customHeight="1">
      <c r="A432" s="107">
        <v>428</v>
      </c>
      <c r="B432" s="124" t="s">
        <v>2551</v>
      </c>
      <c r="C432" s="90" t="s">
        <v>2552</v>
      </c>
      <c r="D432" s="95" t="s">
        <v>53</v>
      </c>
      <c r="E432" s="95" t="s">
        <v>54</v>
      </c>
      <c r="F432" s="95"/>
      <c r="G432" s="95"/>
      <c r="H432" s="95"/>
      <c r="I432" s="95"/>
      <c r="J432" s="115" t="s">
        <v>2322</v>
      </c>
      <c r="K432" s="193" t="s">
        <v>2553</v>
      </c>
      <c r="L432" s="155" t="s">
        <v>4209</v>
      </c>
      <c r="M432" s="172"/>
      <c r="N432" s="93" t="s">
        <v>2554</v>
      </c>
      <c r="O432" s="92" t="s">
        <v>2555</v>
      </c>
      <c r="P432" s="88" t="s">
        <v>1758</v>
      </c>
      <c r="Q432" s="88" t="s">
        <v>48</v>
      </c>
      <c r="R432" s="86">
        <v>9489742533</v>
      </c>
      <c r="S432" s="88" t="s">
        <v>2355</v>
      </c>
      <c r="T432" s="94"/>
      <c r="U432" s="140"/>
      <c r="V432" s="140"/>
      <c r="W432" s="125" t="s">
        <v>215</v>
      </c>
      <c r="X432" s="140"/>
      <c r="Y432" s="141"/>
      <c r="Z432" s="131"/>
      <c r="AA432" s="131"/>
      <c r="AB432" s="131"/>
      <c r="AC432" s="131"/>
      <c r="AD432" s="127"/>
      <c r="AF432" s="121"/>
      <c r="AG432" s="121"/>
      <c r="AH432" s="121"/>
      <c r="AI432" s="121"/>
      <c r="AJ432" s="121"/>
      <c r="AK432" s="121"/>
      <c r="AL432" s="121"/>
      <c r="AM432" s="121">
        <f>COUNTA('All Details for ACID Pastor'!$W432:$AB432)</f>
        <v>1</v>
      </c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63"/>
      <c r="AX432" s="163"/>
      <c r="AZ432" s="121" t="s">
        <v>139</v>
      </c>
      <c r="BA432" s="163"/>
      <c r="BB432" s="163"/>
      <c r="BC432" s="163"/>
      <c r="BF432" s="163">
        <f>COUNTA('All Details for ACID Pastor'!$T432:$AB432)</f>
        <v>1</v>
      </c>
    </row>
    <row r="433" spans="1:74" ht="70.150000000000006" customHeight="1">
      <c r="A433" s="107">
        <v>429</v>
      </c>
      <c r="B433" s="142" t="s">
        <v>2556</v>
      </c>
      <c r="C433" s="90" t="s">
        <v>2557</v>
      </c>
      <c r="D433" s="95" t="s">
        <v>53</v>
      </c>
      <c r="E433" s="95" t="s">
        <v>54</v>
      </c>
      <c r="F433" s="95"/>
      <c r="G433" s="95"/>
      <c r="H433" s="95"/>
      <c r="I433" s="95"/>
      <c r="J433" s="115" t="s">
        <v>2322</v>
      </c>
      <c r="K433" s="193" t="s">
        <v>2558</v>
      </c>
      <c r="L433" s="155" t="s">
        <v>4209</v>
      </c>
      <c r="M433" s="172"/>
      <c r="N433" s="93" t="s">
        <v>2559</v>
      </c>
      <c r="O433" s="92" t="s">
        <v>2560</v>
      </c>
      <c r="P433" s="88" t="s">
        <v>2561</v>
      </c>
      <c r="Q433" s="88" t="s">
        <v>48</v>
      </c>
      <c r="R433" s="86">
        <v>9894084449</v>
      </c>
      <c r="S433" s="88" t="s">
        <v>2355</v>
      </c>
      <c r="T433" s="94"/>
      <c r="U433" s="140"/>
      <c r="V433" s="140"/>
      <c r="W433" s="125" t="s">
        <v>215</v>
      </c>
      <c r="X433" s="125" t="s">
        <v>184</v>
      </c>
      <c r="Y433" s="126" t="s">
        <v>1005</v>
      </c>
      <c r="Z433" s="127" t="s">
        <v>1005</v>
      </c>
      <c r="AA433" s="127" t="s">
        <v>1005</v>
      </c>
      <c r="AB433" s="127" t="s">
        <v>1005</v>
      </c>
      <c r="AC433" s="127" t="s">
        <v>1005</v>
      </c>
      <c r="AD433" s="127"/>
      <c r="AF433" s="121"/>
      <c r="AG433" s="121"/>
      <c r="AH433" s="121"/>
      <c r="AI433" s="121"/>
      <c r="AJ433" s="121"/>
      <c r="AK433" s="121"/>
      <c r="AL433" s="121"/>
      <c r="AM433" s="121">
        <v>2</v>
      </c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63"/>
      <c r="AX433" s="163"/>
      <c r="AZ433" s="121" t="s">
        <v>49</v>
      </c>
      <c r="BA433" s="163"/>
      <c r="BB433" s="163"/>
      <c r="BC433" s="163"/>
      <c r="BF433" s="163">
        <v>7</v>
      </c>
    </row>
    <row r="434" spans="1:74" ht="70.150000000000006" customHeight="1">
      <c r="A434" s="107">
        <v>430</v>
      </c>
      <c r="B434" s="124" t="s">
        <v>2562</v>
      </c>
      <c r="C434" s="90" t="s">
        <v>2563</v>
      </c>
      <c r="D434" s="95" t="s">
        <v>53</v>
      </c>
      <c r="E434" s="95" t="s">
        <v>54</v>
      </c>
      <c r="F434" s="95"/>
      <c r="G434" s="95"/>
      <c r="H434" s="95"/>
      <c r="I434" s="95"/>
      <c r="J434" s="115" t="s">
        <v>2322</v>
      </c>
      <c r="K434" s="193" t="s">
        <v>2564</v>
      </c>
      <c r="L434" s="155" t="s">
        <v>4209</v>
      </c>
      <c r="M434" s="172"/>
      <c r="N434" s="93" t="s">
        <v>2565</v>
      </c>
      <c r="O434" s="92" t="s">
        <v>2566</v>
      </c>
      <c r="P434" s="88" t="s">
        <v>2561</v>
      </c>
      <c r="Q434" s="88" t="s">
        <v>48</v>
      </c>
      <c r="R434" s="86"/>
      <c r="S434" s="88" t="s">
        <v>2355</v>
      </c>
      <c r="T434" s="94"/>
      <c r="U434" s="140"/>
      <c r="V434" s="140"/>
      <c r="W434" s="125" t="s">
        <v>184</v>
      </c>
      <c r="X434" s="125" t="s">
        <v>184</v>
      </c>
      <c r="Y434" s="141"/>
      <c r="Z434" s="131"/>
      <c r="AA434" s="131"/>
      <c r="AB434" s="131"/>
      <c r="AC434" s="131"/>
      <c r="AD434" s="127"/>
      <c r="AF434" s="121"/>
      <c r="AG434" s="121"/>
      <c r="AH434" s="121"/>
      <c r="AI434" s="121"/>
      <c r="AJ434" s="121"/>
      <c r="AK434" s="121"/>
      <c r="AL434" s="121"/>
      <c r="AM434" s="121">
        <f>COUNTA('All Details for ACID Pastor'!$W434:$AB434)</f>
        <v>2</v>
      </c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63"/>
      <c r="AX434" s="163"/>
      <c r="AZ434" s="121" t="s">
        <v>139</v>
      </c>
      <c r="BA434" s="163"/>
      <c r="BB434" s="163"/>
      <c r="BC434" s="163"/>
      <c r="BF434" s="163">
        <f>COUNTA('All Details for ACID Pastor'!$T434:$AB434)</f>
        <v>2</v>
      </c>
    </row>
    <row r="435" spans="1:74" ht="70.150000000000006" customHeight="1">
      <c r="A435" s="107">
        <v>431</v>
      </c>
      <c r="B435" s="124" t="s">
        <v>2567</v>
      </c>
      <c r="C435" s="90" t="s">
        <v>2568</v>
      </c>
      <c r="D435" s="95" t="s">
        <v>53</v>
      </c>
      <c r="E435" s="95" t="s">
        <v>1975</v>
      </c>
      <c r="F435" s="95"/>
      <c r="G435" s="95"/>
      <c r="H435" s="95"/>
      <c r="I435" s="95"/>
      <c r="J435" s="115" t="s">
        <v>2569</v>
      </c>
      <c r="K435" s="193" t="s">
        <v>2570</v>
      </c>
      <c r="L435" s="155" t="s">
        <v>4209</v>
      </c>
      <c r="M435" s="172"/>
      <c r="N435" s="93" t="s">
        <v>2571</v>
      </c>
      <c r="O435" s="92" t="s">
        <v>2572</v>
      </c>
      <c r="P435" s="88" t="s">
        <v>1002</v>
      </c>
      <c r="Q435" s="88" t="s">
        <v>48</v>
      </c>
      <c r="R435" s="86">
        <v>8608186608</v>
      </c>
      <c r="S435" s="88" t="s">
        <v>2355</v>
      </c>
      <c r="T435" s="94"/>
      <c r="U435" s="140"/>
      <c r="V435" s="140"/>
      <c r="W435" s="125" t="s">
        <v>215</v>
      </c>
      <c r="X435" s="125" t="s">
        <v>184</v>
      </c>
      <c r="Y435" s="141"/>
      <c r="Z435" s="131"/>
      <c r="AA435" s="127" t="s">
        <v>1005</v>
      </c>
      <c r="AB435" s="127" t="s">
        <v>1005</v>
      </c>
      <c r="AC435" s="127" t="s">
        <v>1005</v>
      </c>
      <c r="AD435" s="127"/>
      <c r="AF435" s="121"/>
      <c r="AG435" s="121"/>
      <c r="AH435" s="121"/>
      <c r="AI435" s="121"/>
      <c r="AJ435" s="121"/>
      <c r="AK435" s="121"/>
      <c r="AL435" s="121"/>
      <c r="AM435" s="121">
        <v>2</v>
      </c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63"/>
      <c r="AX435" s="163"/>
      <c r="AZ435" s="121" t="s">
        <v>49</v>
      </c>
      <c r="BA435" s="163"/>
      <c r="BB435" s="163"/>
      <c r="BC435" s="163"/>
      <c r="BF435" s="163">
        <v>5</v>
      </c>
    </row>
    <row r="436" spans="1:74" ht="70.150000000000006" customHeight="1">
      <c r="A436" s="107">
        <v>432</v>
      </c>
      <c r="B436" s="124" t="s">
        <v>2573</v>
      </c>
      <c r="C436" s="90" t="s">
        <v>2574</v>
      </c>
      <c r="D436" s="95" t="s">
        <v>53</v>
      </c>
      <c r="E436" s="95" t="s">
        <v>54</v>
      </c>
      <c r="F436" s="95"/>
      <c r="G436" s="95"/>
      <c r="H436" s="95"/>
      <c r="I436" s="95"/>
      <c r="J436" s="115" t="s">
        <v>616</v>
      </c>
      <c r="K436" s="193" t="s">
        <v>2575</v>
      </c>
      <c r="L436" s="155" t="s">
        <v>4209</v>
      </c>
      <c r="M436" s="172"/>
      <c r="N436" s="93" t="s">
        <v>2576</v>
      </c>
      <c r="O436" s="92" t="s">
        <v>811</v>
      </c>
      <c r="P436" s="88" t="s">
        <v>94</v>
      </c>
      <c r="Q436" s="88" t="s">
        <v>48</v>
      </c>
      <c r="R436" s="86">
        <v>9444918027</v>
      </c>
      <c r="S436" s="88" t="s">
        <v>2355</v>
      </c>
      <c r="T436" s="94"/>
      <c r="U436" s="140"/>
      <c r="V436" s="140"/>
      <c r="W436" s="140"/>
      <c r="X436" s="140"/>
      <c r="Y436" s="141"/>
      <c r="Z436" s="131"/>
      <c r="AA436" s="131"/>
      <c r="AB436" s="131"/>
      <c r="AC436" s="131"/>
      <c r="AD436" s="127"/>
      <c r="AF436" s="121"/>
      <c r="AG436" s="121"/>
      <c r="AH436" s="121"/>
      <c r="AI436" s="121"/>
      <c r="AJ436" s="121"/>
      <c r="AK436" s="121"/>
      <c r="AL436" s="121"/>
      <c r="AM436" s="121">
        <f>COUNTA('All Details for ACID Pastor'!$W436:$AB436)</f>
        <v>0</v>
      </c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63"/>
      <c r="AX436" s="163"/>
      <c r="AZ436" s="121" t="s">
        <v>1967</v>
      </c>
      <c r="BA436" s="163"/>
      <c r="BB436" s="163"/>
      <c r="BC436" s="163"/>
      <c r="BF436" s="163">
        <f>COUNTA('All Details for ACID Pastor'!$T436:$AB436)</f>
        <v>0</v>
      </c>
    </row>
    <row r="437" spans="1:74" ht="70.150000000000006" customHeight="1">
      <c r="A437" s="107">
        <v>433</v>
      </c>
      <c r="B437" s="124" t="s">
        <v>2577</v>
      </c>
      <c r="C437" s="90" t="s">
        <v>2578</v>
      </c>
      <c r="D437" s="95" t="s">
        <v>53</v>
      </c>
      <c r="E437" s="95" t="s">
        <v>54</v>
      </c>
      <c r="F437" s="95"/>
      <c r="G437" s="95"/>
      <c r="H437" s="95"/>
      <c r="I437" s="95"/>
      <c r="J437" s="115" t="s">
        <v>616</v>
      </c>
      <c r="K437" s="193" t="s">
        <v>2579</v>
      </c>
      <c r="L437" s="155" t="s">
        <v>4209</v>
      </c>
      <c r="M437" s="172"/>
      <c r="N437" s="93" t="s">
        <v>2580</v>
      </c>
      <c r="O437" s="92" t="s">
        <v>540</v>
      </c>
      <c r="P437" s="88" t="s">
        <v>94</v>
      </c>
      <c r="Q437" s="88" t="s">
        <v>48</v>
      </c>
      <c r="R437" s="86">
        <v>9788751048</v>
      </c>
      <c r="S437" s="88" t="s">
        <v>2355</v>
      </c>
      <c r="T437" s="94"/>
      <c r="U437" s="140"/>
      <c r="V437" s="140"/>
      <c r="W437" s="140"/>
      <c r="X437" s="140"/>
      <c r="Y437" s="141"/>
      <c r="Z437" s="131"/>
      <c r="AA437" s="131"/>
      <c r="AB437" s="131"/>
      <c r="AC437" s="131"/>
      <c r="AD437" s="127"/>
      <c r="AE437" s="244"/>
      <c r="AF437" s="121"/>
      <c r="AG437" s="121"/>
      <c r="AH437" s="121"/>
      <c r="AI437" s="121"/>
      <c r="AJ437" s="121"/>
      <c r="AK437" s="121"/>
      <c r="AL437" s="121"/>
      <c r="AM437" s="121">
        <f>COUNTA('All Details for ACID Pastor'!$W437:$AB437)</f>
        <v>0</v>
      </c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63"/>
      <c r="AX437" s="163"/>
      <c r="AZ437" s="121" t="s">
        <v>139</v>
      </c>
      <c r="BA437" s="163"/>
      <c r="BB437" s="163"/>
      <c r="BC437" s="163"/>
      <c r="BF437" s="163">
        <f>COUNTA('All Details for ACID Pastor'!$T437:$AB437)</f>
        <v>0</v>
      </c>
    </row>
    <row r="438" spans="1:74" s="174" customFormat="1" ht="70.150000000000006" customHeight="1">
      <c r="A438" s="103">
        <v>434</v>
      </c>
      <c r="B438" s="132" t="s">
        <v>2581</v>
      </c>
      <c r="C438" s="177" t="s">
        <v>2582</v>
      </c>
      <c r="D438" s="102" t="s">
        <v>53</v>
      </c>
      <c r="E438" s="102" t="s">
        <v>54</v>
      </c>
      <c r="F438" s="95"/>
      <c r="G438" s="95"/>
      <c r="H438" s="95"/>
      <c r="I438" s="95"/>
      <c r="J438" s="133" t="s">
        <v>616</v>
      </c>
      <c r="K438" s="256" t="s">
        <v>2583</v>
      </c>
      <c r="L438" s="270" t="s">
        <v>4209</v>
      </c>
      <c r="M438" s="171"/>
      <c r="N438" s="104" t="s">
        <v>2584</v>
      </c>
      <c r="O438" s="105" t="s">
        <v>2585</v>
      </c>
      <c r="P438" s="106" t="s">
        <v>1479</v>
      </c>
      <c r="Q438" s="106" t="s">
        <v>517</v>
      </c>
      <c r="R438" s="134">
        <v>9496337492</v>
      </c>
      <c r="S438" s="106" t="s">
        <v>2355</v>
      </c>
      <c r="T438" s="135"/>
      <c r="U438" s="176"/>
      <c r="V438" s="176"/>
      <c r="W438" s="176"/>
      <c r="X438" s="176"/>
      <c r="Y438" s="145"/>
      <c r="Z438" s="136"/>
      <c r="AA438" s="136"/>
      <c r="AB438" s="136"/>
      <c r="AC438" s="136"/>
      <c r="AD438" s="222"/>
      <c r="AE438" s="240"/>
      <c r="AF438" s="232"/>
      <c r="AG438" s="232"/>
      <c r="AH438" s="232"/>
      <c r="AI438" s="232"/>
      <c r="AJ438" s="232"/>
      <c r="AK438" s="232"/>
      <c r="AL438" s="232"/>
      <c r="AM438" s="232">
        <f>COUNTA('All Details for ACID Pastor'!$W438:$AB438)</f>
        <v>0</v>
      </c>
      <c r="AN438" s="232"/>
      <c r="AO438" s="232"/>
      <c r="AP438" s="232"/>
      <c r="AQ438" s="232"/>
      <c r="AR438" s="232"/>
      <c r="AS438" s="232"/>
      <c r="AT438" s="232"/>
      <c r="AU438" s="232"/>
      <c r="AV438" s="232"/>
      <c r="AW438" s="233"/>
      <c r="AX438" s="233"/>
      <c r="AY438" s="244"/>
      <c r="AZ438" s="232" t="s">
        <v>139</v>
      </c>
      <c r="BA438" s="233"/>
      <c r="BB438" s="233"/>
      <c r="BC438" s="233"/>
      <c r="BD438" s="244"/>
      <c r="BE438" s="277"/>
      <c r="BF438" s="233">
        <f>COUNTA('All Details for ACID Pastor'!$T438:$AB438)</f>
        <v>0</v>
      </c>
      <c r="BG438" s="249"/>
      <c r="BH438" s="249"/>
      <c r="BI438" s="249"/>
      <c r="BJ438" s="249"/>
      <c r="BK438" s="249"/>
      <c r="BL438" s="249"/>
      <c r="BM438" s="249"/>
      <c r="BN438" s="249"/>
      <c r="BO438" s="249"/>
      <c r="BP438" s="249"/>
      <c r="BQ438" s="249"/>
      <c r="BR438" s="249"/>
      <c r="BS438" s="249"/>
      <c r="BT438" s="249"/>
      <c r="BU438" s="249"/>
      <c r="BV438" s="249"/>
    </row>
    <row r="439" spans="1:74" ht="70.150000000000006" customHeight="1">
      <c r="A439" s="107">
        <v>435</v>
      </c>
      <c r="B439" s="124" t="s">
        <v>2586</v>
      </c>
      <c r="C439" s="90" t="s">
        <v>2587</v>
      </c>
      <c r="D439" s="95" t="s">
        <v>53</v>
      </c>
      <c r="E439" s="95" t="s">
        <v>54</v>
      </c>
      <c r="F439" s="95"/>
      <c r="G439" s="95"/>
      <c r="H439" s="95"/>
      <c r="I439" s="95"/>
      <c r="J439" s="115" t="s">
        <v>616</v>
      </c>
      <c r="K439" s="193" t="s">
        <v>2588</v>
      </c>
      <c r="L439" s="155" t="s">
        <v>4209</v>
      </c>
      <c r="M439" s="172" t="s">
        <v>2589</v>
      </c>
      <c r="N439" s="93" t="s">
        <v>2590</v>
      </c>
      <c r="O439" s="92" t="s">
        <v>540</v>
      </c>
      <c r="P439" s="88" t="s">
        <v>94</v>
      </c>
      <c r="Q439" s="88" t="s">
        <v>48</v>
      </c>
      <c r="R439" s="86">
        <v>9092767671</v>
      </c>
      <c r="S439" s="88" t="s">
        <v>2355</v>
      </c>
      <c r="T439" s="94"/>
      <c r="U439" s="140"/>
      <c r="V439" s="140"/>
      <c r="W439" s="140"/>
      <c r="X439" s="140"/>
      <c r="Y439" s="141"/>
      <c r="Z439" s="131"/>
      <c r="AA439" s="131"/>
      <c r="AB439" s="131"/>
      <c r="AC439" s="131"/>
      <c r="AD439" s="127"/>
      <c r="AF439" s="121"/>
      <c r="AG439" s="121"/>
      <c r="AH439" s="121"/>
      <c r="AI439" s="121"/>
      <c r="AJ439" s="121"/>
      <c r="AK439" s="121"/>
      <c r="AL439" s="121"/>
      <c r="AM439" s="121">
        <f>COUNTA('All Details for ACID Pastor'!$W439:$AB439)</f>
        <v>0</v>
      </c>
      <c r="AN439" s="121"/>
      <c r="AO439" s="121"/>
      <c r="AP439" s="121"/>
      <c r="AQ439" s="121"/>
      <c r="AR439" s="121"/>
      <c r="AS439" s="121"/>
      <c r="AT439" s="121"/>
      <c r="AU439" s="121"/>
      <c r="AV439" s="121"/>
      <c r="AW439" s="163"/>
      <c r="AX439" s="163"/>
      <c r="AZ439" s="121" t="s">
        <v>2591</v>
      </c>
      <c r="BA439" s="163"/>
      <c r="BB439" s="163"/>
      <c r="BC439" s="163"/>
      <c r="BF439" s="163">
        <f>COUNTA('All Details for ACID Pastor'!$T439:$AB439)</f>
        <v>0</v>
      </c>
    </row>
    <row r="440" spans="1:74" ht="70.150000000000006" customHeight="1">
      <c r="A440" s="107">
        <v>436</v>
      </c>
      <c r="B440" s="124" t="s">
        <v>2592</v>
      </c>
      <c r="C440" s="90" t="s">
        <v>2593</v>
      </c>
      <c r="D440" s="95" t="s">
        <v>53</v>
      </c>
      <c r="E440" s="95" t="s">
        <v>54</v>
      </c>
      <c r="F440" s="95"/>
      <c r="G440" s="95"/>
      <c r="H440" s="95"/>
      <c r="I440" s="95"/>
      <c r="J440" s="115" t="s">
        <v>312</v>
      </c>
      <c r="K440" s="193" t="s">
        <v>2594</v>
      </c>
      <c r="L440" s="155" t="s">
        <v>4209</v>
      </c>
      <c r="M440" s="172"/>
      <c r="N440" s="93" t="s">
        <v>2595</v>
      </c>
      <c r="O440" s="92" t="s">
        <v>2596</v>
      </c>
      <c r="P440" s="88" t="s">
        <v>2597</v>
      </c>
      <c r="Q440" s="88" t="s">
        <v>517</v>
      </c>
      <c r="R440" s="86">
        <v>9747405327</v>
      </c>
      <c r="S440" s="88" t="s">
        <v>2355</v>
      </c>
      <c r="T440" s="94"/>
      <c r="U440" s="140"/>
      <c r="V440" s="140"/>
      <c r="W440" s="125" t="s">
        <v>524</v>
      </c>
      <c r="X440" s="125" t="s">
        <v>524</v>
      </c>
      <c r="Y440" s="141"/>
      <c r="Z440" s="131"/>
      <c r="AA440" s="131"/>
      <c r="AB440" s="131"/>
      <c r="AC440" s="131"/>
      <c r="AD440" s="127"/>
      <c r="AF440" s="121"/>
      <c r="AG440" s="121"/>
      <c r="AH440" s="121"/>
      <c r="AI440" s="121"/>
      <c r="AJ440" s="121"/>
      <c r="AK440" s="121"/>
      <c r="AL440" s="121"/>
      <c r="AM440" s="121">
        <f>COUNTA('All Details for ACID Pastor'!$W440:$AB440)</f>
        <v>2</v>
      </c>
      <c r="AN440" s="121"/>
      <c r="AO440" s="121"/>
      <c r="AP440" s="121"/>
      <c r="AQ440" s="121"/>
      <c r="AR440" s="121"/>
      <c r="AS440" s="121"/>
      <c r="AT440" s="121"/>
      <c r="AU440" s="121"/>
      <c r="AV440" s="121"/>
      <c r="AW440" s="163"/>
      <c r="AX440" s="163"/>
      <c r="AZ440" s="121" t="s">
        <v>139</v>
      </c>
      <c r="BA440" s="163"/>
      <c r="BB440" s="163"/>
      <c r="BC440" s="163"/>
      <c r="BF440" s="163">
        <f>COUNTA('All Details for ACID Pastor'!$T440:$AB440)</f>
        <v>2</v>
      </c>
    </row>
    <row r="441" spans="1:74" ht="70.150000000000006" customHeight="1">
      <c r="A441" s="107">
        <v>437</v>
      </c>
      <c r="B441" s="124" t="s">
        <v>2598</v>
      </c>
      <c r="C441" s="90" t="s">
        <v>2599</v>
      </c>
      <c r="D441" s="91" t="s">
        <v>4208</v>
      </c>
      <c r="E441" s="95" t="s">
        <v>54</v>
      </c>
      <c r="F441" s="95"/>
      <c r="G441" s="95"/>
      <c r="H441" s="95"/>
      <c r="I441" s="95"/>
      <c r="J441" s="115" t="s">
        <v>1140</v>
      </c>
      <c r="K441" s="193" t="s">
        <v>2600</v>
      </c>
      <c r="L441" s="155" t="s">
        <v>4209</v>
      </c>
      <c r="M441" s="172" t="s">
        <v>2601</v>
      </c>
      <c r="N441" s="93" t="s">
        <v>2602</v>
      </c>
      <c r="O441" s="92" t="s">
        <v>2603</v>
      </c>
      <c r="P441" s="88" t="s">
        <v>1102</v>
      </c>
      <c r="Q441" s="88" t="s">
        <v>48</v>
      </c>
      <c r="R441" s="86">
        <v>9842416106</v>
      </c>
      <c r="S441" s="88" t="s">
        <v>2355</v>
      </c>
      <c r="T441" s="94"/>
      <c r="U441" s="140"/>
      <c r="V441" s="140"/>
      <c r="W441" s="125" t="s">
        <v>215</v>
      </c>
      <c r="X441" s="125" t="s">
        <v>184</v>
      </c>
      <c r="Y441" s="126" t="s">
        <v>110</v>
      </c>
      <c r="Z441" s="131"/>
      <c r="AA441" s="131"/>
      <c r="AB441" s="131"/>
      <c r="AC441" s="131"/>
      <c r="AD441" s="127"/>
      <c r="AE441" s="244"/>
      <c r="AF441" s="121"/>
      <c r="AG441" s="121"/>
      <c r="AH441" s="121"/>
      <c r="AI441" s="121"/>
      <c r="AJ441" s="121"/>
      <c r="AK441" s="121"/>
      <c r="AL441" s="121"/>
      <c r="AM441" s="121">
        <f>COUNTA('All Details for ACID Pastor'!$W441:$AB441)</f>
        <v>3</v>
      </c>
      <c r="AN441" s="121"/>
      <c r="AO441" s="121"/>
      <c r="AP441" s="121"/>
      <c r="AQ441" s="121"/>
      <c r="AR441" s="121"/>
      <c r="AS441" s="121"/>
      <c r="AT441" s="121"/>
      <c r="AU441" s="121"/>
      <c r="AV441" s="121"/>
      <c r="AW441" s="163"/>
      <c r="AX441" s="163"/>
      <c r="AZ441" s="121" t="s">
        <v>49</v>
      </c>
      <c r="BA441" s="163"/>
      <c r="BB441" s="163"/>
      <c r="BC441" s="163"/>
      <c r="BF441" s="163">
        <f>COUNTA('All Details for ACID Pastor'!$T441:$AB441)</f>
        <v>3</v>
      </c>
    </row>
    <row r="442" spans="1:74" s="174" customFormat="1" ht="70.150000000000006" customHeight="1">
      <c r="A442" s="103">
        <v>438</v>
      </c>
      <c r="B442" s="132" t="s">
        <v>2604</v>
      </c>
      <c r="C442" s="101" t="s">
        <v>2605</v>
      </c>
      <c r="D442" s="102" t="s">
        <v>53</v>
      </c>
      <c r="E442" s="102" t="s">
        <v>68</v>
      </c>
      <c r="F442" s="95"/>
      <c r="G442" s="95"/>
      <c r="H442" s="95"/>
      <c r="I442" s="95"/>
      <c r="J442" s="133" t="s">
        <v>1140</v>
      </c>
      <c r="K442" s="256" t="s">
        <v>2606</v>
      </c>
      <c r="L442" s="270" t="s">
        <v>4209</v>
      </c>
      <c r="M442" s="171"/>
      <c r="N442" s="104" t="s">
        <v>2607</v>
      </c>
      <c r="O442" s="105" t="s">
        <v>2608</v>
      </c>
      <c r="P442" s="106" t="s">
        <v>1102</v>
      </c>
      <c r="Q442" s="106" t="s">
        <v>48</v>
      </c>
      <c r="R442" s="134">
        <v>8012627770</v>
      </c>
      <c r="S442" s="106" t="s">
        <v>2355</v>
      </c>
      <c r="T442" s="135"/>
      <c r="U442" s="176"/>
      <c r="V442" s="176"/>
      <c r="W442" s="176"/>
      <c r="X442" s="176"/>
      <c r="Y442" s="145"/>
      <c r="Z442" s="136"/>
      <c r="AA442" s="136"/>
      <c r="AB442" s="136"/>
      <c r="AC442" s="136"/>
      <c r="AD442" s="222"/>
      <c r="AE442" s="244"/>
      <c r="AF442" s="232"/>
      <c r="AG442" s="232"/>
      <c r="AH442" s="232"/>
      <c r="AI442" s="232"/>
      <c r="AJ442" s="232"/>
      <c r="AK442" s="232"/>
      <c r="AL442" s="232"/>
      <c r="AM442" s="232">
        <f>COUNTA('All Details for ACID Pastor'!$W442:$AB442)</f>
        <v>0</v>
      </c>
      <c r="AN442" s="232"/>
      <c r="AO442" s="232"/>
      <c r="AP442" s="232"/>
      <c r="AQ442" s="232"/>
      <c r="AR442" s="232"/>
      <c r="AS442" s="232"/>
      <c r="AT442" s="232"/>
      <c r="AU442" s="232"/>
      <c r="AV442" s="232"/>
      <c r="AW442" s="233"/>
      <c r="AX442" s="233"/>
      <c r="AY442" s="244"/>
      <c r="AZ442" s="232" t="s">
        <v>139</v>
      </c>
      <c r="BA442" s="233"/>
      <c r="BB442" s="233"/>
      <c r="BC442" s="233"/>
      <c r="BD442" s="244"/>
      <c r="BE442" s="277"/>
      <c r="BF442" s="233">
        <f>COUNTA('All Details for ACID Pastor'!$T442:$AB442)</f>
        <v>0</v>
      </c>
      <c r="BG442" s="249"/>
      <c r="BH442" s="249"/>
      <c r="BI442" s="249"/>
      <c r="BJ442" s="249"/>
      <c r="BK442" s="249"/>
      <c r="BL442" s="249"/>
      <c r="BM442" s="249"/>
      <c r="BN442" s="249"/>
      <c r="BO442" s="249"/>
      <c r="BP442" s="249"/>
      <c r="BQ442" s="249"/>
      <c r="BR442" s="249"/>
      <c r="BS442" s="249"/>
      <c r="BT442" s="249"/>
      <c r="BU442" s="249"/>
      <c r="BV442" s="249"/>
    </row>
    <row r="443" spans="1:74" s="174" customFormat="1" ht="70.150000000000006" customHeight="1">
      <c r="A443" s="103">
        <v>439</v>
      </c>
      <c r="B443" s="132" t="s">
        <v>2609</v>
      </c>
      <c r="C443" s="101" t="s">
        <v>2610</v>
      </c>
      <c r="D443" s="102" t="s">
        <v>53</v>
      </c>
      <c r="E443" s="102" t="s">
        <v>68</v>
      </c>
      <c r="F443" s="95"/>
      <c r="G443" s="95"/>
      <c r="H443" s="95"/>
      <c r="I443" s="95"/>
      <c r="J443" s="133" t="s">
        <v>1140</v>
      </c>
      <c r="K443" s="256" t="s">
        <v>2611</v>
      </c>
      <c r="L443" s="232" t="s">
        <v>4201</v>
      </c>
      <c r="M443" s="171"/>
      <c r="N443" s="104" t="s">
        <v>2607</v>
      </c>
      <c r="O443" s="105" t="s">
        <v>2608</v>
      </c>
      <c r="P443" s="106" t="s">
        <v>1102</v>
      </c>
      <c r="Q443" s="106" t="s">
        <v>48</v>
      </c>
      <c r="R443" s="134">
        <v>9786573546</v>
      </c>
      <c r="S443" s="106" t="s">
        <v>2355</v>
      </c>
      <c r="T443" s="135"/>
      <c r="U443" s="176"/>
      <c r="V443" s="176"/>
      <c r="W443" s="176"/>
      <c r="X443" s="176"/>
      <c r="Y443" s="145"/>
      <c r="Z443" s="136"/>
      <c r="AA443" s="136"/>
      <c r="AB443" s="136"/>
      <c r="AC443" s="136"/>
      <c r="AD443" s="222"/>
      <c r="AE443" s="244"/>
      <c r="AF443" s="232"/>
      <c r="AG443" s="232"/>
      <c r="AH443" s="232"/>
      <c r="AI443" s="232"/>
      <c r="AJ443" s="232"/>
      <c r="AK443" s="232"/>
      <c r="AL443" s="232"/>
      <c r="AM443" s="232">
        <f>COUNTA('All Details for ACID Pastor'!$W443:$AB443)</f>
        <v>0</v>
      </c>
      <c r="AN443" s="232"/>
      <c r="AO443" s="232"/>
      <c r="AP443" s="232"/>
      <c r="AQ443" s="232"/>
      <c r="AR443" s="232"/>
      <c r="AS443" s="232"/>
      <c r="AT443" s="232"/>
      <c r="AU443" s="232"/>
      <c r="AV443" s="232"/>
      <c r="AW443" s="233"/>
      <c r="AX443" s="233"/>
      <c r="AY443" s="244"/>
      <c r="AZ443" s="232" t="s">
        <v>139</v>
      </c>
      <c r="BA443" s="233"/>
      <c r="BB443" s="233"/>
      <c r="BC443" s="233"/>
      <c r="BD443" s="244"/>
      <c r="BE443" s="277"/>
      <c r="BF443" s="233">
        <f>COUNTA('All Details for ACID Pastor'!$T443:$AB443)</f>
        <v>0</v>
      </c>
      <c r="BG443" s="249"/>
      <c r="BH443" s="249"/>
      <c r="BI443" s="249"/>
      <c r="BJ443" s="249"/>
      <c r="BK443" s="249"/>
      <c r="BL443" s="249"/>
      <c r="BM443" s="249"/>
      <c r="BN443" s="249"/>
      <c r="BO443" s="249"/>
      <c r="BP443" s="249"/>
      <c r="BQ443" s="249"/>
      <c r="BR443" s="249"/>
      <c r="BS443" s="249"/>
      <c r="BT443" s="249"/>
      <c r="BU443" s="249"/>
      <c r="BV443" s="249"/>
    </row>
    <row r="444" spans="1:74" s="174" customFormat="1" ht="70.150000000000006" customHeight="1">
      <c r="A444" s="103">
        <v>440</v>
      </c>
      <c r="B444" s="132" t="s">
        <v>2612</v>
      </c>
      <c r="C444" s="101" t="s">
        <v>2613</v>
      </c>
      <c r="D444" s="102" t="s">
        <v>53</v>
      </c>
      <c r="E444" s="102" t="s">
        <v>54</v>
      </c>
      <c r="F444" s="95"/>
      <c r="G444" s="95"/>
      <c r="H444" s="95"/>
      <c r="I444" s="95"/>
      <c r="J444" s="133" t="s">
        <v>1140</v>
      </c>
      <c r="K444" s="256" t="s">
        <v>2614</v>
      </c>
      <c r="L444" s="270" t="s">
        <v>4201</v>
      </c>
      <c r="M444" s="171" t="s">
        <v>2615</v>
      </c>
      <c r="N444" s="104" t="s">
        <v>2616</v>
      </c>
      <c r="O444" s="105" t="s">
        <v>2617</v>
      </c>
      <c r="P444" s="106" t="s">
        <v>1102</v>
      </c>
      <c r="Q444" s="106" t="s">
        <v>48</v>
      </c>
      <c r="R444" s="134">
        <v>9597044328</v>
      </c>
      <c r="S444" s="106" t="s">
        <v>2355</v>
      </c>
      <c r="T444" s="135"/>
      <c r="U444" s="176"/>
      <c r="V444" s="176"/>
      <c r="W444" s="176"/>
      <c r="X444" s="176"/>
      <c r="Y444" s="145"/>
      <c r="Z444" s="136"/>
      <c r="AA444" s="136"/>
      <c r="AB444" s="136"/>
      <c r="AC444" s="136"/>
      <c r="AD444" s="222"/>
      <c r="AE444" s="240"/>
      <c r="AF444" s="232"/>
      <c r="AG444" s="232"/>
      <c r="AH444" s="232"/>
      <c r="AI444" s="232"/>
      <c r="AJ444" s="232"/>
      <c r="AK444" s="232"/>
      <c r="AL444" s="232"/>
      <c r="AM444" s="232">
        <f>COUNTA('All Details for ACID Pastor'!$W444:$AB444)</f>
        <v>0</v>
      </c>
      <c r="AN444" s="232"/>
      <c r="AO444" s="232"/>
      <c r="AP444" s="232"/>
      <c r="AQ444" s="232"/>
      <c r="AR444" s="232"/>
      <c r="AS444" s="232"/>
      <c r="AT444" s="232"/>
      <c r="AU444" s="232"/>
      <c r="AV444" s="232"/>
      <c r="AW444" s="233"/>
      <c r="AX444" s="233"/>
      <c r="AY444" s="244"/>
      <c r="AZ444" s="232" t="s">
        <v>139</v>
      </c>
      <c r="BA444" s="233"/>
      <c r="BB444" s="233"/>
      <c r="BC444" s="233"/>
      <c r="BD444" s="244"/>
      <c r="BE444" s="277"/>
      <c r="BF444" s="233">
        <f>COUNTA('All Details for ACID Pastor'!$T444:$AB444)</f>
        <v>0</v>
      </c>
      <c r="BG444" s="249"/>
      <c r="BH444" s="249"/>
      <c r="BI444" s="249"/>
      <c r="BJ444" s="249"/>
      <c r="BK444" s="249"/>
      <c r="BL444" s="249"/>
      <c r="BM444" s="249"/>
      <c r="BN444" s="249"/>
      <c r="BO444" s="249"/>
      <c r="BP444" s="249"/>
      <c r="BQ444" s="249"/>
      <c r="BR444" s="249"/>
      <c r="BS444" s="249"/>
      <c r="BT444" s="249"/>
      <c r="BU444" s="249"/>
      <c r="BV444" s="249"/>
    </row>
    <row r="445" spans="1:74" ht="70.150000000000006" customHeight="1">
      <c r="A445" s="107">
        <v>441</v>
      </c>
      <c r="B445" s="124" t="s">
        <v>2618</v>
      </c>
      <c r="C445" s="90" t="s">
        <v>2619</v>
      </c>
      <c r="D445" s="95" t="s">
        <v>53</v>
      </c>
      <c r="E445" s="95" t="s">
        <v>54</v>
      </c>
      <c r="F445" s="95"/>
      <c r="G445" s="95"/>
      <c r="H445" s="95"/>
      <c r="I445" s="95"/>
      <c r="J445" s="115"/>
      <c r="K445" s="193" t="s">
        <v>2620</v>
      </c>
      <c r="L445" s="155" t="s">
        <v>4209</v>
      </c>
      <c r="M445" s="172" t="s">
        <v>2621</v>
      </c>
      <c r="N445" s="93" t="s">
        <v>2622</v>
      </c>
      <c r="O445" s="92" t="s">
        <v>2623</v>
      </c>
      <c r="P445" s="88" t="s">
        <v>2624</v>
      </c>
      <c r="Q445" s="88" t="s">
        <v>2625</v>
      </c>
      <c r="R445" s="86">
        <v>9791429399</v>
      </c>
      <c r="S445" s="88" t="s">
        <v>2355</v>
      </c>
      <c r="T445" s="94"/>
      <c r="U445" s="140"/>
      <c r="V445" s="140"/>
      <c r="W445" s="140"/>
      <c r="X445" s="140"/>
      <c r="Y445" s="141"/>
      <c r="Z445" s="131"/>
      <c r="AA445" s="131"/>
      <c r="AB445" s="131"/>
      <c r="AC445" s="131"/>
      <c r="AD445" s="127"/>
      <c r="AF445" s="121"/>
      <c r="AG445" s="121"/>
      <c r="AH445" s="121"/>
      <c r="AI445" s="121"/>
      <c r="AJ445" s="121"/>
      <c r="AK445" s="121"/>
      <c r="AL445" s="121"/>
      <c r="AM445" s="121">
        <f>COUNTA('All Details for ACID Pastor'!$W445:$AB445)</f>
        <v>0</v>
      </c>
      <c r="AN445" s="121"/>
      <c r="AO445" s="121"/>
      <c r="AP445" s="121"/>
      <c r="AQ445" s="121"/>
      <c r="AR445" s="121"/>
      <c r="AS445" s="121"/>
      <c r="AT445" s="121"/>
      <c r="AU445" s="121"/>
      <c r="AV445" s="121"/>
      <c r="AW445" s="163"/>
      <c r="AX445" s="163"/>
      <c r="AZ445" s="121" t="s">
        <v>139</v>
      </c>
      <c r="BA445" s="163"/>
      <c r="BB445" s="163"/>
      <c r="BC445" s="163"/>
      <c r="BF445" s="163">
        <f>COUNTA('All Details for ACID Pastor'!$T445:$AB445)</f>
        <v>0</v>
      </c>
    </row>
    <row r="446" spans="1:74" ht="70.150000000000006" customHeight="1">
      <c r="A446" s="107">
        <v>442</v>
      </c>
      <c r="B446" s="124" t="s">
        <v>2626</v>
      </c>
      <c r="C446" s="90" t="s">
        <v>2627</v>
      </c>
      <c r="D446" s="95" t="s">
        <v>53</v>
      </c>
      <c r="E446" s="95" t="s">
        <v>54</v>
      </c>
      <c r="F446" s="95"/>
      <c r="G446" s="95"/>
      <c r="H446" s="95"/>
      <c r="I446" s="95"/>
      <c r="J446" s="115" t="s">
        <v>103</v>
      </c>
      <c r="K446" s="193" t="s">
        <v>2628</v>
      </c>
      <c r="L446" s="155" t="s">
        <v>4209</v>
      </c>
      <c r="M446" s="172"/>
      <c r="N446" s="93" t="s">
        <v>2629</v>
      </c>
      <c r="O446" s="92" t="s">
        <v>2630</v>
      </c>
      <c r="P446" s="88" t="s">
        <v>564</v>
      </c>
      <c r="Q446" s="88" t="s">
        <v>48</v>
      </c>
      <c r="R446" s="86">
        <v>9524913661</v>
      </c>
      <c r="S446" s="88" t="s">
        <v>2355</v>
      </c>
      <c r="T446" s="94"/>
      <c r="U446" s="140"/>
      <c r="V446" s="140"/>
      <c r="W446" s="125" t="s">
        <v>215</v>
      </c>
      <c r="X446" s="125" t="s">
        <v>184</v>
      </c>
      <c r="Y446" s="126" t="s">
        <v>110</v>
      </c>
      <c r="Z446" s="131"/>
      <c r="AA446" s="127" t="s">
        <v>99</v>
      </c>
      <c r="AB446" s="131"/>
      <c r="AC446" s="131" t="s">
        <v>4220</v>
      </c>
      <c r="AD446" s="127" t="s">
        <v>4222</v>
      </c>
      <c r="AE446" s="276" t="s">
        <v>4222</v>
      </c>
      <c r="AF446" s="121"/>
      <c r="AG446" s="121"/>
      <c r="AH446" s="121"/>
      <c r="AI446" s="121"/>
      <c r="AJ446" s="121"/>
      <c r="AK446" s="121"/>
      <c r="AL446" s="121"/>
      <c r="AM446" s="121">
        <f>COUNTA('All Details for ACID Pastor'!$W446:$AB446)</f>
        <v>4</v>
      </c>
      <c r="AN446" s="121"/>
      <c r="AO446" s="121"/>
      <c r="AP446" s="121"/>
      <c r="AQ446" s="121"/>
      <c r="AR446" s="121"/>
      <c r="AS446" s="121"/>
      <c r="AT446" s="121"/>
      <c r="AU446" s="121"/>
      <c r="AV446" s="121"/>
      <c r="AW446" s="163"/>
      <c r="AX446" s="163"/>
      <c r="AZ446" s="121" t="s">
        <v>49</v>
      </c>
      <c r="BA446" s="163"/>
      <c r="BB446" s="163"/>
      <c r="BC446" s="163"/>
      <c r="BE446" s="285">
        <v>2</v>
      </c>
      <c r="BF446" s="163">
        <v>6</v>
      </c>
    </row>
    <row r="447" spans="1:74" ht="70.150000000000006" customHeight="1">
      <c r="A447" s="107">
        <v>443</v>
      </c>
      <c r="B447" s="124" t="s">
        <v>2631</v>
      </c>
      <c r="C447" s="90" t="s">
        <v>2632</v>
      </c>
      <c r="D447" s="95" t="s">
        <v>53</v>
      </c>
      <c r="E447" s="95" t="s">
        <v>54</v>
      </c>
      <c r="F447" s="95"/>
      <c r="G447" s="95"/>
      <c r="H447" s="95"/>
      <c r="I447" s="95"/>
      <c r="J447" s="115" t="s">
        <v>814</v>
      </c>
      <c r="K447" s="193" t="s">
        <v>560</v>
      </c>
      <c r="L447" s="155" t="s">
        <v>4209</v>
      </c>
      <c r="M447" s="172" t="s">
        <v>2633</v>
      </c>
      <c r="N447" s="93" t="s">
        <v>2634</v>
      </c>
      <c r="O447" s="92" t="s">
        <v>2635</v>
      </c>
      <c r="P447" s="88" t="s">
        <v>503</v>
      </c>
      <c r="Q447" s="88" t="s">
        <v>48</v>
      </c>
      <c r="R447" s="86">
        <v>9486330009</v>
      </c>
      <c r="S447" s="88" t="s">
        <v>2636</v>
      </c>
      <c r="T447" s="94"/>
      <c r="U447" s="140"/>
      <c r="V447" s="140"/>
      <c r="W447" s="140"/>
      <c r="X447" s="140"/>
      <c r="Y447" s="141"/>
      <c r="Z447" s="131"/>
      <c r="AA447" s="131"/>
      <c r="AB447" s="131"/>
      <c r="AC447" s="131"/>
      <c r="AD447" s="127"/>
      <c r="AF447" s="121"/>
      <c r="AG447" s="121"/>
      <c r="AH447" s="121"/>
      <c r="AI447" s="121"/>
      <c r="AJ447" s="121"/>
      <c r="AK447" s="121"/>
      <c r="AL447" s="121"/>
      <c r="AM447" s="121"/>
      <c r="AN447" s="121">
        <f>COUNTA('All Details for ACID Pastor'!$W447:$AB447)</f>
        <v>0</v>
      </c>
      <c r="AO447" s="121"/>
      <c r="AP447" s="121"/>
      <c r="AQ447" s="121"/>
      <c r="AR447" s="121"/>
      <c r="AS447" s="121"/>
      <c r="AT447" s="121"/>
      <c r="AU447" s="121"/>
      <c r="AV447" s="121"/>
      <c r="AW447" s="163"/>
      <c r="AX447" s="163"/>
      <c r="AZ447" s="121" t="s">
        <v>139</v>
      </c>
      <c r="BA447" s="163"/>
      <c r="BB447" s="163"/>
      <c r="BC447" s="163"/>
      <c r="BF447" s="163">
        <f>COUNTA('All Details for ACID Pastor'!$T447:$AB447)</f>
        <v>0</v>
      </c>
    </row>
    <row r="448" spans="1:74" ht="70.150000000000006" customHeight="1">
      <c r="A448" s="107">
        <v>444</v>
      </c>
      <c r="B448" s="124" t="s">
        <v>2637</v>
      </c>
      <c r="C448" s="90" t="s">
        <v>2638</v>
      </c>
      <c r="D448" s="95" t="s">
        <v>53</v>
      </c>
      <c r="E448" s="95" t="s">
        <v>142</v>
      </c>
      <c r="F448" s="95"/>
      <c r="G448" s="95"/>
      <c r="H448" s="95"/>
      <c r="I448" s="95"/>
      <c r="J448" s="115"/>
      <c r="K448" s="193" t="s">
        <v>2639</v>
      </c>
      <c r="L448" s="155" t="s">
        <v>4209</v>
      </c>
      <c r="M448" s="172"/>
      <c r="N448" s="93" t="s">
        <v>2640</v>
      </c>
      <c r="O448" s="92" t="s">
        <v>2641</v>
      </c>
      <c r="P448" s="88" t="s">
        <v>2642</v>
      </c>
      <c r="Q448" s="88" t="s">
        <v>2413</v>
      </c>
      <c r="R448" s="86">
        <v>9870538614</v>
      </c>
      <c r="S448" s="88" t="s">
        <v>2636</v>
      </c>
      <c r="T448" s="94"/>
      <c r="U448" s="140"/>
      <c r="V448" s="140"/>
      <c r="W448" s="125" t="s">
        <v>50</v>
      </c>
      <c r="X448" s="125" t="s">
        <v>50</v>
      </c>
      <c r="Y448" s="125" t="s">
        <v>50</v>
      </c>
      <c r="Z448" s="125" t="s">
        <v>50</v>
      </c>
      <c r="AA448" s="127" t="s">
        <v>2643</v>
      </c>
      <c r="AB448" s="131"/>
      <c r="AC448" s="131"/>
      <c r="AD448" s="127"/>
      <c r="AF448" s="121"/>
      <c r="AG448" s="121"/>
      <c r="AH448" s="121"/>
      <c r="AI448" s="121"/>
      <c r="AJ448" s="121"/>
      <c r="AK448" s="121"/>
      <c r="AL448" s="121"/>
      <c r="AM448" s="121"/>
      <c r="AN448" s="121">
        <f>COUNTA('All Details for ACID Pastor'!$W448:$AB448)</f>
        <v>5</v>
      </c>
      <c r="AO448" s="121"/>
      <c r="AP448" s="121"/>
      <c r="AQ448" s="121"/>
      <c r="AR448" s="121"/>
      <c r="AS448" s="121"/>
      <c r="AT448" s="121"/>
      <c r="AU448" s="121"/>
      <c r="AV448" s="121"/>
      <c r="AW448" s="163"/>
      <c r="AX448" s="163"/>
      <c r="AZ448" s="121" t="s">
        <v>49</v>
      </c>
      <c r="BA448" s="163"/>
      <c r="BB448" s="163"/>
      <c r="BC448" s="163"/>
      <c r="BF448" s="163">
        <f>COUNTA('All Details for ACID Pastor'!$T448:$AB448)</f>
        <v>5</v>
      </c>
    </row>
    <row r="449" spans="1:74" ht="70.150000000000006" customHeight="1">
      <c r="A449" s="107">
        <v>445</v>
      </c>
      <c r="B449" s="124" t="s">
        <v>2644</v>
      </c>
      <c r="C449" s="90" t="s">
        <v>2645</v>
      </c>
      <c r="D449" s="95" t="s">
        <v>53</v>
      </c>
      <c r="E449" s="95" t="s">
        <v>54</v>
      </c>
      <c r="F449" s="95"/>
      <c r="G449" s="95"/>
      <c r="H449" s="95"/>
      <c r="I449" s="95"/>
      <c r="J449" s="115" t="s">
        <v>2646</v>
      </c>
      <c r="K449" s="193" t="s">
        <v>2647</v>
      </c>
      <c r="L449" s="155" t="s">
        <v>4209</v>
      </c>
      <c r="M449" s="172"/>
      <c r="N449" s="93" t="s">
        <v>2648</v>
      </c>
      <c r="O449" s="92" t="s">
        <v>2649</v>
      </c>
      <c r="P449" s="88" t="s">
        <v>1855</v>
      </c>
      <c r="Q449" s="88" t="s">
        <v>517</v>
      </c>
      <c r="R449" s="86">
        <v>9745373275</v>
      </c>
      <c r="S449" s="88" t="s">
        <v>2636</v>
      </c>
      <c r="T449" s="94"/>
      <c r="U449" s="140"/>
      <c r="V449" s="140"/>
      <c r="W449" s="125" t="s">
        <v>98</v>
      </c>
      <c r="X449" s="125" t="s">
        <v>78</v>
      </c>
      <c r="Y449" s="126" t="s">
        <v>79</v>
      </c>
      <c r="Z449" s="131"/>
      <c r="AA449" s="127" t="s">
        <v>99</v>
      </c>
      <c r="AB449" s="131"/>
      <c r="AC449" s="131" t="s">
        <v>4220</v>
      </c>
      <c r="AD449" s="127"/>
      <c r="AF449" s="121"/>
      <c r="AG449" s="121"/>
      <c r="AH449" s="121"/>
      <c r="AI449" s="121"/>
      <c r="AJ449" s="121"/>
      <c r="AK449" s="121"/>
      <c r="AL449" s="121"/>
      <c r="AM449" s="121"/>
      <c r="AN449" s="121">
        <f>COUNTA('All Details for ACID Pastor'!$W449:$AB449)</f>
        <v>4</v>
      </c>
      <c r="AO449" s="121"/>
      <c r="AP449" s="121"/>
      <c r="AQ449" s="121"/>
      <c r="AR449" s="121"/>
      <c r="AS449" s="121"/>
      <c r="AT449" s="121"/>
      <c r="AU449" s="121"/>
      <c r="AV449" s="121"/>
      <c r="AW449" s="163"/>
      <c r="AX449" s="163"/>
      <c r="AZ449" s="121" t="s">
        <v>49</v>
      </c>
      <c r="BA449" s="163"/>
      <c r="BB449" s="163"/>
      <c r="BC449" s="163"/>
      <c r="BF449" s="163">
        <v>5</v>
      </c>
    </row>
    <row r="450" spans="1:74" ht="70.150000000000006" customHeight="1">
      <c r="A450" s="107">
        <v>446</v>
      </c>
      <c r="B450" s="124" t="s">
        <v>2650</v>
      </c>
      <c r="C450" s="90" t="s">
        <v>2651</v>
      </c>
      <c r="D450" s="95" t="s">
        <v>53</v>
      </c>
      <c r="E450" s="95" t="s">
        <v>54</v>
      </c>
      <c r="F450" s="95"/>
      <c r="G450" s="95"/>
      <c r="H450" s="95"/>
      <c r="I450" s="95"/>
      <c r="J450" s="115" t="s">
        <v>2322</v>
      </c>
      <c r="K450" s="193" t="s">
        <v>2652</v>
      </c>
      <c r="L450" s="155" t="s">
        <v>4209</v>
      </c>
      <c r="M450" s="172"/>
      <c r="N450" s="93" t="s">
        <v>2653</v>
      </c>
      <c r="O450" s="92" t="s">
        <v>775</v>
      </c>
      <c r="P450" s="88" t="s">
        <v>1002</v>
      </c>
      <c r="Q450" s="88" t="s">
        <v>48</v>
      </c>
      <c r="R450" s="86">
        <v>9500661144</v>
      </c>
      <c r="S450" s="88" t="s">
        <v>2636</v>
      </c>
      <c r="T450" s="94"/>
      <c r="U450" s="140"/>
      <c r="V450" s="140"/>
      <c r="W450" s="140"/>
      <c r="X450" s="125" t="s">
        <v>1004</v>
      </c>
      <c r="Y450" s="141"/>
      <c r="Z450" s="131"/>
      <c r="AA450" s="127" t="s">
        <v>1005</v>
      </c>
      <c r="AB450" s="127" t="s">
        <v>1005</v>
      </c>
      <c r="AC450" s="127" t="s">
        <v>1005</v>
      </c>
      <c r="AD450" s="127"/>
      <c r="AF450" s="121"/>
      <c r="AG450" s="121"/>
      <c r="AH450" s="121"/>
      <c r="AI450" s="121"/>
      <c r="AJ450" s="121"/>
      <c r="AK450" s="121"/>
      <c r="AL450" s="121"/>
      <c r="AM450" s="121"/>
      <c r="AN450" s="121">
        <v>1</v>
      </c>
      <c r="AO450" s="121"/>
      <c r="AP450" s="121"/>
      <c r="AQ450" s="121"/>
      <c r="AR450" s="121"/>
      <c r="AS450" s="121"/>
      <c r="AT450" s="121"/>
      <c r="AU450" s="121"/>
      <c r="AV450" s="121"/>
      <c r="AW450" s="163"/>
      <c r="AX450" s="163"/>
      <c r="AZ450" s="121" t="s">
        <v>49</v>
      </c>
      <c r="BA450" s="163"/>
      <c r="BB450" s="163"/>
      <c r="BC450" s="163"/>
      <c r="BF450" s="163">
        <v>4</v>
      </c>
    </row>
    <row r="451" spans="1:74" ht="70.150000000000006" customHeight="1">
      <c r="A451" s="107">
        <v>447</v>
      </c>
      <c r="B451" s="124" t="s">
        <v>2654</v>
      </c>
      <c r="C451" s="90" t="s">
        <v>2655</v>
      </c>
      <c r="D451" s="95" t="s">
        <v>53</v>
      </c>
      <c r="E451" s="95" t="s">
        <v>54</v>
      </c>
      <c r="F451" s="95"/>
      <c r="G451" s="95"/>
      <c r="H451" s="95"/>
      <c r="I451" s="95"/>
      <c r="J451" s="115" t="s">
        <v>2646</v>
      </c>
      <c r="K451" s="193" t="s">
        <v>2656</v>
      </c>
      <c r="L451" s="155" t="s">
        <v>4209</v>
      </c>
      <c r="M451" s="172"/>
      <c r="N451" s="93" t="s">
        <v>2657</v>
      </c>
      <c r="O451" s="92" t="s">
        <v>2658</v>
      </c>
      <c r="P451" s="88" t="s">
        <v>1855</v>
      </c>
      <c r="Q451" s="88" t="s">
        <v>517</v>
      </c>
      <c r="R451" s="86">
        <v>9562220117</v>
      </c>
      <c r="S451" s="88" t="s">
        <v>2636</v>
      </c>
      <c r="T451" s="94"/>
      <c r="U451" s="140"/>
      <c r="V451" s="140"/>
      <c r="W451" s="125" t="s">
        <v>98</v>
      </c>
      <c r="X451" s="125" t="s">
        <v>78</v>
      </c>
      <c r="Y451" s="126" t="s">
        <v>79</v>
      </c>
      <c r="Z451" s="131"/>
      <c r="AA451" s="127" t="s">
        <v>99</v>
      </c>
      <c r="AB451" s="131"/>
      <c r="AC451" s="131" t="s">
        <v>4220</v>
      </c>
      <c r="AD451" s="127"/>
      <c r="AF451" s="121"/>
      <c r="AG451" s="121"/>
      <c r="AH451" s="121"/>
      <c r="AI451" s="121"/>
      <c r="AJ451" s="121"/>
      <c r="AK451" s="121"/>
      <c r="AL451" s="121"/>
      <c r="AM451" s="121"/>
      <c r="AN451" s="121">
        <f>COUNTA('All Details for ACID Pastor'!$W451:$AB451)</f>
        <v>4</v>
      </c>
      <c r="AO451" s="121"/>
      <c r="AP451" s="121"/>
      <c r="AQ451" s="121"/>
      <c r="AR451" s="121"/>
      <c r="AS451" s="121"/>
      <c r="AT451" s="121"/>
      <c r="AU451" s="121"/>
      <c r="AV451" s="121"/>
      <c r="AW451" s="163"/>
      <c r="AX451" s="163"/>
      <c r="AZ451" s="121" t="s">
        <v>49</v>
      </c>
      <c r="BA451" s="163"/>
      <c r="BB451" s="163"/>
      <c r="BC451" s="163"/>
      <c r="BF451" s="163">
        <v>5</v>
      </c>
    </row>
    <row r="452" spans="1:74" ht="70.150000000000006" customHeight="1">
      <c r="A452" s="107">
        <v>448</v>
      </c>
      <c r="B452" s="124" t="s">
        <v>2659</v>
      </c>
      <c r="C452" s="90" t="s">
        <v>2660</v>
      </c>
      <c r="D452" s="95" t="s">
        <v>53</v>
      </c>
      <c r="E452" s="95" t="s">
        <v>68</v>
      </c>
      <c r="F452" s="95"/>
      <c r="G452" s="95"/>
      <c r="H452" s="95"/>
      <c r="I452" s="95"/>
      <c r="J452" s="115" t="s">
        <v>1140</v>
      </c>
      <c r="K452" s="193" t="s">
        <v>1997</v>
      </c>
      <c r="L452" s="155" t="s">
        <v>4209</v>
      </c>
      <c r="M452" s="172"/>
      <c r="N452" s="93" t="s">
        <v>2661</v>
      </c>
      <c r="O452" s="92" t="s">
        <v>2662</v>
      </c>
      <c r="P452" s="88" t="s">
        <v>2434</v>
      </c>
      <c r="Q452" s="88" t="s">
        <v>48</v>
      </c>
      <c r="R452" s="86">
        <v>9750767197</v>
      </c>
      <c r="S452" s="88" t="s">
        <v>2636</v>
      </c>
      <c r="T452" s="94"/>
      <c r="U452" s="140"/>
      <c r="V452" s="140"/>
      <c r="W452" s="140"/>
      <c r="X452" s="140"/>
      <c r="Y452" s="141"/>
      <c r="Z452" s="131"/>
      <c r="AA452" s="131"/>
      <c r="AB452" s="131"/>
      <c r="AC452" s="131"/>
      <c r="AD452" s="127"/>
      <c r="AF452" s="121"/>
      <c r="AG452" s="121"/>
      <c r="AH452" s="121"/>
      <c r="AI452" s="121"/>
      <c r="AJ452" s="121"/>
      <c r="AK452" s="121"/>
      <c r="AL452" s="121"/>
      <c r="AM452" s="121"/>
      <c r="AN452" s="121">
        <f>COUNTA('All Details for ACID Pastor'!$W452:$AB452)</f>
        <v>0</v>
      </c>
      <c r="AO452" s="121"/>
      <c r="AP452" s="121"/>
      <c r="AQ452" s="121"/>
      <c r="AR452" s="121"/>
      <c r="AS452" s="121"/>
      <c r="AT452" s="121"/>
      <c r="AU452" s="121"/>
      <c r="AV452" s="121"/>
      <c r="AW452" s="163"/>
      <c r="AX452" s="163"/>
      <c r="AZ452" s="121" t="s">
        <v>139</v>
      </c>
      <c r="BA452" s="163"/>
      <c r="BB452" s="163"/>
      <c r="BC452" s="163"/>
      <c r="BF452" s="163">
        <f>COUNTA('All Details for ACID Pastor'!$T452:$AB452)</f>
        <v>0</v>
      </c>
    </row>
    <row r="453" spans="1:74" ht="70.150000000000006" customHeight="1">
      <c r="A453" s="107">
        <v>449</v>
      </c>
      <c r="B453" s="124" t="s">
        <v>2663</v>
      </c>
      <c r="C453" s="90" t="s">
        <v>2664</v>
      </c>
      <c r="D453" s="95" t="s">
        <v>53</v>
      </c>
      <c r="E453" s="95" t="s">
        <v>54</v>
      </c>
      <c r="F453" s="95"/>
      <c r="G453" s="95"/>
      <c r="H453" s="95"/>
      <c r="I453" s="95"/>
      <c r="J453" s="115" t="s">
        <v>922</v>
      </c>
      <c r="K453" s="193" t="s">
        <v>2665</v>
      </c>
      <c r="L453" s="155" t="s">
        <v>4209</v>
      </c>
      <c r="M453" s="172" t="s">
        <v>2666</v>
      </c>
      <c r="N453" s="93" t="s">
        <v>2667</v>
      </c>
      <c r="O453" s="92" t="s">
        <v>2668</v>
      </c>
      <c r="P453" s="88" t="s">
        <v>626</v>
      </c>
      <c r="Q453" s="88" t="s">
        <v>626</v>
      </c>
      <c r="R453" s="86">
        <v>9443789964</v>
      </c>
      <c r="S453" s="88" t="s">
        <v>2636</v>
      </c>
      <c r="T453" s="94"/>
      <c r="U453" s="140"/>
      <c r="V453" s="140"/>
      <c r="W453" s="140"/>
      <c r="X453" s="140"/>
      <c r="Y453" s="141"/>
      <c r="Z453" s="131"/>
      <c r="AA453" s="131"/>
      <c r="AB453" s="131"/>
      <c r="AC453" s="131"/>
      <c r="AD453" s="127"/>
      <c r="AF453" s="121"/>
      <c r="AG453" s="121"/>
      <c r="AH453" s="121"/>
      <c r="AI453" s="121"/>
      <c r="AJ453" s="121"/>
      <c r="AK453" s="121"/>
      <c r="AL453" s="121"/>
      <c r="AM453" s="121"/>
      <c r="AN453" s="121">
        <f>COUNTA('All Details for ACID Pastor'!$W453:$AB453)</f>
        <v>0</v>
      </c>
      <c r="AO453" s="121"/>
      <c r="AP453" s="121"/>
      <c r="AQ453" s="121"/>
      <c r="AR453" s="121"/>
      <c r="AS453" s="121"/>
      <c r="AT453" s="121"/>
      <c r="AU453" s="121"/>
      <c r="AV453" s="121"/>
      <c r="AW453" s="163"/>
      <c r="AX453" s="163"/>
      <c r="AZ453" s="121" t="s">
        <v>139</v>
      </c>
      <c r="BA453" s="163"/>
      <c r="BB453" s="163"/>
      <c r="BC453" s="163"/>
      <c r="BF453" s="163">
        <f>COUNTA('All Details for ACID Pastor'!$T453:$AB453)</f>
        <v>0</v>
      </c>
    </row>
    <row r="454" spans="1:74" ht="70.150000000000006" customHeight="1">
      <c r="A454" s="107">
        <v>450</v>
      </c>
      <c r="B454" s="124" t="s">
        <v>2669</v>
      </c>
      <c r="C454" s="90" t="s">
        <v>2670</v>
      </c>
      <c r="D454" s="95" t="s">
        <v>53</v>
      </c>
      <c r="E454" s="95" t="s">
        <v>54</v>
      </c>
      <c r="F454" s="95"/>
      <c r="G454" s="95"/>
      <c r="H454" s="95"/>
      <c r="I454" s="95"/>
      <c r="J454" s="115" t="s">
        <v>2671</v>
      </c>
      <c r="K454" s="193" t="s">
        <v>2672</v>
      </c>
      <c r="L454" s="155" t="s">
        <v>4209</v>
      </c>
      <c r="M454" s="172"/>
      <c r="N454" s="93" t="s">
        <v>2673</v>
      </c>
      <c r="O454" s="92" t="s">
        <v>2674</v>
      </c>
      <c r="P454" s="88" t="s">
        <v>190</v>
      </c>
      <c r="Q454" s="88" t="s">
        <v>48</v>
      </c>
      <c r="R454" s="86">
        <v>9487347983</v>
      </c>
      <c r="S454" s="88" t="s">
        <v>2636</v>
      </c>
      <c r="T454" s="94"/>
      <c r="U454" s="140"/>
      <c r="V454" s="140"/>
      <c r="W454" s="125" t="s">
        <v>78</v>
      </c>
      <c r="X454" s="125" t="s">
        <v>78</v>
      </c>
      <c r="Y454" s="126" t="s">
        <v>149</v>
      </c>
      <c r="Z454" s="126" t="s">
        <v>149</v>
      </c>
      <c r="AA454" s="127" t="s">
        <v>99</v>
      </c>
      <c r="AB454" s="131" t="s">
        <v>129</v>
      </c>
      <c r="AC454" s="131" t="s">
        <v>129</v>
      </c>
      <c r="AD454" s="127"/>
      <c r="AF454" s="121"/>
      <c r="AG454" s="121"/>
      <c r="AH454" s="121"/>
      <c r="AI454" s="121"/>
      <c r="AJ454" s="121"/>
      <c r="AK454" s="121"/>
      <c r="AL454" s="121"/>
      <c r="AM454" s="121"/>
      <c r="AN454" s="121">
        <v>5</v>
      </c>
      <c r="AO454" s="121"/>
      <c r="AP454" s="121"/>
      <c r="AQ454" s="121"/>
      <c r="AR454" s="121"/>
      <c r="AS454" s="121"/>
      <c r="AT454" s="121"/>
      <c r="AU454" s="121"/>
      <c r="AV454" s="121"/>
      <c r="AW454" s="163"/>
      <c r="AX454" s="163"/>
      <c r="AZ454" s="121" t="s">
        <v>49</v>
      </c>
      <c r="BA454" s="163"/>
      <c r="BB454" s="163">
        <v>2</v>
      </c>
      <c r="BC454" s="163"/>
      <c r="BF454" s="163">
        <v>7</v>
      </c>
    </row>
    <row r="455" spans="1:74" ht="70.150000000000006" customHeight="1">
      <c r="A455" s="107">
        <v>451</v>
      </c>
      <c r="B455" s="124" t="s">
        <v>2675</v>
      </c>
      <c r="C455" s="90" t="s">
        <v>2676</v>
      </c>
      <c r="D455" s="95" t="s">
        <v>53</v>
      </c>
      <c r="E455" s="95" t="s">
        <v>1975</v>
      </c>
      <c r="F455" s="95"/>
      <c r="G455" s="95"/>
      <c r="H455" s="95"/>
      <c r="I455" s="95"/>
      <c r="J455" s="115" t="s">
        <v>922</v>
      </c>
      <c r="K455" s="193" t="s">
        <v>2677</v>
      </c>
      <c r="L455" s="155" t="s">
        <v>4209</v>
      </c>
      <c r="M455" s="172"/>
      <c r="N455" s="93" t="s">
        <v>2678</v>
      </c>
      <c r="O455" s="92" t="s">
        <v>2679</v>
      </c>
      <c r="P455" s="88" t="s">
        <v>86</v>
      </c>
      <c r="Q455" s="88" t="s">
        <v>48</v>
      </c>
      <c r="R455" s="86">
        <v>9786070695</v>
      </c>
      <c r="S455" s="88" t="s">
        <v>2636</v>
      </c>
      <c r="T455" s="94"/>
      <c r="U455" s="140"/>
      <c r="V455" s="140"/>
      <c r="W455" s="125" t="s">
        <v>819</v>
      </c>
      <c r="X455" s="125" t="s">
        <v>78</v>
      </c>
      <c r="Y455" s="141"/>
      <c r="Z455" s="131"/>
      <c r="AA455" s="131"/>
      <c r="AB455" s="131"/>
      <c r="AC455" s="131"/>
      <c r="AD455" s="127"/>
      <c r="AF455" s="121"/>
      <c r="AG455" s="121"/>
      <c r="AH455" s="121"/>
      <c r="AI455" s="121"/>
      <c r="AJ455" s="121"/>
      <c r="AK455" s="121"/>
      <c r="AL455" s="121"/>
      <c r="AM455" s="121"/>
      <c r="AN455" s="121">
        <f>COUNTA('All Details for ACID Pastor'!$W455:$AB455)</f>
        <v>2</v>
      </c>
      <c r="AO455" s="121"/>
      <c r="AP455" s="121"/>
      <c r="AQ455" s="121"/>
      <c r="AR455" s="121"/>
      <c r="AS455" s="121"/>
      <c r="AT455" s="121"/>
      <c r="AU455" s="121"/>
      <c r="AV455" s="121"/>
      <c r="AW455" s="163"/>
      <c r="AX455" s="163"/>
      <c r="AZ455" s="121" t="s">
        <v>139</v>
      </c>
      <c r="BA455" s="163"/>
      <c r="BB455" s="163"/>
      <c r="BC455" s="163"/>
      <c r="BF455" s="163">
        <f>COUNTA('All Details for ACID Pastor'!$T455:$AB455)</f>
        <v>2</v>
      </c>
    </row>
    <row r="456" spans="1:74" ht="70.150000000000006" customHeight="1">
      <c r="A456" s="107">
        <v>452</v>
      </c>
      <c r="B456" s="124" t="s">
        <v>2680</v>
      </c>
      <c r="C456" s="90" t="s">
        <v>2681</v>
      </c>
      <c r="D456" s="95" t="s">
        <v>53</v>
      </c>
      <c r="E456" s="95" t="s">
        <v>54</v>
      </c>
      <c r="F456" s="95"/>
      <c r="G456" s="95"/>
      <c r="H456" s="95"/>
      <c r="I456" s="95"/>
      <c r="J456" s="115" t="s">
        <v>947</v>
      </c>
      <c r="K456" s="193" t="s">
        <v>2682</v>
      </c>
      <c r="L456" s="155" t="s">
        <v>4209</v>
      </c>
      <c r="M456" s="172"/>
      <c r="N456" s="93" t="s">
        <v>2683</v>
      </c>
      <c r="O456" s="92" t="s">
        <v>2684</v>
      </c>
      <c r="P456" s="88" t="s">
        <v>626</v>
      </c>
      <c r="Q456" s="88" t="s">
        <v>626</v>
      </c>
      <c r="R456" s="86">
        <v>9092826756</v>
      </c>
      <c r="S456" s="88" t="s">
        <v>2636</v>
      </c>
      <c r="T456" s="94"/>
      <c r="U456" s="140"/>
      <c r="V456" s="140"/>
      <c r="W456" s="140"/>
      <c r="X456" s="140"/>
      <c r="Y456" s="141"/>
      <c r="Z456" s="131"/>
      <c r="AA456" s="131"/>
      <c r="AB456" s="131"/>
      <c r="AC456" s="131"/>
      <c r="AD456" s="127"/>
      <c r="AF456" s="121"/>
      <c r="AG456" s="121"/>
      <c r="AH456" s="121"/>
      <c r="AI456" s="121"/>
      <c r="AJ456" s="121"/>
      <c r="AK456" s="121"/>
      <c r="AL456" s="121"/>
      <c r="AM456" s="121"/>
      <c r="AN456" s="121">
        <f>COUNTA('All Details for ACID Pastor'!$W456:$AB456)</f>
        <v>0</v>
      </c>
      <c r="AO456" s="121"/>
      <c r="AP456" s="121"/>
      <c r="AQ456" s="121"/>
      <c r="AR456" s="121"/>
      <c r="AS456" s="121"/>
      <c r="AT456" s="121"/>
      <c r="AU456" s="121"/>
      <c r="AV456" s="121"/>
      <c r="AW456" s="163"/>
      <c r="AX456" s="163"/>
      <c r="AZ456" s="121" t="s">
        <v>139</v>
      </c>
      <c r="BA456" s="163"/>
      <c r="BB456" s="163"/>
      <c r="BC456" s="163"/>
      <c r="BF456" s="163">
        <f>COUNTA('All Details for ACID Pastor'!$T456:$AB456)</f>
        <v>0</v>
      </c>
    </row>
    <row r="457" spans="1:74" ht="70.150000000000006" customHeight="1">
      <c r="A457" s="107">
        <v>453</v>
      </c>
      <c r="B457" s="124" t="s">
        <v>2685</v>
      </c>
      <c r="C457" s="90" t="s">
        <v>2686</v>
      </c>
      <c r="D457" s="95" t="s">
        <v>53</v>
      </c>
      <c r="E457" s="95" t="s">
        <v>54</v>
      </c>
      <c r="F457" s="95"/>
      <c r="G457" s="95"/>
      <c r="H457" s="95"/>
      <c r="I457" s="95"/>
      <c r="J457" s="115" t="s">
        <v>922</v>
      </c>
      <c r="K457" s="193" t="s">
        <v>2687</v>
      </c>
      <c r="L457" s="155" t="s">
        <v>4209</v>
      </c>
      <c r="M457" s="172"/>
      <c r="N457" s="93" t="s">
        <v>2688</v>
      </c>
      <c r="O457" s="92" t="s">
        <v>2689</v>
      </c>
      <c r="P457" s="88" t="s">
        <v>626</v>
      </c>
      <c r="Q457" s="88" t="s">
        <v>626</v>
      </c>
      <c r="R457" s="86"/>
      <c r="S457" s="88" t="s">
        <v>2636</v>
      </c>
      <c r="T457" s="94"/>
      <c r="U457" s="140"/>
      <c r="V457" s="140"/>
      <c r="W457" s="140"/>
      <c r="X457" s="140"/>
      <c r="Y457" s="141"/>
      <c r="Z457" s="131"/>
      <c r="AA457" s="131"/>
      <c r="AB457" s="131"/>
      <c r="AC457" s="131"/>
      <c r="AD457" s="127"/>
      <c r="AF457" s="121"/>
      <c r="AG457" s="121"/>
      <c r="AH457" s="121"/>
      <c r="AI457" s="121"/>
      <c r="AJ457" s="121"/>
      <c r="AK457" s="121"/>
      <c r="AL457" s="121"/>
      <c r="AM457" s="121"/>
      <c r="AN457" s="121">
        <f>COUNTA('All Details for ACID Pastor'!$W457:$AB457)</f>
        <v>0</v>
      </c>
      <c r="AO457" s="121"/>
      <c r="AP457" s="121"/>
      <c r="AQ457" s="121"/>
      <c r="AR457" s="121"/>
      <c r="AS457" s="121"/>
      <c r="AT457" s="121"/>
      <c r="AU457" s="121"/>
      <c r="AV457" s="121"/>
      <c r="AW457" s="163"/>
      <c r="AX457" s="163"/>
      <c r="AZ457" s="121" t="s">
        <v>139</v>
      </c>
      <c r="BA457" s="163"/>
      <c r="BB457" s="163"/>
      <c r="BC457" s="163"/>
      <c r="BF457" s="163">
        <f>COUNTA('All Details for ACID Pastor'!$T457:$AB457)</f>
        <v>0</v>
      </c>
    </row>
    <row r="458" spans="1:74" ht="70.150000000000006" customHeight="1">
      <c r="A458" s="107">
        <v>454</v>
      </c>
      <c r="B458" s="124" t="s">
        <v>2690</v>
      </c>
      <c r="C458" s="90" t="s">
        <v>2691</v>
      </c>
      <c r="D458" s="95" t="s">
        <v>53</v>
      </c>
      <c r="E458" s="95" t="s">
        <v>54</v>
      </c>
      <c r="F458" s="95"/>
      <c r="G458" s="95"/>
      <c r="H458" s="95"/>
      <c r="I458" s="95"/>
      <c r="J458" s="115" t="s">
        <v>2692</v>
      </c>
      <c r="K458" s="193" t="s">
        <v>2693</v>
      </c>
      <c r="L458" s="155" t="s">
        <v>4209</v>
      </c>
      <c r="M458" s="172"/>
      <c r="N458" s="93" t="s">
        <v>2694</v>
      </c>
      <c r="O458" s="92" t="s">
        <v>2695</v>
      </c>
      <c r="P458" s="88" t="s">
        <v>233</v>
      </c>
      <c r="Q458" s="88" t="s">
        <v>48</v>
      </c>
      <c r="R458" s="86">
        <v>6383701337</v>
      </c>
      <c r="S458" s="88" t="s">
        <v>2636</v>
      </c>
      <c r="T458" s="94"/>
      <c r="U458" s="140"/>
      <c r="V458" s="140"/>
      <c r="W458" s="125" t="s">
        <v>98</v>
      </c>
      <c r="X458" s="125" t="s">
        <v>1004</v>
      </c>
      <c r="Y458" s="141"/>
      <c r="Z458" s="131"/>
      <c r="AA458" s="131"/>
      <c r="AB458" s="131"/>
      <c r="AC458" s="131"/>
      <c r="AD458" s="127"/>
      <c r="AF458" s="121"/>
      <c r="AG458" s="121"/>
      <c r="AH458" s="121"/>
      <c r="AI458" s="121"/>
      <c r="AJ458" s="121"/>
      <c r="AK458" s="121"/>
      <c r="AL458" s="121"/>
      <c r="AM458" s="121"/>
      <c r="AN458" s="121">
        <f>COUNTA('All Details for ACID Pastor'!$W458:$AB458)</f>
        <v>2</v>
      </c>
      <c r="AO458" s="121"/>
      <c r="AP458" s="121"/>
      <c r="AQ458" s="121"/>
      <c r="AR458" s="121"/>
      <c r="AS458" s="121"/>
      <c r="AT458" s="121"/>
      <c r="AU458" s="121"/>
      <c r="AV458" s="121"/>
      <c r="AW458" s="163"/>
      <c r="AX458" s="163"/>
      <c r="AZ458" s="121" t="s">
        <v>139</v>
      </c>
      <c r="BA458" s="163"/>
      <c r="BB458" s="163"/>
      <c r="BC458" s="163"/>
      <c r="BF458" s="163">
        <f>COUNTA('All Details for ACID Pastor'!$T458:$AB458)</f>
        <v>2</v>
      </c>
    </row>
    <row r="459" spans="1:74" ht="70.150000000000006" customHeight="1">
      <c r="A459" s="107">
        <v>455</v>
      </c>
      <c r="B459" s="124" t="s">
        <v>2696</v>
      </c>
      <c r="C459" s="90" t="s">
        <v>2697</v>
      </c>
      <c r="D459" s="95" t="s">
        <v>53</v>
      </c>
      <c r="E459" s="95" t="s">
        <v>68</v>
      </c>
      <c r="F459" s="95"/>
      <c r="G459" s="95"/>
      <c r="H459" s="95"/>
      <c r="I459" s="95"/>
      <c r="J459" s="115" t="s">
        <v>1140</v>
      </c>
      <c r="K459" s="193" t="s">
        <v>2698</v>
      </c>
      <c r="L459" s="155" t="s">
        <v>4209</v>
      </c>
      <c r="M459" s="172"/>
      <c r="N459" s="93" t="s">
        <v>2699</v>
      </c>
      <c r="O459" s="92" t="s">
        <v>908</v>
      </c>
      <c r="P459" s="88" t="s">
        <v>1102</v>
      </c>
      <c r="Q459" s="88" t="s">
        <v>48</v>
      </c>
      <c r="R459" s="86">
        <v>9944703249</v>
      </c>
      <c r="S459" s="88" t="s">
        <v>2636</v>
      </c>
      <c r="T459" s="94"/>
      <c r="U459" s="140"/>
      <c r="V459" s="140"/>
      <c r="W459" s="125" t="s">
        <v>98</v>
      </c>
      <c r="X459" s="125" t="s">
        <v>78</v>
      </c>
      <c r="Y459" s="126" t="s">
        <v>79</v>
      </c>
      <c r="Z459" s="131"/>
      <c r="AA459" s="127" t="s">
        <v>1236</v>
      </c>
      <c r="AB459" s="127" t="s">
        <v>1236</v>
      </c>
      <c r="AC459" s="127" t="s">
        <v>1236</v>
      </c>
      <c r="AD459" s="127"/>
      <c r="AF459" s="121"/>
      <c r="AG459" s="121"/>
      <c r="AH459" s="121"/>
      <c r="AI459" s="121"/>
      <c r="AJ459" s="121"/>
      <c r="AK459" s="121"/>
      <c r="AL459" s="121"/>
      <c r="AM459" s="121"/>
      <c r="AN459" s="121">
        <v>3</v>
      </c>
      <c r="AO459" s="121"/>
      <c r="AP459" s="121"/>
      <c r="AQ459" s="121"/>
      <c r="AR459" s="121"/>
      <c r="AS459" s="121"/>
      <c r="AT459" s="121"/>
      <c r="AU459" s="121"/>
      <c r="AV459" s="121"/>
      <c r="AW459" s="163"/>
      <c r="AX459" s="163"/>
      <c r="AZ459" s="121" t="s">
        <v>49</v>
      </c>
      <c r="BA459" s="163"/>
      <c r="BB459" s="163"/>
      <c r="BC459" s="163"/>
      <c r="BF459" s="163">
        <v>6</v>
      </c>
    </row>
    <row r="460" spans="1:74" ht="70.150000000000006" customHeight="1">
      <c r="A460" s="107">
        <v>456</v>
      </c>
      <c r="B460" s="124" t="s">
        <v>2700</v>
      </c>
      <c r="C460" s="90" t="s">
        <v>2701</v>
      </c>
      <c r="D460" s="95" t="s">
        <v>53</v>
      </c>
      <c r="E460" s="95" t="s">
        <v>54</v>
      </c>
      <c r="F460" s="95"/>
      <c r="G460" s="95"/>
      <c r="H460" s="95"/>
      <c r="I460" s="95"/>
      <c r="J460" s="115" t="s">
        <v>922</v>
      </c>
      <c r="K460" s="193" t="s">
        <v>2702</v>
      </c>
      <c r="L460" s="155" t="s">
        <v>4209</v>
      </c>
      <c r="M460" s="172"/>
      <c r="N460" s="93" t="s">
        <v>2703</v>
      </c>
      <c r="O460" s="92" t="s">
        <v>1496</v>
      </c>
      <c r="P460" s="88" t="s">
        <v>626</v>
      </c>
      <c r="Q460" s="88" t="s">
        <v>626</v>
      </c>
      <c r="R460" s="86">
        <v>9585572407</v>
      </c>
      <c r="S460" s="88" t="s">
        <v>2636</v>
      </c>
      <c r="T460" s="94"/>
      <c r="U460" s="140"/>
      <c r="V460" s="140"/>
      <c r="W460" s="140"/>
      <c r="X460" s="140"/>
      <c r="Y460" s="141"/>
      <c r="Z460" s="131"/>
      <c r="AA460" s="131"/>
      <c r="AB460" s="131"/>
      <c r="AC460" s="131"/>
      <c r="AD460" s="127"/>
      <c r="AF460" s="121"/>
      <c r="AG460" s="121"/>
      <c r="AH460" s="121"/>
      <c r="AI460" s="121"/>
      <c r="AJ460" s="121"/>
      <c r="AK460" s="121"/>
      <c r="AL460" s="121"/>
      <c r="AM460" s="121"/>
      <c r="AN460" s="121">
        <f>COUNTA('All Details for ACID Pastor'!$W460:$AB460)</f>
        <v>0</v>
      </c>
      <c r="AO460" s="121"/>
      <c r="AP460" s="121"/>
      <c r="AQ460" s="121"/>
      <c r="AR460" s="121"/>
      <c r="AS460" s="121"/>
      <c r="AT460" s="121"/>
      <c r="AU460" s="121"/>
      <c r="AV460" s="121"/>
      <c r="AW460" s="163"/>
      <c r="AX460" s="163"/>
      <c r="AZ460" s="121" t="s">
        <v>139</v>
      </c>
      <c r="BA460" s="163"/>
      <c r="BB460" s="163"/>
      <c r="BC460" s="163"/>
      <c r="BF460" s="163">
        <f>COUNTA('All Details for ACID Pastor'!$T460:$AB460)</f>
        <v>0</v>
      </c>
    </row>
    <row r="461" spans="1:74" ht="70.150000000000006" customHeight="1">
      <c r="A461" s="107">
        <v>457</v>
      </c>
      <c r="B461" s="124" t="s">
        <v>2704</v>
      </c>
      <c r="C461" s="90" t="s">
        <v>2705</v>
      </c>
      <c r="D461" s="95" t="s">
        <v>53</v>
      </c>
      <c r="E461" s="95" t="s">
        <v>54</v>
      </c>
      <c r="F461" s="95"/>
      <c r="G461" s="95"/>
      <c r="H461" s="95"/>
      <c r="I461" s="95"/>
      <c r="J461" s="115" t="s">
        <v>216</v>
      </c>
      <c r="K461" s="193" t="s">
        <v>2706</v>
      </c>
      <c r="L461" s="155" t="s">
        <v>4209</v>
      </c>
      <c r="M461" s="172" t="s">
        <v>2707</v>
      </c>
      <c r="N461" s="93" t="s">
        <v>2708</v>
      </c>
      <c r="O461" s="92" t="s">
        <v>2709</v>
      </c>
      <c r="P461" s="88" t="s">
        <v>94</v>
      </c>
      <c r="Q461" s="88" t="s">
        <v>48</v>
      </c>
      <c r="R461" s="86">
        <v>9444893129</v>
      </c>
      <c r="S461" s="88" t="s">
        <v>2636</v>
      </c>
      <c r="T461" s="94"/>
      <c r="U461" s="140"/>
      <c r="V461" s="140"/>
      <c r="W461" s="125" t="s">
        <v>98</v>
      </c>
      <c r="X461" s="125" t="s">
        <v>149</v>
      </c>
      <c r="Y461" s="125" t="s">
        <v>149</v>
      </c>
      <c r="Z461" s="125" t="s">
        <v>149</v>
      </c>
      <c r="AA461" s="131"/>
      <c r="AB461" s="131"/>
      <c r="AC461" s="131" t="s">
        <v>4220</v>
      </c>
      <c r="AD461" s="127"/>
      <c r="AE461" s="244"/>
      <c r="AF461" s="121"/>
      <c r="AG461" s="121"/>
      <c r="AH461" s="121"/>
      <c r="AI461" s="121"/>
      <c r="AJ461" s="121"/>
      <c r="AK461" s="121"/>
      <c r="AL461" s="121"/>
      <c r="AM461" s="121"/>
      <c r="AN461" s="121">
        <f>COUNTA('All Details for ACID Pastor'!$W461:$AB461)</f>
        <v>4</v>
      </c>
      <c r="AO461" s="121"/>
      <c r="AP461" s="121"/>
      <c r="AQ461" s="121"/>
      <c r="AR461" s="121"/>
      <c r="AS461" s="121"/>
      <c r="AT461" s="121"/>
      <c r="AU461" s="121"/>
      <c r="AV461" s="121"/>
      <c r="AW461" s="163"/>
      <c r="AX461" s="163"/>
      <c r="AZ461" s="121" t="s">
        <v>49</v>
      </c>
      <c r="BA461" s="163"/>
      <c r="BB461" s="163"/>
      <c r="BC461" s="163">
        <v>1</v>
      </c>
      <c r="BF461" s="163">
        <v>5</v>
      </c>
    </row>
    <row r="462" spans="1:74" s="174" customFormat="1" ht="70.150000000000006" customHeight="1">
      <c r="A462" s="103">
        <v>458</v>
      </c>
      <c r="B462" s="132" t="s">
        <v>2710</v>
      </c>
      <c r="C462" s="101" t="s">
        <v>2711</v>
      </c>
      <c r="D462" s="102" t="s">
        <v>53</v>
      </c>
      <c r="E462" s="102" t="s">
        <v>54</v>
      </c>
      <c r="F462" s="95"/>
      <c r="G462" s="95"/>
      <c r="H462" s="95"/>
      <c r="I462" s="95"/>
      <c r="J462" s="133" t="s">
        <v>1140</v>
      </c>
      <c r="K462" s="256" t="s">
        <v>2712</v>
      </c>
      <c r="L462" s="270" t="s">
        <v>4209</v>
      </c>
      <c r="M462" s="171" t="s">
        <v>2713</v>
      </c>
      <c r="N462" s="104" t="s">
        <v>2714</v>
      </c>
      <c r="O462" s="105" t="s">
        <v>2715</v>
      </c>
      <c r="P462" s="106" t="s">
        <v>1102</v>
      </c>
      <c r="Q462" s="106" t="s">
        <v>48</v>
      </c>
      <c r="R462" s="134">
        <v>9894853156</v>
      </c>
      <c r="S462" s="106" t="s">
        <v>2636</v>
      </c>
      <c r="T462" s="135"/>
      <c r="U462" s="176"/>
      <c r="V462" s="176"/>
      <c r="W462" s="176"/>
      <c r="X462" s="176"/>
      <c r="Y462" s="145"/>
      <c r="Z462" s="136"/>
      <c r="AA462" s="136"/>
      <c r="AB462" s="136"/>
      <c r="AC462" s="136"/>
      <c r="AD462" s="222"/>
      <c r="AE462" s="240"/>
      <c r="AF462" s="232"/>
      <c r="AG462" s="232"/>
      <c r="AH462" s="232"/>
      <c r="AI462" s="232"/>
      <c r="AJ462" s="232"/>
      <c r="AK462" s="232"/>
      <c r="AL462" s="232"/>
      <c r="AM462" s="232"/>
      <c r="AN462" s="232">
        <f>COUNTA('All Details for ACID Pastor'!$W462:$AB462)</f>
        <v>0</v>
      </c>
      <c r="AO462" s="232"/>
      <c r="AP462" s="232"/>
      <c r="AQ462" s="232"/>
      <c r="AR462" s="232"/>
      <c r="AS462" s="232"/>
      <c r="AT462" s="232"/>
      <c r="AU462" s="232"/>
      <c r="AV462" s="232"/>
      <c r="AW462" s="233"/>
      <c r="AX462" s="233"/>
      <c r="AY462" s="244"/>
      <c r="AZ462" s="232" t="s">
        <v>139</v>
      </c>
      <c r="BA462" s="233"/>
      <c r="BB462" s="233"/>
      <c r="BC462" s="233"/>
      <c r="BD462" s="244"/>
      <c r="BE462" s="277"/>
      <c r="BF462" s="233">
        <f>COUNTA('All Details for ACID Pastor'!$T462:$AB462)</f>
        <v>0</v>
      </c>
      <c r="BG462" s="249"/>
      <c r="BH462" s="249"/>
      <c r="BI462" s="249"/>
      <c r="BJ462" s="249"/>
      <c r="BK462" s="249"/>
      <c r="BL462" s="249"/>
      <c r="BM462" s="249"/>
      <c r="BN462" s="249"/>
      <c r="BO462" s="249"/>
      <c r="BP462" s="249"/>
      <c r="BQ462" s="249"/>
      <c r="BR462" s="249"/>
      <c r="BS462" s="249"/>
      <c r="BT462" s="249"/>
      <c r="BU462" s="249"/>
      <c r="BV462" s="249"/>
    </row>
    <row r="463" spans="1:74" ht="70.150000000000006" customHeight="1">
      <c r="A463" s="107">
        <v>459</v>
      </c>
      <c r="B463" s="124" t="s">
        <v>2716</v>
      </c>
      <c r="C463" s="90" t="s">
        <v>2717</v>
      </c>
      <c r="D463" s="95" t="s">
        <v>53</v>
      </c>
      <c r="E463" s="95" t="s">
        <v>54</v>
      </c>
      <c r="F463" s="95"/>
      <c r="G463" s="95"/>
      <c r="H463" s="95"/>
      <c r="I463" s="95"/>
      <c r="J463" s="115" t="s">
        <v>922</v>
      </c>
      <c r="K463" s="193" t="s">
        <v>2718</v>
      </c>
      <c r="L463" s="155" t="s">
        <v>4209</v>
      </c>
      <c r="M463" s="172"/>
      <c r="N463" s="93" t="s">
        <v>2719</v>
      </c>
      <c r="O463" s="92" t="s">
        <v>1496</v>
      </c>
      <c r="P463" s="88" t="s">
        <v>626</v>
      </c>
      <c r="Q463" s="88" t="s">
        <v>626</v>
      </c>
      <c r="R463" s="86">
        <v>8124207024</v>
      </c>
      <c r="S463" s="88" t="s">
        <v>2720</v>
      </c>
      <c r="T463" s="94"/>
      <c r="U463" s="140"/>
      <c r="V463" s="140"/>
      <c r="W463" s="140"/>
      <c r="X463" s="140"/>
      <c r="Y463" s="141"/>
      <c r="Z463" s="131"/>
      <c r="AA463" s="131"/>
      <c r="AB463" s="131"/>
      <c r="AC463" s="131"/>
      <c r="AD463" s="127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>
        <f>COUNTA('All Details for ACID Pastor'!$X463:$AB463)</f>
        <v>0</v>
      </c>
      <c r="AP463" s="121"/>
      <c r="AQ463" s="121"/>
      <c r="AR463" s="121"/>
      <c r="AS463" s="121"/>
      <c r="AT463" s="121"/>
      <c r="AU463" s="121"/>
      <c r="AV463" s="121"/>
      <c r="AW463" s="163"/>
      <c r="AX463" s="163"/>
      <c r="AZ463" s="121" t="s">
        <v>139</v>
      </c>
      <c r="BA463" s="163"/>
      <c r="BB463" s="163"/>
      <c r="BC463" s="163"/>
      <c r="BF463" s="163">
        <f>COUNTA('All Details for ACID Pastor'!$T463:$AB463)</f>
        <v>0</v>
      </c>
    </row>
    <row r="464" spans="1:74" ht="70.150000000000006" customHeight="1">
      <c r="A464" s="107">
        <v>460</v>
      </c>
      <c r="B464" s="124" t="s">
        <v>2721</v>
      </c>
      <c r="C464" s="90" t="s">
        <v>2722</v>
      </c>
      <c r="D464" s="95" t="s">
        <v>53</v>
      </c>
      <c r="E464" s="95" t="s">
        <v>68</v>
      </c>
      <c r="F464" s="95"/>
      <c r="G464" s="95"/>
      <c r="H464" s="95"/>
      <c r="I464" s="95"/>
      <c r="J464" s="115" t="s">
        <v>221</v>
      </c>
      <c r="K464" s="193" t="s">
        <v>2723</v>
      </c>
      <c r="L464" s="155" t="s">
        <v>4209</v>
      </c>
      <c r="M464" s="172" t="s">
        <v>346</v>
      </c>
      <c r="N464" s="93" t="s">
        <v>2724</v>
      </c>
      <c r="O464" s="92" t="s">
        <v>2725</v>
      </c>
      <c r="P464" s="88" t="s">
        <v>198</v>
      </c>
      <c r="Q464" s="88" t="s">
        <v>48</v>
      </c>
      <c r="R464" s="86">
        <v>9585962415</v>
      </c>
      <c r="S464" s="88" t="s">
        <v>2720</v>
      </c>
      <c r="T464" s="94"/>
      <c r="U464" s="140"/>
      <c r="V464" s="140"/>
      <c r="W464" s="140"/>
      <c r="X464" s="125" t="s">
        <v>184</v>
      </c>
      <c r="Y464" s="126" t="s">
        <v>110</v>
      </c>
      <c r="Z464" s="131"/>
      <c r="AA464" s="131"/>
      <c r="AB464" s="127" t="s">
        <v>165</v>
      </c>
      <c r="AC464" s="131" t="s">
        <v>129</v>
      </c>
      <c r="AD464" s="127" t="s">
        <v>4222</v>
      </c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>
        <f>COUNTA('All Details for ACID Pastor'!$X464:$AB464)</f>
        <v>3</v>
      </c>
      <c r="AP464" s="121"/>
      <c r="AQ464" s="121"/>
      <c r="AR464" s="121"/>
      <c r="AS464" s="121"/>
      <c r="AT464" s="121"/>
      <c r="AU464" s="121"/>
      <c r="AV464" s="121"/>
      <c r="AW464" s="163"/>
      <c r="AX464" s="163"/>
      <c r="AZ464" s="121" t="s">
        <v>49</v>
      </c>
      <c r="BA464" s="163"/>
      <c r="BB464" s="163">
        <v>2</v>
      </c>
      <c r="BC464" s="163"/>
      <c r="BE464" s="283">
        <v>1</v>
      </c>
      <c r="BF464" s="163">
        <v>6</v>
      </c>
    </row>
    <row r="465" spans="1:74" ht="70.150000000000006" customHeight="1">
      <c r="A465" s="107">
        <v>461</v>
      </c>
      <c r="B465" s="124" t="s">
        <v>2726</v>
      </c>
      <c r="C465" s="90" t="s">
        <v>2727</v>
      </c>
      <c r="D465" s="95" t="s">
        <v>53</v>
      </c>
      <c r="E465" s="95" t="s">
        <v>68</v>
      </c>
      <c r="F465" s="95"/>
      <c r="G465" s="95"/>
      <c r="H465" s="95"/>
      <c r="I465" s="95"/>
      <c r="J465" s="115" t="s">
        <v>221</v>
      </c>
      <c r="K465" s="193" t="s">
        <v>2728</v>
      </c>
      <c r="L465" s="155" t="s">
        <v>4209</v>
      </c>
      <c r="M465" s="172" t="s">
        <v>2729</v>
      </c>
      <c r="N465" s="93" t="s">
        <v>2730</v>
      </c>
      <c r="O465" s="92" t="s">
        <v>272</v>
      </c>
      <c r="P465" s="88" t="s">
        <v>2731</v>
      </c>
      <c r="Q465" s="88" t="s">
        <v>2224</v>
      </c>
      <c r="R465" s="86">
        <v>8053970690</v>
      </c>
      <c r="S465" s="88" t="s">
        <v>2720</v>
      </c>
      <c r="T465" s="94"/>
      <c r="U465" s="140"/>
      <c r="V465" s="140"/>
      <c r="W465" s="140"/>
      <c r="X465" s="140"/>
      <c r="Y465" s="141"/>
      <c r="Z465" s="131"/>
      <c r="AA465" s="131"/>
      <c r="AB465" s="131"/>
      <c r="AC465" s="131"/>
      <c r="AD465" s="127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>
        <f>COUNTA('All Details for ACID Pastor'!$X465:$AB465)</f>
        <v>0</v>
      </c>
      <c r="AP465" s="121"/>
      <c r="AQ465" s="121"/>
      <c r="AR465" s="121"/>
      <c r="AS465" s="121"/>
      <c r="AT465" s="121"/>
      <c r="AU465" s="121"/>
      <c r="AV465" s="121"/>
      <c r="AW465" s="163"/>
      <c r="AX465" s="163"/>
      <c r="AZ465" s="121" t="s">
        <v>139</v>
      </c>
      <c r="BA465" s="163"/>
      <c r="BB465" s="163"/>
      <c r="BC465" s="163"/>
      <c r="BF465" s="163">
        <f>COUNTA('All Details for ACID Pastor'!$T465:$AB465)</f>
        <v>0</v>
      </c>
    </row>
    <row r="466" spans="1:74" ht="70.150000000000006" customHeight="1">
      <c r="A466" s="107">
        <v>462</v>
      </c>
      <c r="B466" s="124" t="s">
        <v>2732</v>
      </c>
      <c r="C466" s="90" t="s">
        <v>2733</v>
      </c>
      <c r="D466" s="95" t="s">
        <v>53</v>
      </c>
      <c r="E466" s="95" t="s">
        <v>54</v>
      </c>
      <c r="F466" s="95"/>
      <c r="G466" s="95"/>
      <c r="H466" s="95"/>
      <c r="I466" s="95"/>
      <c r="J466" s="115" t="s">
        <v>2734</v>
      </c>
      <c r="K466" s="193" t="s">
        <v>2735</v>
      </c>
      <c r="L466" s="155" t="s">
        <v>4209</v>
      </c>
      <c r="M466" s="172"/>
      <c r="N466" s="93" t="s">
        <v>2736</v>
      </c>
      <c r="O466" s="92" t="s">
        <v>2737</v>
      </c>
      <c r="P466" s="88" t="s">
        <v>166</v>
      </c>
      <c r="Q466" s="88" t="s">
        <v>48</v>
      </c>
      <c r="R466" s="86">
        <v>9486847121</v>
      </c>
      <c r="S466" s="88" t="s">
        <v>2720</v>
      </c>
      <c r="T466" s="94"/>
      <c r="U466" s="140"/>
      <c r="V466" s="140"/>
      <c r="W466" s="140"/>
      <c r="X466" s="125" t="s">
        <v>184</v>
      </c>
      <c r="Y466" s="126" t="s">
        <v>110</v>
      </c>
      <c r="Z466" s="131"/>
      <c r="AA466" s="131"/>
      <c r="AB466" s="131"/>
      <c r="AC466" s="131"/>
      <c r="AD466" s="127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>
        <f>COUNTA('All Details for ACID Pastor'!$X466:$AB466)</f>
        <v>2</v>
      </c>
      <c r="AP466" s="121"/>
      <c r="AQ466" s="121"/>
      <c r="AR466" s="121"/>
      <c r="AS466" s="121"/>
      <c r="AT466" s="121"/>
      <c r="AU466" s="121"/>
      <c r="AV466" s="121"/>
      <c r="AW466" s="163"/>
      <c r="AX466" s="163"/>
      <c r="AZ466" s="121" t="s">
        <v>49</v>
      </c>
      <c r="BA466" s="163"/>
      <c r="BB466" s="163"/>
      <c r="BC466" s="163"/>
      <c r="BF466" s="163">
        <f>COUNTA('All Details for ACID Pastor'!$T466:$AB466)</f>
        <v>2</v>
      </c>
    </row>
    <row r="467" spans="1:74" ht="70.150000000000006" customHeight="1">
      <c r="A467" s="107">
        <v>463</v>
      </c>
      <c r="B467" s="124" t="s">
        <v>2738</v>
      </c>
      <c r="C467" s="90" t="s">
        <v>2739</v>
      </c>
      <c r="D467" s="95" t="s">
        <v>53</v>
      </c>
      <c r="E467" s="95" t="s">
        <v>160</v>
      </c>
      <c r="F467" s="95"/>
      <c r="G467" s="95"/>
      <c r="H467" s="95"/>
      <c r="I467" s="95"/>
      <c r="J467" s="115" t="s">
        <v>2734</v>
      </c>
      <c r="K467" s="193" t="s">
        <v>2740</v>
      </c>
      <c r="L467" s="121"/>
      <c r="M467" s="172"/>
      <c r="N467" s="93" t="s">
        <v>2736</v>
      </c>
      <c r="O467" s="92" t="s">
        <v>2737</v>
      </c>
      <c r="P467" s="88" t="s">
        <v>166</v>
      </c>
      <c r="Q467" s="88" t="s">
        <v>48</v>
      </c>
      <c r="R467" s="86">
        <v>9444498019</v>
      </c>
      <c r="S467" s="88" t="s">
        <v>2720</v>
      </c>
      <c r="T467" s="94"/>
      <c r="U467" s="140"/>
      <c r="V467" s="140"/>
      <c r="W467" s="140"/>
      <c r="X467" s="125" t="s">
        <v>184</v>
      </c>
      <c r="Y467" s="141"/>
      <c r="Z467" s="131"/>
      <c r="AA467" s="131"/>
      <c r="AB467" s="131"/>
      <c r="AC467" s="131"/>
      <c r="AD467" s="127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>
        <f>COUNTA('All Details for ACID Pastor'!$X467:$AB467)</f>
        <v>1</v>
      </c>
      <c r="AP467" s="121"/>
      <c r="AQ467" s="121"/>
      <c r="AR467" s="121"/>
      <c r="AS467" s="121"/>
      <c r="AT467" s="121"/>
      <c r="AU467" s="121"/>
      <c r="AV467" s="121"/>
      <c r="AW467" s="163"/>
      <c r="AX467" s="163"/>
      <c r="AZ467" s="121" t="s">
        <v>139</v>
      </c>
      <c r="BA467" s="163"/>
      <c r="BB467" s="163"/>
      <c r="BC467" s="163"/>
      <c r="BF467" s="163">
        <f>COUNTA('All Details for ACID Pastor'!$T467:$AB467)</f>
        <v>1</v>
      </c>
    </row>
    <row r="468" spans="1:74" ht="70.150000000000006" customHeight="1">
      <c r="A468" s="107">
        <v>464</v>
      </c>
      <c r="B468" s="124" t="s">
        <v>2741</v>
      </c>
      <c r="C468" s="90" t="s">
        <v>2742</v>
      </c>
      <c r="D468" s="95" t="s">
        <v>53</v>
      </c>
      <c r="E468" s="95" t="s">
        <v>160</v>
      </c>
      <c r="F468" s="95"/>
      <c r="G468" s="95"/>
      <c r="H468" s="95"/>
      <c r="I468" s="95"/>
      <c r="J468" s="115" t="s">
        <v>221</v>
      </c>
      <c r="K468" s="193" t="s">
        <v>2743</v>
      </c>
      <c r="L468" s="121"/>
      <c r="M468" s="172" t="s">
        <v>2214</v>
      </c>
      <c r="N468" s="93" t="s">
        <v>2744</v>
      </c>
      <c r="O468" s="92" t="s">
        <v>2745</v>
      </c>
      <c r="P468" s="88" t="s">
        <v>198</v>
      </c>
      <c r="Q468" s="88" t="s">
        <v>48</v>
      </c>
      <c r="R468" s="86">
        <v>9443381448</v>
      </c>
      <c r="S468" s="88" t="s">
        <v>2720</v>
      </c>
      <c r="T468" s="94"/>
      <c r="U468" s="140"/>
      <c r="V468" s="140"/>
      <c r="W468" s="140"/>
      <c r="X468" s="125" t="s">
        <v>184</v>
      </c>
      <c r="Y468" s="141"/>
      <c r="Z468" s="131"/>
      <c r="AA468" s="131"/>
      <c r="AB468" s="131"/>
      <c r="AC468" s="131"/>
      <c r="AD468" s="127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>
        <f>COUNTA('All Details for ACID Pastor'!$X468:$AB468)</f>
        <v>1</v>
      </c>
      <c r="AP468" s="121"/>
      <c r="AQ468" s="121"/>
      <c r="AR468" s="121"/>
      <c r="AS468" s="121"/>
      <c r="AT468" s="121"/>
      <c r="AU468" s="121"/>
      <c r="AV468" s="121"/>
      <c r="AW468" s="163"/>
      <c r="AX468" s="163"/>
      <c r="AZ468" s="121" t="s">
        <v>139</v>
      </c>
      <c r="BA468" s="163"/>
      <c r="BB468" s="163"/>
      <c r="BC468" s="163"/>
      <c r="BF468" s="163">
        <f>COUNTA('All Details for ACID Pastor'!$T468:$AB468)</f>
        <v>1</v>
      </c>
    </row>
    <row r="469" spans="1:74" ht="70.150000000000006" customHeight="1">
      <c r="A469" s="107">
        <v>465</v>
      </c>
      <c r="B469" s="124" t="s">
        <v>2746</v>
      </c>
      <c r="C469" s="90" t="s">
        <v>2747</v>
      </c>
      <c r="D469" s="95" t="s">
        <v>53</v>
      </c>
      <c r="E469" s="95" t="s">
        <v>160</v>
      </c>
      <c r="F469" s="95"/>
      <c r="G469" s="95"/>
      <c r="H469" s="95"/>
      <c r="I469" s="95"/>
      <c r="J469" s="115" t="s">
        <v>221</v>
      </c>
      <c r="K469" s="193" t="s">
        <v>2748</v>
      </c>
      <c r="L469" s="155" t="s">
        <v>4209</v>
      </c>
      <c r="M469" s="172"/>
      <c r="N469" s="93" t="s">
        <v>2749</v>
      </c>
      <c r="O469" s="92" t="s">
        <v>2630</v>
      </c>
      <c r="P469" s="88" t="s">
        <v>198</v>
      </c>
      <c r="Q469" s="88" t="s">
        <v>48</v>
      </c>
      <c r="R469" s="86">
        <v>9159325533</v>
      </c>
      <c r="S469" s="88" t="s">
        <v>2720</v>
      </c>
      <c r="T469" s="94"/>
      <c r="U469" s="140"/>
      <c r="V469" s="140"/>
      <c r="W469" s="140"/>
      <c r="X469" s="125" t="s">
        <v>184</v>
      </c>
      <c r="Y469" s="126" t="s">
        <v>110</v>
      </c>
      <c r="Z469" s="131"/>
      <c r="AA469" s="131"/>
      <c r="AB469" s="131"/>
      <c r="AC469" s="131"/>
      <c r="AD469" s="127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>
        <f>COUNTA('All Details for ACID Pastor'!$X469:$AB469)</f>
        <v>2</v>
      </c>
      <c r="AP469" s="121"/>
      <c r="AQ469" s="121"/>
      <c r="AR469" s="121"/>
      <c r="AS469" s="121"/>
      <c r="AT469" s="121"/>
      <c r="AU469" s="121"/>
      <c r="AV469" s="121"/>
      <c r="AW469" s="163"/>
      <c r="AX469" s="163"/>
      <c r="AZ469" s="121" t="s">
        <v>49</v>
      </c>
      <c r="BA469" s="163"/>
      <c r="BB469" s="163"/>
      <c r="BC469" s="163"/>
      <c r="BF469" s="163">
        <f>COUNTA('All Details for ACID Pastor'!$T469:$AB469)</f>
        <v>2</v>
      </c>
    </row>
    <row r="470" spans="1:74" ht="70.150000000000006" customHeight="1">
      <c r="A470" s="107">
        <v>466</v>
      </c>
      <c r="B470" s="124" t="s">
        <v>2750</v>
      </c>
      <c r="C470" s="90" t="s">
        <v>2751</v>
      </c>
      <c r="D470" s="95" t="s">
        <v>53</v>
      </c>
      <c r="E470" s="95" t="s">
        <v>54</v>
      </c>
      <c r="F470" s="95"/>
      <c r="G470" s="95"/>
      <c r="H470" s="95"/>
      <c r="I470" s="95"/>
      <c r="J470" s="118"/>
      <c r="K470" s="193" t="s">
        <v>2752</v>
      </c>
      <c r="L470" s="155" t="s">
        <v>4209</v>
      </c>
      <c r="M470" s="172"/>
      <c r="N470" s="93" t="s">
        <v>2753</v>
      </c>
      <c r="O470" s="92" t="s">
        <v>2754</v>
      </c>
      <c r="P470" s="88" t="s">
        <v>166</v>
      </c>
      <c r="Q470" s="88" t="s">
        <v>48</v>
      </c>
      <c r="R470" s="86">
        <v>9486113754</v>
      </c>
      <c r="S470" s="88" t="s">
        <v>2720</v>
      </c>
      <c r="T470" s="94"/>
      <c r="U470" s="140"/>
      <c r="V470" s="140"/>
      <c r="W470" s="140"/>
      <c r="X470" s="125" t="s">
        <v>184</v>
      </c>
      <c r="Y470" s="126" t="s">
        <v>110</v>
      </c>
      <c r="Z470" s="131" t="s">
        <v>4218</v>
      </c>
      <c r="AA470" s="131" t="s">
        <v>4218</v>
      </c>
      <c r="AB470" s="131" t="s">
        <v>4218</v>
      </c>
      <c r="AC470" s="131" t="s">
        <v>4218</v>
      </c>
      <c r="AD470" s="127" t="s">
        <v>4218</v>
      </c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>
        <f>COUNTA('All Details for ACID Pastor'!$X470:$AB470)</f>
        <v>5</v>
      </c>
      <c r="AP470" s="121"/>
      <c r="AQ470" s="121"/>
      <c r="AR470" s="121"/>
      <c r="AS470" s="121"/>
      <c r="AT470" s="121"/>
      <c r="AU470" s="121"/>
      <c r="AV470" s="121"/>
      <c r="AW470" s="163"/>
      <c r="AX470" s="163"/>
      <c r="AZ470" s="121" t="s">
        <v>49</v>
      </c>
      <c r="BA470" s="163"/>
      <c r="BB470" s="163"/>
      <c r="BC470" s="163"/>
      <c r="BF470" s="163">
        <f>COUNTA('All Details for ACID Pastor'!$T470:$AB470)</f>
        <v>5</v>
      </c>
    </row>
    <row r="471" spans="1:74" ht="70.150000000000006" customHeight="1">
      <c r="A471" s="107">
        <v>467</v>
      </c>
      <c r="B471" s="124" t="s">
        <v>2755</v>
      </c>
      <c r="C471" s="90" t="s">
        <v>2756</v>
      </c>
      <c r="D471" s="95" t="s">
        <v>53</v>
      </c>
      <c r="E471" s="95" t="s">
        <v>54</v>
      </c>
      <c r="F471" s="95"/>
      <c r="G471" s="95"/>
      <c r="H471" s="95"/>
      <c r="I471" s="95"/>
      <c r="J471" s="115" t="s">
        <v>2757</v>
      </c>
      <c r="K471" s="193" t="s">
        <v>2758</v>
      </c>
      <c r="L471" s="155" t="s">
        <v>4209</v>
      </c>
      <c r="M471" s="172"/>
      <c r="N471" s="93" t="s">
        <v>2759</v>
      </c>
      <c r="O471" s="92" t="s">
        <v>2760</v>
      </c>
      <c r="P471" s="88" t="s">
        <v>73</v>
      </c>
      <c r="Q471" s="88" t="s">
        <v>48</v>
      </c>
      <c r="R471" s="86">
        <v>9940189768</v>
      </c>
      <c r="S471" s="88" t="s">
        <v>2720</v>
      </c>
      <c r="T471" s="94"/>
      <c r="U471" s="140"/>
      <c r="V471" s="140"/>
      <c r="W471" s="140"/>
      <c r="X471" s="140"/>
      <c r="Y471" s="141"/>
      <c r="Z471" s="131"/>
      <c r="AA471" s="131"/>
      <c r="AB471" s="131"/>
      <c r="AC471" s="131"/>
      <c r="AD471" s="127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>
        <f>COUNTA('All Details for ACID Pastor'!$X471:$AB471)</f>
        <v>0</v>
      </c>
      <c r="AP471" s="121"/>
      <c r="AQ471" s="121"/>
      <c r="AR471" s="121"/>
      <c r="AS471" s="121"/>
      <c r="AT471" s="121"/>
      <c r="AU471" s="121"/>
      <c r="AV471" s="121"/>
      <c r="AW471" s="163"/>
      <c r="AX471" s="163"/>
      <c r="AZ471" s="121" t="s">
        <v>139</v>
      </c>
      <c r="BA471" s="163"/>
      <c r="BB471" s="163"/>
      <c r="BC471" s="163"/>
      <c r="BF471" s="163">
        <f>COUNTA('All Details for ACID Pastor'!$T471:$AB471)</f>
        <v>0</v>
      </c>
    </row>
    <row r="472" spans="1:74" ht="70.150000000000006" customHeight="1">
      <c r="A472" s="107">
        <v>468</v>
      </c>
      <c r="B472" s="124" t="s">
        <v>2761</v>
      </c>
      <c r="C472" s="90" t="s">
        <v>2762</v>
      </c>
      <c r="D472" s="95" t="s">
        <v>53</v>
      </c>
      <c r="E472" s="95" t="s">
        <v>1975</v>
      </c>
      <c r="F472" s="95"/>
      <c r="G472" s="95"/>
      <c r="H472" s="95"/>
      <c r="I472" s="95"/>
      <c r="J472" s="115" t="s">
        <v>221</v>
      </c>
      <c r="K472" s="193" t="s">
        <v>2763</v>
      </c>
      <c r="L472" s="155" t="s">
        <v>4209</v>
      </c>
      <c r="M472" s="172" t="s">
        <v>2764</v>
      </c>
      <c r="N472" s="93" t="s">
        <v>2765</v>
      </c>
      <c r="O472" s="92" t="s">
        <v>2766</v>
      </c>
      <c r="P472" s="88" t="s">
        <v>198</v>
      </c>
      <c r="Q472" s="88" t="s">
        <v>48</v>
      </c>
      <c r="R472" s="86">
        <v>9944811014</v>
      </c>
      <c r="S472" s="88" t="s">
        <v>2720</v>
      </c>
      <c r="T472" s="94"/>
      <c r="U472" s="140"/>
      <c r="V472" s="140"/>
      <c r="W472" s="140"/>
      <c r="X472" s="125" t="s">
        <v>184</v>
      </c>
      <c r="Y472" s="141"/>
      <c r="Z472" s="131"/>
      <c r="AA472" s="131"/>
      <c r="AB472" s="131"/>
      <c r="AC472" s="131"/>
      <c r="AD472" s="127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>
        <f>COUNTA('All Details for ACID Pastor'!$X472:$AB472)</f>
        <v>1</v>
      </c>
      <c r="AP472" s="121"/>
      <c r="AQ472" s="121"/>
      <c r="AR472" s="121"/>
      <c r="AS472" s="121"/>
      <c r="AT472" s="121"/>
      <c r="AU472" s="121"/>
      <c r="AV472" s="121"/>
      <c r="AW472" s="163"/>
      <c r="AX472" s="163"/>
      <c r="AZ472" s="121" t="s">
        <v>139</v>
      </c>
      <c r="BA472" s="163"/>
      <c r="BB472" s="163"/>
      <c r="BC472" s="163"/>
      <c r="BF472" s="163">
        <f>COUNTA('All Details for ACID Pastor'!$T472:$AB472)</f>
        <v>1</v>
      </c>
    </row>
    <row r="473" spans="1:74" ht="70.150000000000006" customHeight="1">
      <c r="A473" s="107">
        <v>469</v>
      </c>
      <c r="B473" s="124" t="s">
        <v>2767</v>
      </c>
      <c r="C473" s="90" t="s">
        <v>2768</v>
      </c>
      <c r="D473" s="95" t="s">
        <v>53</v>
      </c>
      <c r="E473" s="95" t="s">
        <v>68</v>
      </c>
      <c r="F473" s="95"/>
      <c r="G473" s="95"/>
      <c r="H473" s="95"/>
      <c r="I473" s="95"/>
      <c r="J473" s="115" t="s">
        <v>1140</v>
      </c>
      <c r="K473" s="193" t="s">
        <v>2769</v>
      </c>
      <c r="L473" s="155" t="s">
        <v>4209</v>
      </c>
      <c r="M473" s="172"/>
      <c r="N473" s="93" t="s">
        <v>2770</v>
      </c>
      <c r="O473" s="92" t="s">
        <v>2771</v>
      </c>
      <c r="P473" s="88" t="s">
        <v>1102</v>
      </c>
      <c r="Q473" s="88" t="s">
        <v>48</v>
      </c>
      <c r="R473" s="86">
        <v>9443122390</v>
      </c>
      <c r="S473" s="88" t="s">
        <v>2720</v>
      </c>
      <c r="T473" s="94"/>
      <c r="U473" s="140"/>
      <c r="V473" s="140"/>
      <c r="W473" s="140"/>
      <c r="X473" s="125" t="s">
        <v>184</v>
      </c>
      <c r="Y473" s="126" t="s">
        <v>110</v>
      </c>
      <c r="Z473" s="127" t="s">
        <v>2772</v>
      </c>
      <c r="AA473" s="127" t="s">
        <v>2772</v>
      </c>
      <c r="AB473" s="127" t="s">
        <v>2772</v>
      </c>
      <c r="AC473" s="131"/>
      <c r="AD473" s="127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>
        <f>COUNTA('All Details for ACID Pastor'!$X473:$AB473)</f>
        <v>5</v>
      </c>
      <c r="AP473" s="121"/>
      <c r="AQ473" s="121"/>
      <c r="AR473" s="121"/>
      <c r="AS473" s="121"/>
      <c r="AT473" s="121"/>
      <c r="AU473" s="121"/>
      <c r="AV473" s="121"/>
      <c r="AW473" s="163"/>
      <c r="AX473" s="163"/>
      <c r="AZ473" s="121" t="s">
        <v>49</v>
      </c>
      <c r="BA473" s="163"/>
      <c r="BB473" s="163"/>
      <c r="BC473" s="163"/>
      <c r="BF473" s="163">
        <f>COUNTA('All Details for ACID Pastor'!$T473:$AB473)</f>
        <v>5</v>
      </c>
    </row>
    <row r="474" spans="1:74" ht="70.150000000000006" customHeight="1">
      <c r="A474" s="107">
        <v>470</v>
      </c>
      <c r="B474" s="124" t="s">
        <v>2773</v>
      </c>
      <c r="C474" s="90" t="s">
        <v>2774</v>
      </c>
      <c r="D474" s="95" t="s">
        <v>53</v>
      </c>
      <c r="E474" s="95" t="s">
        <v>68</v>
      </c>
      <c r="F474" s="95"/>
      <c r="G474" s="95"/>
      <c r="H474" s="95"/>
      <c r="I474" s="95"/>
      <c r="J474" s="115" t="s">
        <v>1140</v>
      </c>
      <c r="K474" s="193" t="s">
        <v>2775</v>
      </c>
      <c r="L474" s="121" t="s">
        <v>4201</v>
      </c>
      <c r="M474" s="172" t="s">
        <v>2776</v>
      </c>
      <c r="N474" s="93" t="s">
        <v>2777</v>
      </c>
      <c r="O474" s="92" t="s">
        <v>2771</v>
      </c>
      <c r="P474" s="88" t="s">
        <v>1102</v>
      </c>
      <c r="Q474" s="88" t="s">
        <v>48</v>
      </c>
      <c r="R474" s="86">
        <v>9443835001</v>
      </c>
      <c r="S474" s="88" t="s">
        <v>2720</v>
      </c>
      <c r="T474" s="94"/>
      <c r="U474" s="140"/>
      <c r="V474" s="140"/>
      <c r="W474" s="140"/>
      <c r="X474" s="125" t="s">
        <v>184</v>
      </c>
      <c r="Y474" s="126" t="s">
        <v>110</v>
      </c>
      <c r="Z474" s="127" t="s">
        <v>2772</v>
      </c>
      <c r="AA474" s="127" t="s">
        <v>2772</v>
      </c>
      <c r="AB474" s="127" t="s">
        <v>2772</v>
      </c>
      <c r="AC474" s="131"/>
      <c r="AD474" s="127"/>
      <c r="AE474" s="244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>
        <f>COUNTA('All Details for ACID Pastor'!$X474:$AB474)</f>
        <v>5</v>
      </c>
      <c r="AP474" s="121"/>
      <c r="AQ474" s="121"/>
      <c r="AR474" s="121"/>
      <c r="AS474" s="121"/>
      <c r="AT474" s="121"/>
      <c r="AU474" s="121"/>
      <c r="AV474" s="121"/>
      <c r="AW474" s="163"/>
      <c r="AX474" s="163"/>
      <c r="AZ474" s="121" t="s">
        <v>49</v>
      </c>
      <c r="BA474" s="163"/>
      <c r="BB474" s="163"/>
      <c r="BC474" s="163"/>
      <c r="BF474" s="163">
        <f>COUNTA('All Details for ACID Pastor'!$T474:$AB474)</f>
        <v>5</v>
      </c>
    </row>
    <row r="475" spans="1:74" s="174" customFormat="1" ht="70.150000000000006" customHeight="1">
      <c r="A475" s="103">
        <v>471</v>
      </c>
      <c r="B475" s="132" t="s">
        <v>2778</v>
      </c>
      <c r="C475" s="101" t="s">
        <v>2779</v>
      </c>
      <c r="D475" s="102" t="s">
        <v>53</v>
      </c>
      <c r="E475" s="102" t="s">
        <v>68</v>
      </c>
      <c r="F475" s="95"/>
      <c r="G475" s="95"/>
      <c r="H475" s="95"/>
      <c r="I475" s="95"/>
      <c r="J475" s="133" t="s">
        <v>1140</v>
      </c>
      <c r="K475" s="256" t="s">
        <v>2780</v>
      </c>
      <c r="L475" s="232" t="s">
        <v>4201</v>
      </c>
      <c r="M475" s="171"/>
      <c r="N475" s="104" t="s">
        <v>2781</v>
      </c>
      <c r="O475" s="105" t="s">
        <v>1124</v>
      </c>
      <c r="P475" s="106" t="s">
        <v>1102</v>
      </c>
      <c r="Q475" s="106" t="s">
        <v>48</v>
      </c>
      <c r="R475" s="134"/>
      <c r="S475" s="106" t="s">
        <v>2720</v>
      </c>
      <c r="T475" s="135"/>
      <c r="U475" s="176"/>
      <c r="V475" s="176"/>
      <c r="W475" s="176"/>
      <c r="X475" s="176"/>
      <c r="Y475" s="145"/>
      <c r="Z475" s="136"/>
      <c r="AA475" s="136"/>
      <c r="AB475" s="136"/>
      <c r="AC475" s="136"/>
      <c r="AD475" s="222"/>
      <c r="AE475" s="244"/>
      <c r="AF475" s="232"/>
      <c r="AG475" s="232"/>
      <c r="AH475" s="232"/>
      <c r="AI475" s="232"/>
      <c r="AJ475" s="232"/>
      <c r="AK475" s="232"/>
      <c r="AL475" s="232"/>
      <c r="AM475" s="232"/>
      <c r="AN475" s="232"/>
      <c r="AO475" s="232">
        <f>COUNTA('All Details for ACID Pastor'!$X475:$AB475)</f>
        <v>0</v>
      </c>
      <c r="AP475" s="232"/>
      <c r="AQ475" s="232"/>
      <c r="AR475" s="232"/>
      <c r="AS475" s="232"/>
      <c r="AT475" s="232"/>
      <c r="AU475" s="232"/>
      <c r="AV475" s="232"/>
      <c r="AW475" s="233"/>
      <c r="AX475" s="233"/>
      <c r="AY475" s="244"/>
      <c r="AZ475" s="232" t="s">
        <v>139</v>
      </c>
      <c r="BA475" s="233"/>
      <c r="BB475" s="233"/>
      <c r="BC475" s="233"/>
      <c r="BD475" s="244"/>
      <c r="BE475" s="277"/>
      <c r="BF475" s="233">
        <f>COUNTA('All Details for ACID Pastor'!$T475:$AB475)</f>
        <v>0</v>
      </c>
      <c r="BG475" s="249"/>
      <c r="BH475" s="249"/>
      <c r="BI475" s="249"/>
      <c r="BJ475" s="249"/>
      <c r="BK475" s="249"/>
      <c r="BL475" s="249"/>
      <c r="BM475" s="249"/>
      <c r="BN475" s="249"/>
      <c r="BO475" s="249"/>
      <c r="BP475" s="249"/>
      <c r="BQ475" s="249"/>
      <c r="BR475" s="249"/>
      <c r="BS475" s="249"/>
      <c r="BT475" s="249"/>
      <c r="BU475" s="249"/>
      <c r="BV475" s="249"/>
    </row>
    <row r="476" spans="1:74" s="174" customFormat="1" ht="70.150000000000006" customHeight="1">
      <c r="A476" s="103">
        <v>472</v>
      </c>
      <c r="B476" s="132" t="s">
        <v>2782</v>
      </c>
      <c r="C476" s="101" t="s">
        <v>2783</v>
      </c>
      <c r="D476" s="102" t="s">
        <v>53</v>
      </c>
      <c r="E476" s="102" t="s">
        <v>68</v>
      </c>
      <c r="F476" s="95"/>
      <c r="G476" s="95"/>
      <c r="H476" s="95"/>
      <c r="I476" s="95"/>
      <c r="J476" s="133" t="s">
        <v>1140</v>
      </c>
      <c r="K476" s="256" t="s">
        <v>2784</v>
      </c>
      <c r="L476" s="232" t="s">
        <v>4201</v>
      </c>
      <c r="M476" s="171"/>
      <c r="N476" s="104" t="s">
        <v>2785</v>
      </c>
      <c r="O476" s="105" t="s">
        <v>1124</v>
      </c>
      <c r="P476" s="106" t="s">
        <v>1102</v>
      </c>
      <c r="Q476" s="106" t="s">
        <v>48</v>
      </c>
      <c r="R476" s="134">
        <v>7598278772</v>
      </c>
      <c r="S476" s="106" t="s">
        <v>2720</v>
      </c>
      <c r="T476" s="135"/>
      <c r="U476" s="176"/>
      <c r="V476" s="176"/>
      <c r="W476" s="176"/>
      <c r="X476" s="176"/>
      <c r="Y476" s="145"/>
      <c r="Z476" s="136"/>
      <c r="AA476" s="136"/>
      <c r="AB476" s="136"/>
      <c r="AC476" s="136"/>
      <c r="AD476" s="222"/>
      <c r="AE476" s="244"/>
      <c r="AF476" s="232"/>
      <c r="AG476" s="232"/>
      <c r="AH476" s="232"/>
      <c r="AI476" s="232"/>
      <c r="AJ476" s="232"/>
      <c r="AK476" s="232"/>
      <c r="AL476" s="232"/>
      <c r="AM476" s="232"/>
      <c r="AN476" s="232"/>
      <c r="AO476" s="232">
        <f>COUNTA('All Details for ACID Pastor'!$X476:$AB476)</f>
        <v>0</v>
      </c>
      <c r="AP476" s="232"/>
      <c r="AQ476" s="232"/>
      <c r="AR476" s="232"/>
      <c r="AS476" s="232"/>
      <c r="AT476" s="232"/>
      <c r="AU476" s="232"/>
      <c r="AV476" s="232"/>
      <c r="AW476" s="233"/>
      <c r="AX476" s="233"/>
      <c r="AY476" s="244"/>
      <c r="AZ476" s="232" t="s">
        <v>139</v>
      </c>
      <c r="BA476" s="233"/>
      <c r="BB476" s="233"/>
      <c r="BC476" s="233"/>
      <c r="BD476" s="244"/>
      <c r="BE476" s="277"/>
      <c r="BF476" s="233">
        <f>COUNTA('All Details for ACID Pastor'!$T476:$AB476)</f>
        <v>0</v>
      </c>
      <c r="BG476" s="249"/>
      <c r="BH476" s="249"/>
      <c r="BI476" s="249"/>
      <c r="BJ476" s="249"/>
      <c r="BK476" s="249"/>
      <c r="BL476" s="249"/>
      <c r="BM476" s="249"/>
      <c r="BN476" s="249"/>
      <c r="BO476" s="249"/>
      <c r="BP476" s="249"/>
      <c r="BQ476" s="249"/>
      <c r="BR476" s="249"/>
      <c r="BS476" s="249"/>
      <c r="BT476" s="249"/>
      <c r="BU476" s="249"/>
      <c r="BV476" s="249"/>
    </row>
    <row r="477" spans="1:74" s="174" customFormat="1" ht="70.150000000000006" customHeight="1">
      <c r="A477" s="103">
        <v>473</v>
      </c>
      <c r="B477" s="132" t="s">
        <v>2786</v>
      </c>
      <c r="C477" s="101" t="s">
        <v>2232</v>
      </c>
      <c r="D477" s="102" t="s">
        <v>53</v>
      </c>
      <c r="E477" s="102" t="s">
        <v>54</v>
      </c>
      <c r="F477" s="95"/>
      <c r="G477" s="95"/>
      <c r="H477" s="95"/>
      <c r="I477" s="95"/>
      <c r="J477" s="133" t="s">
        <v>1140</v>
      </c>
      <c r="K477" s="256" t="s">
        <v>2787</v>
      </c>
      <c r="L477" s="270" t="s">
        <v>4209</v>
      </c>
      <c r="M477" s="171"/>
      <c r="N477" s="104" t="s">
        <v>2788</v>
      </c>
      <c r="O477" s="105" t="s">
        <v>2789</v>
      </c>
      <c r="P477" s="106" t="s">
        <v>1102</v>
      </c>
      <c r="Q477" s="106" t="s">
        <v>48</v>
      </c>
      <c r="R477" s="134">
        <v>9865656204</v>
      </c>
      <c r="S477" s="106" t="s">
        <v>2720</v>
      </c>
      <c r="T477" s="135"/>
      <c r="U477" s="176"/>
      <c r="V477" s="176"/>
      <c r="W477" s="176"/>
      <c r="X477" s="176"/>
      <c r="Y477" s="145"/>
      <c r="Z477" s="136"/>
      <c r="AA477" s="136"/>
      <c r="AB477" s="136"/>
      <c r="AC477" s="136"/>
      <c r="AD477" s="222"/>
      <c r="AE477" s="240"/>
      <c r="AF477" s="232"/>
      <c r="AG477" s="232"/>
      <c r="AH477" s="232"/>
      <c r="AI477" s="232"/>
      <c r="AJ477" s="232"/>
      <c r="AK477" s="232"/>
      <c r="AL477" s="232"/>
      <c r="AM477" s="232"/>
      <c r="AN477" s="232"/>
      <c r="AO477" s="232">
        <f>COUNTA('All Details for ACID Pastor'!$X477:$AB477)</f>
        <v>0</v>
      </c>
      <c r="AP477" s="232"/>
      <c r="AQ477" s="232"/>
      <c r="AR477" s="232"/>
      <c r="AS477" s="232"/>
      <c r="AT477" s="232"/>
      <c r="AU477" s="232"/>
      <c r="AV477" s="232"/>
      <c r="AW477" s="233"/>
      <c r="AX477" s="233"/>
      <c r="AY477" s="244"/>
      <c r="AZ477" s="232" t="s">
        <v>139</v>
      </c>
      <c r="BA477" s="233"/>
      <c r="BB477" s="233"/>
      <c r="BC477" s="233"/>
      <c r="BD477" s="244"/>
      <c r="BE477" s="277"/>
      <c r="BF477" s="233">
        <f>COUNTA('All Details for ACID Pastor'!$T477:$AB477)</f>
        <v>0</v>
      </c>
      <c r="BG477" s="249"/>
      <c r="BH477" s="249"/>
      <c r="BI477" s="249"/>
      <c r="BJ477" s="249"/>
      <c r="BK477" s="249"/>
      <c r="BL477" s="249"/>
      <c r="BM477" s="249"/>
      <c r="BN477" s="249"/>
      <c r="BO477" s="249"/>
      <c r="BP477" s="249"/>
      <c r="BQ477" s="249"/>
      <c r="BR477" s="249"/>
      <c r="BS477" s="249"/>
      <c r="BT477" s="249"/>
      <c r="BU477" s="249"/>
      <c r="BV477" s="249"/>
    </row>
    <row r="478" spans="1:74" ht="70.150000000000006" customHeight="1">
      <c r="A478" s="107">
        <v>474</v>
      </c>
      <c r="B478" s="124" t="s">
        <v>2790</v>
      </c>
      <c r="C478" s="90" t="s">
        <v>2791</v>
      </c>
      <c r="D478" s="95" t="s">
        <v>53</v>
      </c>
      <c r="E478" s="95" t="s">
        <v>68</v>
      </c>
      <c r="F478" s="95"/>
      <c r="G478" s="95"/>
      <c r="H478" s="95"/>
      <c r="I478" s="95"/>
      <c r="J478" s="115" t="s">
        <v>2792</v>
      </c>
      <c r="K478" s="193" t="s">
        <v>2793</v>
      </c>
      <c r="L478" s="155" t="s">
        <v>4209</v>
      </c>
      <c r="M478" s="172"/>
      <c r="N478" s="93" t="s">
        <v>2794</v>
      </c>
      <c r="O478" s="92" t="s">
        <v>2795</v>
      </c>
      <c r="P478" s="88" t="s">
        <v>166</v>
      </c>
      <c r="Q478" s="88" t="s">
        <v>48</v>
      </c>
      <c r="R478" s="86">
        <v>9994880700</v>
      </c>
      <c r="S478" s="88" t="s">
        <v>2720</v>
      </c>
      <c r="T478" s="94"/>
      <c r="U478" s="140"/>
      <c r="V478" s="140"/>
      <c r="W478" s="140"/>
      <c r="X478" s="140"/>
      <c r="Y478" s="141"/>
      <c r="Z478" s="131"/>
      <c r="AA478" s="131"/>
      <c r="AB478" s="131"/>
      <c r="AC478" s="131"/>
      <c r="AD478" s="127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>
        <f>COUNTA('All Details for ACID Pastor'!$X478:$AB478)</f>
        <v>0</v>
      </c>
      <c r="AP478" s="121"/>
      <c r="AQ478" s="121"/>
      <c r="AR478" s="121"/>
      <c r="AS478" s="121"/>
      <c r="AT478" s="121"/>
      <c r="AU478" s="121"/>
      <c r="AV478" s="121"/>
      <c r="AW478" s="163"/>
      <c r="AX478" s="163"/>
      <c r="AZ478" s="121" t="s">
        <v>139</v>
      </c>
      <c r="BA478" s="163"/>
      <c r="BB478" s="163"/>
      <c r="BC478" s="163"/>
      <c r="BF478" s="163">
        <f>COUNTA('All Details for ACID Pastor'!$T478:$AB478)</f>
        <v>0</v>
      </c>
    </row>
    <row r="479" spans="1:74" ht="70.150000000000006" customHeight="1">
      <c r="A479" s="107">
        <v>475</v>
      </c>
      <c r="B479" s="124" t="s">
        <v>2796</v>
      </c>
      <c r="C479" s="90" t="s">
        <v>2797</v>
      </c>
      <c r="D479" s="95" t="s">
        <v>53</v>
      </c>
      <c r="E479" s="95" t="s">
        <v>54</v>
      </c>
      <c r="F479" s="95"/>
      <c r="G479" s="95"/>
      <c r="H479" s="95"/>
      <c r="I479" s="95"/>
      <c r="J479" s="115" t="s">
        <v>2798</v>
      </c>
      <c r="K479" s="193" t="s">
        <v>2799</v>
      </c>
      <c r="L479" s="155" t="s">
        <v>4209</v>
      </c>
      <c r="M479" s="172" t="s">
        <v>2800</v>
      </c>
      <c r="N479" s="93" t="s">
        <v>2801</v>
      </c>
      <c r="O479" s="92" t="s">
        <v>2802</v>
      </c>
      <c r="P479" s="88" t="s">
        <v>1479</v>
      </c>
      <c r="Q479" s="88" t="s">
        <v>517</v>
      </c>
      <c r="R479" s="86">
        <v>9400936871</v>
      </c>
      <c r="S479" s="88" t="s">
        <v>2720</v>
      </c>
      <c r="T479" s="94"/>
      <c r="U479" s="140"/>
      <c r="V479" s="140"/>
      <c r="W479" s="140"/>
      <c r="X479" s="125" t="s">
        <v>2803</v>
      </c>
      <c r="Y479" s="127" t="s">
        <v>165</v>
      </c>
      <c r="Z479" s="127" t="s">
        <v>165</v>
      </c>
      <c r="AA479" s="127" t="s">
        <v>165</v>
      </c>
      <c r="AB479" s="127" t="s">
        <v>165</v>
      </c>
      <c r="AC479" s="131"/>
      <c r="AD479" s="127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>
        <f>COUNTA('All Details for ACID Pastor'!$X479:$AB479)</f>
        <v>5</v>
      </c>
      <c r="AP479" s="121"/>
      <c r="AQ479" s="121"/>
      <c r="AR479" s="121"/>
      <c r="AS479" s="121"/>
      <c r="AT479" s="121"/>
      <c r="AU479" s="121"/>
      <c r="AV479" s="121"/>
      <c r="AW479" s="163"/>
      <c r="AX479" s="163"/>
      <c r="AZ479" s="121" t="s">
        <v>49</v>
      </c>
      <c r="BA479" s="163"/>
      <c r="BB479" s="163"/>
      <c r="BC479" s="163"/>
      <c r="BF479" s="163">
        <f>COUNTA('All Details for ACID Pastor'!$T479:$AB479)</f>
        <v>5</v>
      </c>
    </row>
    <row r="480" spans="1:74" ht="70.150000000000006" customHeight="1">
      <c r="A480" s="107">
        <v>476</v>
      </c>
      <c r="B480" s="124" t="s">
        <v>2804</v>
      </c>
      <c r="C480" s="90" t="s">
        <v>2805</v>
      </c>
      <c r="D480" s="95" t="s">
        <v>53</v>
      </c>
      <c r="E480" s="95" t="s">
        <v>54</v>
      </c>
      <c r="F480" s="95"/>
      <c r="G480" s="95"/>
      <c r="H480" s="95"/>
      <c r="I480" s="95"/>
      <c r="J480" s="115" t="s">
        <v>2798</v>
      </c>
      <c r="K480" s="193" t="s">
        <v>2806</v>
      </c>
      <c r="L480" s="155" t="s">
        <v>4209</v>
      </c>
      <c r="M480" s="172" t="s">
        <v>2807</v>
      </c>
      <c r="N480" s="93" t="s">
        <v>2808</v>
      </c>
      <c r="O480" s="92" t="s">
        <v>2809</v>
      </c>
      <c r="P480" s="88" t="s">
        <v>516</v>
      </c>
      <c r="Q480" s="88" t="s">
        <v>517</v>
      </c>
      <c r="R480" s="86">
        <v>8547615350</v>
      </c>
      <c r="S480" s="88" t="s">
        <v>2720</v>
      </c>
      <c r="T480" s="94"/>
      <c r="U480" s="140"/>
      <c r="V480" s="140"/>
      <c r="W480" s="140"/>
      <c r="X480" s="125" t="s">
        <v>184</v>
      </c>
      <c r="Y480" s="141"/>
      <c r="Z480" s="127" t="s">
        <v>165</v>
      </c>
      <c r="AA480" s="127" t="s">
        <v>165</v>
      </c>
      <c r="AB480" s="127" t="s">
        <v>165</v>
      </c>
      <c r="AC480" s="131"/>
      <c r="AD480" s="127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>
        <f>COUNTA('All Details for ACID Pastor'!$X480:$AB480)</f>
        <v>4</v>
      </c>
      <c r="AP480" s="121"/>
      <c r="AQ480" s="121"/>
      <c r="AR480" s="121"/>
      <c r="AS480" s="121"/>
      <c r="AT480" s="121"/>
      <c r="AU480" s="121"/>
      <c r="AV480" s="121"/>
      <c r="AW480" s="163"/>
      <c r="AX480" s="163"/>
      <c r="AZ480" s="121" t="s">
        <v>49</v>
      </c>
      <c r="BA480" s="163"/>
      <c r="BB480" s="163"/>
      <c r="BC480" s="163"/>
      <c r="BF480" s="163">
        <f>COUNTA('All Details for ACID Pastor'!$T480:$AB480)</f>
        <v>4</v>
      </c>
    </row>
    <row r="481" spans="1:74" ht="70.150000000000006" customHeight="1">
      <c r="A481" s="107">
        <v>477</v>
      </c>
      <c r="B481" s="124" t="s">
        <v>2810</v>
      </c>
      <c r="C481" s="90" t="s">
        <v>2811</v>
      </c>
      <c r="D481" s="95" t="s">
        <v>53</v>
      </c>
      <c r="E481" s="95" t="s">
        <v>54</v>
      </c>
      <c r="F481" s="95"/>
      <c r="G481" s="95"/>
      <c r="H481" s="95"/>
      <c r="I481" s="95"/>
      <c r="J481" s="115" t="s">
        <v>2322</v>
      </c>
      <c r="K481" s="193" t="s">
        <v>2812</v>
      </c>
      <c r="L481" s="155" t="s">
        <v>4209</v>
      </c>
      <c r="M481" s="172" t="s">
        <v>2813</v>
      </c>
      <c r="N481" s="93" t="s">
        <v>2602</v>
      </c>
      <c r="O481" s="92" t="s">
        <v>1429</v>
      </c>
      <c r="P481" s="88" t="s">
        <v>666</v>
      </c>
      <c r="Q481" s="88" t="s">
        <v>667</v>
      </c>
      <c r="R481" s="86">
        <v>9141011282</v>
      </c>
      <c r="S481" s="88" t="s">
        <v>2720</v>
      </c>
      <c r="T481" s="94"/>
      <c r="U481" s="140"/>
      <c r="V481" s="140"/>
      <c r="W481" s="140"/>
      <c r="X481" s="125" t="s">
        <v>184</v>
      </c>
      <c r="Y481" s="141"/>
      <c r="Z481" s="131"/>
      <c r="AA481" s="131"/>
      <c r="AB481" s="131"/>
      <c r="AC481" s="131"/>
      <c r="AD481" s="127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>
        <f>COUNTA('All Details for ACID Pastor'!$X481:$AB481)</f>
        <v>1</v>
      </c>
      <c r="AP481" s="121"/>
      <c r="AQ481" s="121"/>
      <c r="AR481" s="121"/>
      <c r="AS481" s="121"/>
      <c r="AT481" s="121"/>
      <c r="AU481" s="121"/>
      <c r="AV481" s="121"/>
      <c r="AW481" s="163"/>
      <c r="AX481" s="163"/>
      <c r="AZ481" s="121" t="s">
        <v>139</v>
      </c>
      <c r="BA481" s="163"/>
      <c r="BB481" s="163"/>
      <c r="BC481" s="163"/>
      <c r="BF481" s="163">
        <f>COUNTA('All Details for ACID Pastor'!$T481:$AB481)</f>
        <v>1</v>
      </c>
    </row>
    <row r="482" spans="1:74" ht="70.150000000000006" customHeight="1">
      <c r="A482" s="107">
        <v>478</v>
      </c>
      <c r="B482" s="124" t="s">
        <v>2814</v>
      </c>
      <c r="C482" s="90" t="s">
        <v>2815</v>
      </c>
      <c r="D482" s="95" t="s">
        <v>53</v>
      </c>
      <c r="E482" s="95" t="s">
        <v>54</v>
      </c>
      <c r="F482" s="95"/>
      <c r="G482" s="95"/>
      <c r="H482" s="95"/>
      <c r="I482" s="95"/>
      <c r="J482" s="115" t="s">
        <v>2322</v>
      </c>
      <c r="K482" s="193" t="s">
        <v>2816</v>
      </c>
      <c r="L482" s="155" t="s">
        <v>4209</v>
      </c>
      <c r="M482" s="172"/>
      <c r="N482" s="93" t="s">
        <v>2817</v>
      </c>
      <c r="O482" s="92" t="s">
        <v>2818</v>
      </c>
      <c r="P482" s="88" t="s">
        <v>1002</v>
      </c>
      <c r="Q482" s="88" t="s">
        <v>48</v>
      </c>
      <c r="R482" s="86">
        <v>9790693794</v>
      </c>
      <c r="S482" s="88" t="s">
        <v>2720</v>
      </c>
      <c r="T482" s="94"/>
      <c r="U482" s="140"/>
      <c r="V482" s="140"/>
      <c r="W482" s="140"/>
      <c r="X482" s="140"/>
      <c r="Y482" s="141"/>
      <c r="Z482" s="131"/>
      <c r="AA482" s="127" t="s">
        <v>1005</v>
      </c>
      <c r="AB482" s="127" t="s">
        <v>1005</v>
      </c>
      <c r="AC482" s="127" t="s">
        <v>1005</v>
      </c>
      <c r="AD482" s="127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>
        <f>COUNTA('All Details for ACID Pastor'!$X482:$AB482)</f>
        <v>2</v>
      </c>
      <c r="AP482" s="121"/>
      <c r="AQ482" s="121"/>
      <c r="AR482" s="121"/>
      <c r="AS482" s="121"/>
      <c r="AT482" s="121"/>
      <c r="AU482" s="121"/>
      <c r="AV482" s="121"/>
      <c r="AW482" s="163"/>
      <c r="AX482" s="163"/>
      <c r="AZ482" s="121" t="s">
        <v>49</v>
      </c>
      <c r="BA482" s="163"/>
      <c r="BB482" s="163"/>
      <c r="BC482" s="163"/>
      <c r="BF482" s="163">
        <v>3</v>
      </c>
    </row>
    <row r="483" spans="1:74" ht="70.150000000000006" customHeight="1">
      <c r="A483" s="107">
        <v>479</v>
      </c>
      <c r="B483" s="124" t="s">
        <v>2819</v>
      </c>
      <c r="C483" s="90" t="s">
        <v>2820</v>
      </c>
      <c r="D483" s="95" t="s">
        <v>53</v>
      </c>
      <c r="E483" s="95" t="s">
        <v>54</v>
      </c>
      <c r="F483" s="95"/>
      <c r="G483" s="95"/>
      <c r="H483" s="95"/>
      <c r="I483" s="95"/>
      <c r="J483" s="115" t="s">
        <v>1633</v>
      </c>
      <c r="K483" s="193" t="s">
        <v>2821</v>
      </c>
      <c r="L483" s="155" t="s">
        <v>4209</v>
      </c>
      <c r="M483" s="172"/>
      <c r="N483" s="93" t="s">
        <v>2822</v>
      </c>
      <c r="O483" s="92" t="s">
        <v>2823</v>
      </c>
      <c r="P483" s="88" t="s">
        <v>2597</v>
      </c>
      <c r="Q483" s="88" t="s">
        <v>517</v>
      </c>
      <c r="R483" s="86">
        <v>9947028743</v>
      </c>
      <c r="S483" s="88" t="s">
        <v>2720</v>
      </c>
      <c r="T483" s="94"/>
      <c r="U483" s="140"/>
      <c r="V483" s="140"/>
      <c r="W483" s="140"/>
      <c r="X483" s="125" t="s">
        <v>2824</v>
      </c>
      <c r="Y483" s="126" t="s">
        <v>110</v>
      </c>
      <c r="Z483" s="131"/>
      <c r="AA483" s="131"/>
      <c r="AB483" s="131"/>
      <c r="AC483" s="131"/>
      <c r="AD483" s="127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>
        <f>COUNTA('All Details for ACID Pastor'!$X483:$AB483)</f>
        <v>2</v>
      </c>
      <c r="AP483" s="121"/>
      <c r="AQ483" s="121"/>
      <c r="AR483" s="121"/>
      <c r="AS483" s="121"/>
      <c r="AT483" s="121"/>
      <c r="AU483" s="121"/>
      <c r="AV483" s="121"/>
      <c r="AW483" s="163"/>
      <c r="AX483" s="163"/>
      <c r="AZ483" s="121" t="s">
        <v>49</v>
      </c>
      <c r="BA483" s="163"/>
      <c r="BB483" s="163"/>
      <c r="BC483" s="163"/>
      <c r="BF483" s="163">
        <f>COUNTA('All Details for ACID Pastor'!$T483:$AB483)</f>
        <v>2</v>
      </c>
    </row>
    <row r="484" spans="1:74" ht="70.150000000000006" customHeight="1">
      <c r="A484" s="107">
        <v>480</v>
      </c>
      <c r="B484" s="124" t="s">
        <v>2825</v>
      </c>
      <c r="C484" s="90" t="s">
        <v>2826</v>
      </c>
      <c r="D484" s="95" t="s">
        <v>53</v>
      </c>
      <c r="E484" s="95" t="s">
        <v>54</v>
      </c>
      <c r="F484" s="95"/>
      <c r="G484" s="95"/>
      <c r="H484" s="95"/>
      <c r="I484" s="95"/>
      <c r="J484" s="115" t="s">
        <v>1633</v>
      </c>
      <c r="K484" s="193" t="s">
        <v>2827</v>
      </c>
      <c r="L484" s="155" t="s">
        <v>4209</v>
      </c>
      <c r="M484" s="172"/>
      <c r="N484" s="93" t="s">
        <v>2828</v>
      </c>
      <c r="O484" s="92" t="s">
        <v>2829</v>
      </c>
      <c r="P484" s="88" t="s">
        <v>2830</v>
      </c>
      <c r="Q484" s="88" t="s">
        <v>2831</v>
      </c>
      <c r="R484" s="86">
        <v>779393515</v>
      </c>
      <c r="S484" s="88" t="s">
        <v>2720</v>
      </c>
      <c r="T484" s="94"/>
      <c r="U484" s="140"/>
      <c r="V484" s="140"/>
      <c r="W484" s="140"/>
      <c r="X484" s="125" t="s">
        <v>2832</v>
      </c>
      <c r="Y484" s="126" t="s">
        <v>2832</v>
      </c>
      <c r="Z484" s="127" t="s">
        <v>2833</v>
      </c>
      <c r="AA484" s="127" t="s">
        <v>2833</v>
      </c>
      <c r="AB484" s="127"/>
      <c r="AC484" s="131"/>
      <c r="AD484" s="127"/>
      <c r="AE484" s="244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>
        <f>COUNTA('All Details for ACID Pastor'!$X484:$AB484)</f>
        <v>4</v>
      </c>
      <c r="AP484" s="121"/>
      <c r="AQ484" s="121"/>
      <c r="AR484" s="121"/>
      <c r="AS484" s="121"/>
      <c r="AT484" s="121"/>
      <c r="AU484" s="121"/>
      <c r="AV484" s="121"/>
      <c r="AW484" s="163"/>
      <c r="AX484" s="163"/>
      <c r="AZ484" s="121" t="s">
        <v>49</v>
      </c>
      <c r="BA484" s="163"/>
      <c r="BB484" s="163"/>
      <c r="BC484" s="163"/>
      <c r="BF484" s="163">
        <f>COUNTA('All Details for ACID Pastor'!$T484:$AB484)</f>
        <v>4</v>
      </c>
    </row>
    <row r="485" spans="1:74" s="174" customFormat="1" ht="70.150000000000006" customHeight="1">
      <c r="A485" s="103">
        <v>481</v>
      </c>
      <c r="B485" s="132" t="s">
        <v>2834</v>
      </c>
      <c r="C485" s="101" t="s">
        <v>2835</v>
      </c>
      <c r="D485" s="102" t="s">
        <v>53</v>
      </c>
      <c r="E485" s="102" t="s">
        <v>54</v>
      </c>
      <c r="F485" s="95"/>
      <c r="G485" s="95"/>
      <c r="H485" s="95"/>
      <c r="I485" s="95"/>
      <c r="J485" s="133" t="s">
        <v>1140</v>
      </c>
      <c r="K485" s="256" t="s">
        <v>2836</v>
      </c>
      <c r="L485" s="270" t="s">
        <v>4209</v>
      </c>
      <c r="M485" s="171" t="s">
        <v>2837</v>
      </c>
      <c r="N485" s="104" t="s">
        <v>2838</v>
      </c>
      <c r="O485" s="105" t="s">
        <v>2839</v>
      </c>
      <c r="P485" s="106" t="s">
        <v>1102</v>
      </c>
      <c r="Q485" s="106" t="s">
        <v>48</v>
      </c>
      <c r="R485" s="134">
        <v>9994821736</v>
      </c>
      <c r="S485" s="106" t="s">
        <v>2720</v>
      </c>
      <c r="T485" s="135"/>
      <c r="U485" s="176"/>
      <c r="V485" s="176"/>
      <c r="W485" s="176"/>
      <c r="X485" s="176"/>
      <c r="Y485" s="145"/>
      <c r="Z485" s="136"/>
      <c r="AA485" s="136"/>
      <c r="AB485" s="136"/>
      <c r="AC485" s="136"/>
      <c r="AD485" s="222"/>
      <c r="AE485" s="244"/>
      <c r="AF485" s="232"/>
      <c r="AG485" s="232"/>
      <c r="AH485" s="232"/>
      <c r="AI485" s="232"/>
      <c r="AJ485" s="232"/>
      <c r="AK485" s="232"/>
      <c r="AL485" s="232"/>
      <c r="AM485" s="232"/>
      <c r="AN485" s="232"/>
      <c r="AO485" s="232">
        <f>COUNTA('All Details for ACID Pastor'!$X485:$AB485)</f>
        <v>0</v>
      </c>
      <c r="AP485" s="232"/>
      <c r="AQ485" s="232"/>
      <c r="AR485" s="232"/>
      <c r="AS485" s="232"/>
      <c r="AT485" s="232"/>
      <c r="AU485" s="232"/>
      <c r="AV485" s="232"/>
      <c r="AW485" s="233"/>
      <c r="AX485" s="233"/>
      <c r="AY485" s="244"/>
      <c r="AZ485" s="232" t="s">
        <v>139</v>
      </c>
      <c r="BA485" s="233"/>
      <c r="BB485" s="233"/>
      <c r="BC485" s="233"/>
      <c r="BD485" s="244"/>
      <c r="BE485" s="277"/>
      <c r="BF485" s="233">
        <f>COUNTA('All Details for ACID Pastor'!$T485:$AB485)</f>
        <v>0</v>
      </c>
      <c r="BG485" s="249"/>
      <c r="BH485" s="249"/>
      <c r="BI485" s="249"/>
      <c r="BJ485" s="249"/>
      <c r="BK485" s="249"/>
      <c r="BL485" s="249"/>
      <c r="BM485" s="249"/>
      <c r="BN485" s="249"/>
      <c r="BO485" s="249"/>
      <c r="BP485" s="249"/>
      <c r="BQ485" s="249"/>
      <c r="BR485" s="249"/>
      <c r="BS485" s="249"/>
      <c r="BT485" s="249"/>
      <c r="BU485" s="249"/>
      <c r="BV485" s="249"/>
    </row>
    <row r="486" spans="1:74" s="174" customFormat="1" ht="70.150000000000006" customHeight="1">
      <c r="A486" s="103">
        <v>482</v>
      </c>
      <c r="B486" s="132" t="s">
        <v>2840</v>
      </c>
      <c r="C486" s="101" t="s">
        <v>2841</v>
      </c>
      <c r="D486" s="102" t="s">
        <v>53</v>
      </c>
      <c r="E486" s="102" t="s">
        <v>54</v>
      </c>
      <c r="F486" s="95"/>
      <c r="G486" s="95"/>
      <c r="H486" s="95"/>
      <c r="I486" s="95"/>
      <c r="J486" s="133" t="s">
        <v>2322</v>
      </c>
      <c r="K486" s="256" t="s">
        <v>2842</v>
      </c>
      <c r="L486" s="270" t="s">
        <v>4209</v>
      </c>
      <c r="M486" s="171"/>
      <c r="N486" s="104" t="s">
        <v>2843</v>
      </c>
      <c r="O486" s="105" t="s">
        <v>665</v>
      </c>
      <c r="P486" s="106" t="s">
        <v>666</v>
      </c>
      <c r="Q486" s="106" t="s">
        <v>667</v>
      </c>
      <c r="R486" s="134">
        <v>8065683659</v>
      </c>
      <c r="S486" s="106" t="s">
        <v>2720</v>
      </c>
      <c r="T486" s="135"/>
      <c r="U486" s="176"/>
      <c r="V486" s="176"/>
      <c r="W486" s="176"/>
      <c r="X486" s="176"/>
      <c r="Y486" s="145"/>
      <c r="Z486" s="136"/>
      <c r="AA486" s="136"/>
      <c r="AB486" s="136"/>
      <c r="AC486" s="136"/>
      <c r="AD486" s="222"/>
      <c r="AE486" s="240"/>
      <c r="AF486" s="232"/>
      <c r="AG486" s="232"/>
      <c r="AH486" s="232"/>
      <c r="AI486" s="232"/>
      <c r="AJ486" s="232"/>
      <c r="AK486" s="232"/>
      <c r="AL486" s="232"/>
      <c r="AM486" s="232"/>
      <c r="AN486" s="232"/>
      <c r="AO486" s="232">
        <f>COUNTA('All Details for ACID Pastor'!$X486:$AB486)</f>
        <v>0</v>
      </c>
      <c r="AP486" s="232"/>
      <c r="AQ486" s="232"/>
      <c r="AR486" s="232"/>
      <c r="AS486" s="232"/>
      <c r="AT486" s="232"/>
      <c r="AU486" s="232"/>
      <c r="AV486" s="232"/>
      <c r="AW486" s="233"/>
      <c r="AX486" s="233"/>
      <c r="AY486" s="244"/>
      <c r="AZ486" s="232" t="s">
        <v>139</v>
      </c>
      <c r="BA486" s="233"/>
      <c r="BB486" s="233"/>
      <c r="BC486" s="233"/>
      <c r="BD486" s="244"/>
      <c r="BE486" s="277"/>
      <c r="BF486" s="233">
        <f>COUNTA('All Details for ACID Pastor'!$T486:$AB486)</f>
        <v>0</v>
      </c>
      <c r="BG486" s="249"/>
      <c r="BH486" s="249"/>
      <c r="BI486" s="249"/>
      <c r="BJ486" s="249"/>
      <c r="BK486" s="249"/>
      <c r="BL486" s="249"/>
      <c r="BM486" s="249"/>
      <c r="BN486" s="249"/>
      <c r="BO486" s="249"/>
      <c r="BP486" s="249"/>
      <c r="BQ486" s="249"/>
      <c r="BR486" s="249"/>
      <c r="BS486" s="249"/>
      <c r="BT486" s="249"/>
      <c r="BU486" s="249"/>
      <c r="BV486" s="249"/>
    </row>
    <row r="487" spans="1:74" ht="78.75" customHeight="1">
      <c r="A487" s="107">
        <v>483</v>
      </c>
      <c r="B487" s="124" t="s">
        <v>2844</v>
      </c>
      <c r="C487" s="90" t="s">
        <v>2845</v>
      </c>
      <c r="D487" s="95" t="s">
        <v>53</v>
      </c>
      <c r="E487" s="95" t="s">
        <v>54</v>
      </c>
      <c r="F487" s="95"/>
      <c r="G487" s="95"/>
      <c r="H487" s="95"/>
      <c r="I487" s="95"/>
      <c r="J487" s="115" t="s">
        <v>1426</v>
      </c>
      <c r="K487" s="193" t="s">
        <v>2846</v>
      </c>
      <c r="L487" s="155" t="s">
        <v>4209</v>
      </c>
      <c r="M487" s="172" t="s">
        <v>2847</v>
      </c>
      <c r="N487" s="93" t="s">
        <v>2848</v>
      </c>
      <c r="O487" s="92" t="s">
        <v>2849</v>
      </c>
      <c r="P487" s="88" t="s">
        <v>769</v>
      </c>
      <c r="Q487" s="88" t="s">
        <v>48</v>
      </c>
      <c r="R487" s="86">
        <v>8189995984</v>
      </c>
      <c r="S487" s="88" t="s">
        <v>2720</v>
      </c>
      <c r="T487" s="94"/>
      <c r="U487" s="140"/>
      <c r="V487" s="140"/>
      <c r="W487" s="140"/>
      <c r="X487" s="140"/>
      <c r="Y487" s="141"/>
      <c r="Z487" s="131"/>
      <c r="AA487" s="131"/>
      <c r="AB487" s="131"/>
      <c r="AC487" s="131"/>
      <c r="AD487" s="127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>
        <f>COUNTA('All Details for ACID Pastor'!$X487:$AB487)</f>
        <v>0</v>
      </c>
      <c r="AP487" s="121"/>
      <c r="AQ487" s="121"/>
      <c r="AR487" s="121"/>
      <c r="AS487" s="121"/>
      <c r="AT487" s="121"/>
      <c r="AU487" s="121"/>
      <c r="AV487" s="121"/>
      <c r="AW487" s="163"/>
      <c r="AX487" s="163"/>
      <c r="AZ487" s="121" t="s">
        <v>139</v>
      </c>
      <c r="BA487" s="163"/>
      <c r="BB487" s="163"/>
      <c r="BC487" s="163"/>
      <c r="BF487" s="163">
        <f>COUNTA('All Details for ACID Pastor'!$T487:$AB487)</f>
        <v>0</v>
      </c>
    </row>
    <row r="488" spans="1:74" ht="78.75" customHeight="1">
      <c r="A488" s="107">
        <v>484</v>
      </c>
      <c r="B488" s="124" t="s">
        <v>2850</v>
      </c>
      <c r="C488" s="90" t="s">
        <v>2851</v>
      </c>
      <c r="D488" s="95" t="s">
        <v>53</v>
      </c>
      <c r="E488" s="95" t="s">
        <v>54</v>
      </c>
      <c r="F488" s="95"/>
      <c r="G488" s="95"/>
      <c r="H488" s="95"/>
      <c r="I488" s="95"/>
      <c r="J488" s="115" t="s">
        <v>1426</v>
      </c>
      <c r="K488" s="193" t="s">
        <v>2852</v>
      </c>
      <c r="L488" s="155" t="s">
        <v>4209</v>
      </c>
      <c r="M488" s="172" t="s">
        <v>2853</v>
      </c>
      <c r="N488" s="93" t="s">
        <v>2854</v>
      </c>
      <c r="O488" s="92" t="s">
        <v>2855</v>
      </c>
      <c r="P488" s="88" t="s">
        <v>769</v>
      </c>
      <c r="Q488" s="88" t="s">
        <v>48</v>
      </c>
      <c r="R488" s="86">
        <v>9698649300</v>
      </c>
      <c r="S488" s="88" t="s">
        <v>2720</v>
      </c>
      <c r="T488" s="94"/>
      <c r="U488" s="140"/>
      <c r="V488" s="140"/>
      <c r="W488" s="140"/>
      <c r="X488" s="125" t="s">
        <v>184</v>
      </c>
      <c r="Y488" s="126" t="s">
        <v>110</v>
      </c>
      <c r="Z488" s="127" t="s">
        <v>149</v>
      </c>
      <c r="AA488" s="131"/>
      <c r="AB488" s="131"/>
      <c r="AC488" s="131"/>
      <c r="AD488" s="127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>
        <f>COUNTA('All Details for ACID Pastor'!$X488:$AB488)</f>
        <v>3</v>
      </c>
      <c r="AP488" s="121"/>
      <c r="AQ488" s="121"/>
      <c r="AR488" s="121"/>
      <c r="AS488" s="121"/>
      <c r="AT488" s="121"/>
      <c r="AU488" s="121"/>
      <c r="AV488" s="121"/>
      <c r="AW488" s="163"/>
      <c r="AX488" s="163"/>
      <c r="AZ488" s="121" t="s">
        <v>49</v>
      </c>
      <c r="BA488" s="163"/>
      <c r="BB488" s="163"/>
      <c r="BC488" s="163"/>
      <c r="BF488" s="163">
        <f>COUNTA('All Details for ACID Pastor'!$T488:$AB488)</f>
        <v>3</v>
      </c>
    </row>
    <row r="489" spans="1:74" ht="70.150000000000006" customHeight="1">
      <c r="A489" s="107">
        <v>485</v>
      </c>
      <c r="B489" s="124" t="s">
        <v>2856</v>
      </c>
      <c r="C489" s="90" t="s">
        <v>2857</v>
      </c>
      <c r="D489" s="95" t="s">
        <v>53</v>
      </c>
      <c r="E489" s="95" t="s">
        <v>54</v>
      </c>
      <c r="F489" s="95"/>
      <c r="G489" s="95"/>
      <c r="H489" s="95"/>
      <c r="I489" s="95"/>
      <c r="J489" s="115" t="s">
        <v>2792</v>
      </c>
      <c r="K489" s="193" t="s">
        <v>2858</v>
      </c>
      <c r="L489" s="155" t="s">
        <v>4209</v>
      </c>
      <c r="M489" s="172"/>
      <c r="N489" s="93" t="s">
        <v>2859</v>
      </c>
      <c r="O489" s="92" t="s">
        <v>2860</v>
      </c>
      <c r="P489" s="88" t="s">
        <v>166</v>
      </c>
      <c r="Q489" s="88" t="s">
        <v>48</v>
      </c>
      <c r="R489" s="86">
        <v>9486443529</v>
      </c>
      <c r="S489" s="88" t="s">
        <v>2861</v>
      </c>
      <c r="T489" s="94"/>
      <c r="U489" s="140"/>
      <c r="V489" s="140"/>
      <c r="W489" s="140"/>
      <c r="X489" s="125" t="s">
        <v>78</v>
      </c>
      <c r="Y489" s="126" t="s">
        <v>79</v>
      </c>
      <c r="Z489" s="131"/>
      <c r="AA489" s="131" t="s">
        <v>165</v>
      </c>
      <c r="AB489" s="131" t="s">
        <v>165</v>
      </c>
      <c r="AC489" s="131" t="s">
        <v>4220</v>
      </c>
      <c r="AD489" s="127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>
        <f>COUNTA('All Details for ACID Pastor'!$X489:$AB489)</f>
        <v>4</v>
      </c>
      <c r="AQ489" s="121"/>
      <c r="AR489" s="121"/>
      <c r="AS489" s="121"/>
      <c r="AT489" s="121"/>
      <c r="AU489" s="121"/>
      <c r="AV489" s="121"/>
      <c r="AW489" s="163"/>
      <c r="AX489" s="163"/>
      <c r="AZ489" s="121" t="s">
        <v>49</v>
      </c>
      <c r="BA489" s="163"/>
      <c r="BB489" s="163"/>
      <c r="BC489" s="163">
        <v>1</v>
      </c>
      <c r="BF489" s="163">
        <v>5</v>
      </c>
    </row>
    <row r="490" spans="1:74" ht="70.150000000000006" customHeight="1">
      <c r="A490" s="107">
        <v>486</v>
      </c>
      <c r="B490" s="124" t="s">
        <v>2862</v>
      </c>
      <c r="C490" s="90" t="s">
        <v>2863</v>
      </c>
      <c r="D490" s="95" t="s">
        <v>53</v>
      </c>
      <c r="E490" s="95" t="s">
        <v>160</v>
      </c>
      <c r="F490" s="95"/>
      <c r="G490" s="95"/>
      <c r="H490" s="95"/>
      <c r="I490" s="95"/>
      <c r="J490" s="115" t="s">
        <v>2792</v>
      </c>
      <c r="K490" s="193" t="s">
        <v>2864</v>
      </c>
      <c r="L490" s="121"/>
      <c r="M490" s="172"/>
      <c r="N490" s="93" t="s">
        <v>2865</v>
      </c>
      <c r="O490" s="92" t="s">
        <v>2860</v>
      </c>
      <c r="P490" s="88" t="s">
        <v>166</v>
      </c>
      <c r="Q490" s="88" t="s">
        <v>48</v>
      </c>
      <c r="R490" s="86">
        <v>9489815975</v>
      </c>
      <c r="S490" s="88" t="s">
        <v>2861</v>
      </c>
      <c r="T490" s="94"/>
      <c r="U490" s="140"/>
      <c r="V490" s="140"/>
      <c r="W490" s="140"/>
      <c r="X490" s="125" t="s">
        <v>78</v>
      </c>
      <c r="Y490" s="126" t="s">
        <v>79</v>
      </c>
      <c r="Z490" s="131"/>
      <c r="AA490" s="126" t="s">
        <v>165</v>
      </c>
      <c r="AB490" s="126" t="s">
        <v>165</v>
      </c>
      <c r="AC490" s="141" t="s">
        <v>4220</v>
      </c>
      <c r="AD490" s="14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>
        <f>COUNTA('All Details for ACID Pastor'!$X490:$AB490)</f>
        <v>4</v>
      </c>
      <c r="AQ490" s="121"/>
      <c r="AR490" s="121"/>
      <c r="AS490" s="121"/>
      <c r="AT490" s="121"/>
      <c r="AU490" s="121"/>
      <c r="AV490" s="121"/>
      <c r="AW490" s="163"/>
      <c r="AX490" s="163"/>
      <c r="AZ490" s="121" t="s">
        <v>49</v>
      </c>
      <c r="BA490" s="163"/>
      <c r="BB490" s="163"/>
      <c r="BC490" s="163">
        <v>1</v>
      </c>
      <c r="BF490" s="163">
        <v>5</v>
      </c>
    </row>
    <row r="491" spans="1:74" ht="70.150000000000006" customHeight="1">
      <c r="A491" s="107">
        <v>487</v>
      </c>
      <c r="B491" s="124" t="s">
        <v>2866</v>
      </c>
      <c r="C491" s="90" t="s">
        <v>2867</v>
      </c>
      <c r="D491" s="95" t="s">
        <v>53</v>
      </c>
      <c r="E491" s="95" t="s">
        <v>54</v>
      </c>
      <c r="F491" s="95"/>
      <c r="G491" s="95"/>
      <c r="H491" s="95"/>
      <c r="I491" s="95"/>
      <c r="J491" s="115" t="s">
        <v>661</v>
      </c>
      <c r="K491" s="193" t="s">
        <v>2868</v>
      </c>
      <c r="L491" s="155" t="s">
        <v>4209</v>
      </c>
      <c r="M491" s="172" t="s">
        <v>2869</v>
      </c>
      <c r="N491" s="93" t="s">
        <v>2870</v>
      </c>
      <c r="O491" s="92" t="s">
        <v>2871</v>
      </c>
      <c r="P491" s="88" t="s">
        <v>666</v>
      </c>
      <c r="Q491" s="88" t="s">
        <v>667</v>
      </c>
      <c r="R491" s="86">
        <v>9449763927</v>
      </c>
      <c r="S491" s="88" t="s">
        <v>2861</v>
      </c>
      <c r="T491" s="94"/>
      <c r="U491" s="140"/>
      <c r="V491" s="140"/>
      <c r="W491" s="140"/>
      <c r="X491" s="125" t="s">
        <v>110</v>
      </c>
      <c r="Y491" s="141"/>
      <c r="Z491" s="131"/>
      <c r="AA491" s="131"/>
      <c r="AB491" s="131"/>
      <c r="AC491" s="131"/>
      <c r="AD491" s="127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>
        <f>COUNTA('All Details for ACID Pastor'!$X491:$AB491)</f>
        <v>1</v>
      </c>
      <c r="AQ491" s="121"/>
      <c r="AR491" s="121"/>
      <c r="AS491" s="121"/>
      <c r="AT491" s="121"/>
      <c r="AU491" s="121"/>
      <c r="AV491" s="121"/>
      <c r="AW491" s="163"/>
      <c r="AX491" s="163"/>
      <c r="AZ491" s="121" t="s">
        <v>139</v>
      </c>
      <c r="BA491" s="163"/>
      <c r="BB491" s="163"/>
      <c r="BC491" s="163"/>
      <c r="BF491" s="163">
        <f>COUNTA('All Details for ACID Pastor'!$T491:$AB491)</f>
        <v>1</v>
      </c>
    </row>
    <row r="492" spans="1:74" ht="70.150000000000006" customHeight="1">
      <c r="A492" s="107">
        <v>488</v>
      </c>
      <c r="B492" s="124" t="s">
        <v>2872</v>
      </c>
      <c r="C492" s="90" t="s">
        <v>2873</v>
      </c>
      <c r="D492" s="95" t="s">
        <v>53</v>
      </c>
      <c r="E492" s="95" t="s">
        <v>54</v>
      </c>
      <c r="F492" s="95"/>
      <c r="G492" s="95"/>
      <c r="H492" s="95"/>
      <c r="I492" s="95"/>
      <c r="J492" s="115" t="s">
        <v>1633</v>
      </c>
      <c r="K492" s="193" t="s">
        <v>2874</v>
      </c>
      <c r="L492" s="121" t="s">
        <v>4201</v>
      </c>
      <c r="M492" s="172"/>
      <c r="N492" s="93" t="s">
        <v>2875</v>
      </c>
      <c r="O492" s="92" t="s">
        <v>2876</v>
      </c>
      <c r="P492" s="88" t="s">
        <v>1479</v>
      </c>
      <c r="Q492" s="88" t="s">
        <v>517</v>
      </c>
      <c r="R492" s="86">
        <v>8606669408</v>
      </c>
      <c r="S492" s="88" t="s">
        <v>2861</v>
      </c>
      <c r="T492" s="94"/>
      <c r="U492" s="140"/>
      <c r="V492" s="140"/>
      <c r="W492" s="140"/>
      <c r="X492" s="125" t="s">
        <v>78</v>
      </c>
      <c r="Y492" s="126" t="s">
        <v>682</v>
      </c>
      <c r="Z492" s="126" t="s">
        <v>682</v>
      </c>
      <c r="AA492" s="126" t="s">
        <v>682</v>
      </c>
      <c r="AB492" s="131"/>
      <c r="AC492" s="131" t="s">
        <v>4222</v>
      </c>
      <c r="AD492" s="127" t="s">
        <v>4222</v>
      </c>
      <c r="AE492" s="276" t="s">
        <v>4392</v>
      </c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>
        <f>COUNTA('All Details for ACID Pastor'!$X492:$AB492)</f>
        <v>4</v>
      </c>
      <c r="AQ492" s="121"/>
      <c r="AR492" s="121"/>
      <c r="AS492" s="121"/>
      <c r="AT492" s="121"/>
      <c r="AU492" s="121"/>
      <c r="AV492" s="121"/>
      <c r="AW492" s="163"/>
      <c r="AX492" s="163"/>
      <c r="AZ492" s="121" t="s">
        <v>49</v>
      </c>
      <c r="BA492" s="163"/>
      <c r="BB492" s="163"/>
      <c r="BC492" s="163"/>
      <c r="BE492" s="209">
        <v>3</v>
      </c>
      <c r="BF492" s="163">
        <v>8</v>
      </c>
    </row>
    <row r="493" spans="1:74" ht="70.150000000000006" customHeight="1">
      <c r="A493" s="107">
        <v>489</v>
      </c>
      <c r="B493" s="124" t="s">
        <v>2877</v>
      </c>
      <c r="C493" s="90" t="s">
        <v>2878</v>
      </c>
      <c r="D493" s="95" t="s">
        <v>132</v>
      </c>
      <c r="E493" s="95" t="s">
        <v>54</v>
      </c>
      <c r="F493" s="95"/>
      <c r="G493" s="95"/>
      <c r="H493" s="95"/>
      <c r="I493" s="95"/>
      <c r="J493" s="115" t="s">
        <v>2322</v>
      </c>
      <c r="K493" s="193" t="s">
        <v>2879</v>
      </c>
      <c r="L493" s="155" t="s">
        <v>4209</v>
      </c>
      <c r="M493" s="172" t="s">
        <v>2880</v>
      </c>
      <c r="N493" s="93" t="s">
        <v>2881</v>
      </c>
      <c r="O493" s="92" t="s">
        <v>2882</v>
      </c>
      <c r="P493" s="88" t="s">
        <v>1002</v>
      </c>
      <c r="Q493" s="88" t="s">
        <v>48</v>
      </c>
      <c r="R493" s="86">
        <v>9943759925</v>
      </c>
      <c r="S493" s="88" t="s">
        <v>2861</v>
      </c>
      <c r="T493" s="94"/>
      <c r="U493" s="140"/>
      <c r="V493" s="140"/>
      <c r="W493" s="140"/>
      <c r="X493" s="125" t="s">
        <v>78</v>
      </c>
      <c r="Y493" s="126" t="s">
        <v>79</v>
      </c>
      <c r="Z493" s="127" t="s">
        <v>99</v>
      </c>
      <c r="AA493" s="127" t="s">
        <v>99</v>
      </c>
      <c r="AB493" s="127" t="s">
        <v>99</v>
      </c>
      <c r="AC493" s="131"/>
      <c r="AD493" s="127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>
        <f>COUNTA('All Details for ACID Pastor'!$X493:$AB493)</f>
        <v>5</v>
      </c>
      <c r="AQ493" s="121"/>
      <c r="AR493" s="121"/>
      <c r="AS493" s="121"/>
      <c r="AT493" s="121"/>
      <c r="AU493" s="121"/>
      <c r="AV493" s="121"/>
      <c r="AW493" s="163"/>
      <c r="AX493" s="163"/>
      <c r="AZ493" s="121" t="s">
        <v>49</v>
      </c>
      <c r="BA493" s="163"/>
      <c r="BB493" s="163"/>
      <c r="BC493" s="163"/>
      <c r="BF493" s="163">
        <f>COUNTA('All Details for ACID Pastor'!$T493:$AB493)</f>
        <v>5</v>
      </c>
    </row>
    <row r="494" spans="1:74" ht="70.150000000000006" customHeight="1">
      <c r="A494" s="107">
        <v>490</v>
      </c>
      <c r="B494" s="124" t="s">
        <v>2883</v>
      </c>
      <c r="C494" s="90" t="s">
        <v>2884</v>
      </c>
      <c r="D494" s="95" t="s">
        <v>53</v>
      </c>
      <c r="E494" s="95" t="s">
        <v>54</v>
      </c>
      <c r="F494" s="95"/>
      <c r="G494" s="95"/>
      <c r="H494" s="95"/>
      <c r="I494" s="95"/>
      <c r="J494" s="115" t="s">
        <v>2322</v>
      </c>
      <c r="K494" s="193" t="s">
        <v>2885</v>
      </c>
      <c r="L494" s="155" t="s">
        <v>4209</v>
      </c>
      <c r="M494" s="172" t="s">
        <v>2886</v>
      </c>
      <c r="N494" s="93" t="s">
        <v>2887</v>
      </c>
      <c r="O494" s="92" t="s">
        <v>2888</v>
      </c>
      <c r="P494" s="88" t="s">
        <v>2889</v>
      </c>
      <c r="Q494" s="88" t="s">
        <v>48</v>
      </c>
      <c r="R494" s="86">
        <v>7502020160</v>
      </c>
      <c r="S494" s="88" t="s">
        <v>2861</v>
      </c>
      <c r="T494" s="94"/>
      <c r="U494" s="140"/>
      <c r="V494" s="140"/>
      <c r="W494" s="140"/>
      <c r="X494" s="125" t="s">
        <v>1005</v>
      </c>
      <c r="Y494" s="125" t="s">
        <v>1005</v>
      </c>
      <c r="Z494" s="125" t="s">
        <v>1005</v>
      </c>
      <c r="AA494" s="125" t="s">
        <v>1005</v>
      </c>
      <c r="AB494" s="125" t="s">
        <v>1005</v>
      </c>
      <c r="AC494" s="125" t="s">
        <v>1005</v>
      </c>
      <c r="AD494" s="14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>
        <f>COUNTA('All Details for ACID Pastor'!$X494:$AB494)</f>
        <v>5</v>
      </c>
      <c r="AQ494" s="121"/>
      <c r="AR494" s="121"/>
      <c r="AS494" s="121"/>
      <c r="AT494" s="121"/>
      <c r="AU494" s="121"/>
      <c r="AV494" s="121"/>
      <c r="AW494" s="163"/>
      <c r="AX494" s="163"/>
      <c r="AZ494" s="121" t="s">
        <v>49</v>
      </c>
      <c r="BA494" s="163"/>
      <c r="BB494" s="163"/>
      <c r="BC494" s="163"/>
      <c r="BF494" s="163">
        <v>6</v>
      </c>
    </row>
    <row r="495" spans="1:74" ht="70.150000000000006" customHeight="1">
      <c r="A495" s="107">
        <v>491</v>
      </c>
      <c r="B495" s="124" t="s">
        <v>2890</v>
      </c>
      <c r="C495" s="90" t="s">
        <v>2891</v>
      </c>
      <c r="D495" s="95" t="s">
        <v>53</v>
      </c>
      <c r="E495" s="95" t="s">
        <v>54</v>
      </c>
      <c r="F495" s="95"/>
      <c r="G495" s="95"/>
      <c r="H495" s="95"/>
      <c r="I495" s="95"/>
      <c r="J495" s="115" t="s">
        <v>2322</v>
      </c>
      <c r="K495" s="193" t="s">
        <v>2892</v>
      </c>
      <c r="L495" s="155" t="s">
        <v>4209</v>
      </c>
      <c r="M495" s="172"/>
      <c r="N495" s="93" t="s">
        <v>2893</v>
      </c>
      <c r="O495" s="92" t="s">
        <v>2894</v>
      </c>
      <c r="P495" s="88" t="s">
        <v>2561</v>
      </c>
      <c r="Q495" s="88" t="s">
        <v>48</v>
      </c>
      <c r="R495" s="86">
        <v>9087558872</v>
      </c>
      <c r="S495" s="88" t="s">
        <v>2861</v>
      </c>
      <c r="T495" s="94"/>
      <c r="U495" s="140"/>
      <c r="V495" s="140"/>
      <c r="W495" s="140"/>
      <c r="X495" s="126" t="s">
        <v>79</v>
      </c>
      <c r="Y495" s="126" t="s">
        <v>79</v>
      </c>
      <c r="Z495" s="131"/>
      <c r="AA495" s="131"/>
      <c r="AB495" s="131"/>
      <c r="AC495" s="131"/>
      <c r="AD495" s="127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>
        <f>COUNTA('All Details for ACID Pastor'!$X495:$AB495)</f>
        <v>2</v>
      </c>
      <c r="AQ495" s="121"/>
      <c r="AR495" s="121"/>
      <c r="AS495" s="121"/>
      <c r="AT495" s="121"/>
      <c r="AU495" s="121"/>
      <c r="AV495" s="121"/>
      <c r="AW495" s="163"/>
      <c r="AX495" s="163"/>
      <c r="AZ495" s="121" t="s">
        <v>49</v>
      </c>
      <c r="BA495" s="163"/>
      <c r="BB495" s="163"/>
      <c r="BC495" s="163"/>
      <c r="BF495" s="163">
        <f>COUNTA('All Details for ACID Pastor'!$T495:$AB495)</f>
        <v>2</v>
      </c>
    </row>
    <row r="496" spans="1:74" ht="70.150000000000006" customHeight="1">
      <c r="A496" s="107">
        <v>492</v>
      </c>
      <c r="B496" s="124" t="s">
        <v>2895</v>
      </c>
      <c r="C496" s="90" t="s">
        <v>2896</v>
      </c>
      <c r="D496" s="95" t="s">
        <v>53</v>
      </c>
      <c r="E496" s="95" t="s">
        <v>54</v>
      </c>
      <c r="F496" s="95"/>
      <c r="G496" s="95"/>
      <c r="H496" s="95"/>
      <c r="I496" s="95"/>
      <c r="J496" s="115" t="s">
        <v>2322</v>
      </c>
      <c r="K496" s="193" t="s">
        <v>2868</v>
      </c>
      <c r="L496" s="155" t="s">
        <v>4209</v>
      </c>
      <c r="M496" s="172"/>
      <c r="N496" s="93" t="s">
        <v>2897</v>
      </c>
      <c r="O496" s="92" t="s">
        <v>2898</v>
      </c>
      <c r="P496" s="88" t="s">
        <v>1002</v>
      </c>
      <c r="Q496" s="88" t="s">
        <v>48</v>
      </c>
      <c r="R496" s="86">
        <v>9944640869</v>
      </c>
      <c r="S496" s="88" t="s">
        <v>2861</v>
      </c>
      <c r="T496" s="94"/>
      <c r="U496" s="140"/>
      <c r="V496" s="140"/>
      <c r="W496" s="140"/>
      <c r="X496" s="140"/>
      <c r="Y496" s="141"/>
      <c r="Z496" s="131"/>
      <c r="AA496" s="131"/>
      <c r="AB496" s="131"/>
      <c r="AC496" s="131"/>
      <c r="AD496" s="127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>
        <f>COUNTA('All Details for ACID Pastor'!$X496:$AB496)</f>
        <v>0</v>
      </c>
      <c r="AQ496" s="121"/>
      <c r="AR496" s="121"/>
      <c r="AS496" s="121"/>
      <c r="AT496" s="121"/>
      <c r="AU496" s="121"/>
      <c r="AV496" s="121"/>
      <c r="AW496" s="163"/>
      <c r="AX496" s="163"/>
      <c r="AZ496" s="121" t="s">
        <v>139</v>
      </c>
      <c r="BA496" s="163"/>
      <c r="BB496" s="163"/>
      <c r="BC496" s="163"/>
      <c r="BF496" s="163">
        <f>COUNTA('All Details for ACID Pastor'!$T496:$AB496)</f>
        <v>0</v>
      </c>
    </row>
    <row r="497" spans="1:74" ht="70.150000000000006" customHeight="1">
      <c r="A497" s="107">
        <v>493</v>
      </c>
      <c r="B497" s="124" t="s">
        <v>2899</v>
      </c>
      <c r="C497" s="90" t="s">
        <v>2900</v>
      </c>
      <c r="D497" s="95" t="s">
        <v>53</v>
      </c>
      <c r="E497" s="95" t="s">
        <v>54</v>
      </c>
      <c r="F497" s="95"/>
      <c r="G497" s="95"/>
      <c r="H497" s="95"/>
      <c r="I497" s="95"/>
      <c r="J497" s="115" t="s">
        <v>2322</v>
      </c>
      <c r="K497" s="193" t="s">
        <v>2901</v>
      </c>
      <c r="L497" s="155" t="s">
        <v>4209</v>
      </c>
      <c r="M497" s="172"/>
      <c r="N497" s="93" t="s">
        <v>2902</v>
      </c>
      <c r="O497" s="92" t="s">
        <v>2903</v>
      </c>
      <c r="P497" s="88" t="s">
        <v>2561</v>
      </c>
      <c r="Q497" s="88" t="s">
        <v>48</v>
      </c>
      <c r="R497" s="86">
        <v>8012873540</v>
      </c>
      <c r="S497" s="88" t="s">
        <v>2861</v>
      </c>
      <c r="T497" s="94"/>
      <c r="U497" s="140"/>
      <c r="V497" s="140"/>
      <c r="W497" s="140"/>
      <c r="X497" s="148" t="s">
        <v>50</v>
      </c>
      <c r="Y497" s="148" t="s">
        <v>50</v>
      </c>
      <c r="Z497" s="148" t="s">
        <v>50</v>
      </c>
      <c r="AA497" s="148">
        <v>44474</v>
      </c>
      <c r="AB497" s="131"/>
      <c r="AC497" s="131"/>
      <c r="AD497" s="127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>
        <f>COUNTA('All Details for ACID Pastor'!$X497:$AB497)</f>
        <v>4</v>
      </c>
      <c r="AQ497" s="121"/>
      <c r="AR497" s="121"/>
      <c r="AS497" s="121"/>
      <c r="AT497" s="121"/>
      <c r="AU497" s="121"/>
      <c r="AV497" s="121"/>
      <c r="AW497" s="163"/>
      <c r="AX497" s="163"/>
      <c r="AZ497" s="121" t="s">
        <v>49</v>
      </c>
      <c r="BA497" s="163"/>
      <c r="BB497" s="163"/>
      <c r="BC497" s="163"/>
      <c r="BF497" s="163">
        <f>COUNTA('All Details for ACID Pastor'!$T497:$AB497)</f>
        <v>4</v>
      </c>
    </row>
    <row r="498" spans="1:74" ht="70.150000000000006" customHeight="1">
      <c r="A498" s="107">
        <v>494</v>
      </c>
      <c r="B498" s="124" t="s">
        <v>2904</v>
      </c>
      <c r="C498" s="90" t="s">
        <v>2905</v>
      </c>
      <c r="D498" s="95" t="s">
        <v>53</v>
      </c>
      <c r="E498" s="95" t="s">
        <v>54</v>
      </c>
      <c r="F498" s="95"/>
      <c r="G498" s="95"/>
      <c r="H498" s="95"/>
      <c r="I498" s="95"/>
      <c r="J498" s="115" t="s">
        <v>2322</v>
      </c>
      <c r="K498" s="193" t="s">
        <v>2906</v>
      </c>
      <c r="L498" s="155" t="s">
        <v>4209</v>
      </c>
      <c r="M498" s="172"/>
      <c r="N498" s="93" t="s">
        <v>2907</v>
      </c>
      <c r="O498" s="92" t="s">
        <v>2908</v>
      </c>
      <c r="P498" s="88" t="s">
        <v>1655</v>
      </c>
      <c r="Q498" s="88" t="s">
        <v>48</v>
      </c>
      <c r="R498" s="86">
        <v>9677258224</v>
      </c>
      <c r="S498" s="88" t="s">
        <v>2861</v>
      </c>
      <c r="T498" s="94"/>
      <c r="U498" s="140"/>
      <c r="V498" s="140"/>
      <c r="W498" s="140"/>
      <c r="X498" s="125" t="s">
        <v>2824</v>
      </c>
      <c r="Y498" s="141"/>
      <c r="Z498" s="131"/>
      <c r="AA498" s="131"/>
      <c r="AB498" s="131"/>
      <c r="AC498" s="131"/>
      <c r="AD498" s="127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>
        <f>COUNTA('All Details for ACID Pastor'!$X498:$AB498)</f>
        <v>1</v>
      </c>
      <c r="AQ498" s="121"/>
      <c r="AR498" s="121"/>
      <c r="AS498" s="121"/>
      <c r="AT498" s="121"/>
      <c r="AU498" s="121"/>
      <c r="AV498" s="121"/>
      <c r="AW498" s="163"/>
      <c r="AX498" s="163"/>
      <c r="AZ498" s="121" t="s">
        <v>139</v>
      </c>
      <c r="BA498" s="163"/>
      <c r="BB498" s="163"/>
      <c r="BC498" s="163"/>
      <c r="BF498" s="163">
        <f>COUNTA('All Details for ACID Pastor'!$T498:$AB498)</f>
        <v>1</v>
      </c>
    </row>
    <row r="499" spans="1:74" ht="70.150000000000006" customHeight="1">
      <c r="A499" s="107">
        <v>495</v>
      </c>
      <c r="B499" s="124" t="s">
        <v>2909</v>
      </c>
      <c r="C499" s="90" t="s">
        <v>2910</v>
      </c>
      <c r="D499" s="95" t="s">
        <v>53</v>
      </c>
      <c r="E499" s="95" t="s">
        <v>54</v>
      </c>
      <c r="F499" s="95"/>
      <c r="G499" s="95"/>
      <c r="H499" s="95"/>
      <c r="I499" s="95"/>
      <c r="J499" s="115" t="s">
        <v>1140</v>
      </c>
      <c r="K499" s="193" t="s">
        <v>2911</v>
      </c>
      <c r="L499" s="121" t="s">
        <v>4201</v>
      </c>
      <c r="M499" s="172" t="s">
        <v>2912</v>
      </c>
      <c r="N499" s="93" t="s">
        <v>2913</v>
      </c>
      <c r="O499" s="92" t="s">
        <v>2914</v>
      </c>
      <c r="P499" s="88" t="s">
        <v>1102</v>
      </c>
      <c r="Q499" s="88" t="s">
        <v>48</v>
      </c>
      <c r="R499" s="86">
        <v>9791236095</v>
      </c>
      <c r="S499" s="88" t="s">
        <v>2861</v>
      </c>
      <c r="T499" s="94"/>
      <c r="U499" s="140"/>
      <c r="V499" s="140"/>
      <c r="W499" s="140"/>
      <c r="X499" s="125" t="s">
        <v>79</v>
      </c>
      <c r="Y499" s="126" t="s">
        <v>79</v>
      </c>
      <c r="Z499" s="131"/>
      <c r="AA499" s="131"/>
      <c r="AB499" s="131"/>
      <c r="AC499" s="131"/>
      <c r="AD499" s="127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>
        <f>COUNTA('All Details for ACID Pastor'!$X499:$AB499)</f>
        <v>2</v>
      </c>
      <c r="AQ499" s="121"/>
      <c r="AR499" s="121"/>
      <c r="AS499" s="121"/>
      <c r="AT499" s="121"/>
      <c r="AU499" s="121"/>
      <c r="AV499" s="121"/>
      <c r="AW499" s="163"/>
      <c r="AX499" s="163"/>
      <c r="AZ499" s="121" t="s">
        <v>49</v>
      </c>
      <c r="BA499" s="163"/>
      <c r="BB499" s="163"/>
      <c r="BC499" s="163"/>
      <c r="BF499" s="163">
        <f>COUNTA('All Details for ACID Pastor'!$T499:$AB499)</f>
        <v>2</v>
      </c>
    </row>
    <row r="500" spans="1:74" ht="70.150000000000006" customHeight="1">
      <c r="A500" s="107">
        <v>496</v>
      </c>
      <c r="B500" s="124" t="s">
        <v>2915</v>
      </c>
      <c r="C500" s="90" t="s">
        <v>2916</v>
      </c>
      <c r="D500" s="95" t="s">
        <v>53</v>
      </c>
      <c r="E500" s="95" t="s">
        <v>54</v>
      </c>
      <c r="F500" s="95"/>
      <c r="G500" s="95"/>
      <c r="H500" s="95"/>
      <c r="I500" s="95"/>
      <c r="J500" s="115" t="s">
        <v>2322</v>
      </c>
      <c r="K500" s="193" t="s">
        <v>2917</v>
      </c>
      <c r="L500" s="121"/>
      <c r="M500" s="172" t="s">
        <v>2918</v>
      </c>
      <c r="N500" s="93" t="s">
        <v>2919</v>
      </c>
      <c r="O500" s="92" t="s">
        <v>2920</v>
      </c>
      <c r="P500" s="88" t="s">
        <v>1655</v>
      </c>
      <c r="Q500" s="88" t="s">
        <v>48</v>
      </c>
      <c r="R500" s="86">
        <v>7667476015</v>
      </c>
      <c r="S500" s="88" t="s">
        <v>2861</v>
      </c>
      <c r="T500" s="94"/>
      <c r="U500" s="140"/>
      <c r="V500" s="140"/>
      <c r="W500" s="140"/>
      <c r="X500" s="140"/>
      <c r="Y500" s="141"/>
      <c r="Z500" s="131"/>
      <c r="AA500" s="131"/>
      <c r="AB500" s="131"/>
      <c r="AC500" s="131"/>
      <c r="AD500" s="127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>
        <f>COUNTA('All Details for ACID Pastor'!$X500:$AB500)</f>
        <v>0</v>
      </c>
      <c r="AQ500" s="121"/>
      <c r="AR500" s="121"/>
      <c r="AS500" s="121"/>
      <c r="AT500" s="121"/>
      <c r="AU500" s="121"/>
      <c r="AV500" s="121"/>
      <c r="AW500" s="163"/>
      <c r="AX500" s="163"/>
      <c r="AZ500" s="121" t="s">
        <v>139</v>
      </c>
      <c r="BA500" s="163"/>
      <c r="BB500" s="163"/>
      <c r="BC500" s="163"/>
      <c r="BF500" s="163">
        <f>COUNTA('All Details for ACID Pastor'!$T500:$AB500)</f>
        <v>0</v>
      </c>
    </row>
    <row r="501" spans="1:74" ht="70.150000000000006" customHeight="1">
      <c r="A501" s="107">
        <v>497</v>
      </c>
      <c r="B501" s="124" t="s">
        <v>2921</v>
      </c>
      <c r="C501" s="90" t="s">
        <v>2922</v>
      </c>
      <c r="D501" s="95" t="s">
        <v>53</v>
      </c>
      <c r="E501" s="95" t="s">
        <v>160</v>
      </c>
      <c r="F501" s="95"/>
      <c r="G501" s="95"/>
      <c r="H501" s="95"/>
      <c r="I501" s="95"/>
      <c r="J501" s="115" t="s">
        <v>661</v>
      </c>
      <c r="K501" s="193" t="s">
        <v>2923</v>
      </c>
      <c r="L501" s="121"/>
      <c r="M501" s="172"/>
      <c r="N501" s="93" t="s">
        <v>2924</v>
      </c>
      <c r="O501" s="92" t="s">
        <v>2925</v>
      </c>
      <c r="P501" s="88" t="s">
        <v>73</v>
      </c>
      <c r="Q501" s="88" t="s">
        <v>48</v>
      </c>
      <c r="R501" s="86">
        <v>9036979301</v>
      </c>
      <c r="S501" s="88" t="s">
        <v>2861</v>
      </c>
      <c r="T501" s="94"/>
      <c r="U501" s="140"/>
      <c r="V501" s="140"/>
      <c r="W501" s="140"/>
      <c r="X501" s="125" t="s">
        <v>2926</v>
      </c>
      <c r="Y501" s="141"/>
      <c r="Z501" s="131"/>
      <c r="AA501" s="131"/>
      <c r="AB501" s="131"/>
      <c r="AC501" s="131"/>
      <c r="AD501" s="127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>
        <f>COUNTA('All Details for ACID Pastor'!$X501:$AB501)</f>
        <v>1</v>
      </c>
      <c r="AQ501" s="121"/>
      <c r="AR501" s="121"/>
      <c r="AS501" s="121"/>
      <c r="AT501" s="121"/>
      <c r="AU501" s="121"/>
      <c r="AV501" s="121"/>
      <c r="AW501" s="163"/>
      <c r="AX501" s="163"/>
      <c r="AZ501" s="121" t="s">
        <v>139</v>
      </c>
      <c r="BA501" s="163"/>
      <c r="BB501" s="163"/>
      <c r="BC501" s="163"/>
      <c r="BF501" s="163">
        <f>COUNTA('All Details for ACID Pastor'!$T501:$AB501)</f>
        <v>1</v>
      </c>
    </row>
    <row r="502" spans="1:74" ht="70.150000000000006" customHeight="1">
      <c r="A502" s="107">
        <v>498</v>
      </c>
      <c r="B502" s="124" t="s">
        <v>2927</v>
      </c>
      <c r="C502" s="90" t="s">
        <v>2928</v>
      </c>
      <c r="D502" s="95" t="s">
        <v>53</v>
      </c>
      <c r="E502" s="95" t="s">
        <v>54</v>
      </c>
      <c r="F502" s="95"/>
      <c r="G502" s="95"/>
      <c r="H502" s="95"/>
      <c r="I502" s="95"/>
      <c r="J502" s="115" t="s">
        <v>2929</v>
      </c>
      <c r="K502" s="193" t="s">
        <v>2930</v>
      </c>
      <c r="L502" s="155" t="s">
        <v>4209</v>
      </c>
      <c r="M502" s="172"/>
      <c r="N502" s="93" t="s">
        <v>2931</v>
      </c>
      <c r="O502" s="92" t="s">
        <v>1042</v>
      </c>
      <c r="P502" s="88" t="s">
        <v>1613</v>
      </c>
      <c r="Q502" s="88" t="s">
        <v>48</v>
      </c>
      <c r="R502" s="86">
        <v>9047885242</v>
      </c>
      <c r="S502" s="88" t="s">
        <v>2861</v>
      </c>
      <c r="T502" s="94"/>
      <c r="U502" s="140"/>
      <c r="V502" s="140"/>
      <c r="W502" s="140"/>
      <c r="X502" s="140"/>
      <c r="Y502" s="141"/>
      <c r="Z502" s="131"/>
      <c r="AA502" s="131"/>
      <c r="AB502" s="131"/>
      <c r="AC502" s="131"/>
      <c r="AD502" s="127"/>
      <c r="AE502" s="244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>
        <f>COUNTA('All Details for ACID Pastor'!$X502:$AB502)</f>
        <v>0</v>
      </c>
      <c r="AQ502" s="121"/>
      <c r="AR502" s="121"/>
      <c r="AS502" s="121"/>
      <c r="AT502" s="121"/>
      <c r="AU502" s="121"/>
      <c r="AV502" s="121"/>
      <c r="AW502" s="163"/>
      <c r="AX502" s="163"/>
      <c r="AZ502" s="121" t="s">
        <v>139</v>
      </c>
      <c r="BA502" s="163"/>
      <c r="BB502" s="163"/>
      <c r="BC502" s="163"/>
      <c r="BF502" s="163">
        <f>COUNTA('All Details for ACID Pastor'!$T502:$AB502)</f>
        <v>0</v>
      </c>
    </row>
    <row r="503" spans="1:74" s="174" customFormat="1" ht="70.150000000000006" customHeight="1">
      <c r="A503" s="103">
        <v>499</v>
      </c>
      <c r="B503" s="132" t="s">
        <v>2932</v>
      </c>
      <c r="C503" s="101" t="s">
        <v>2933</v>
      </c>
      <c r="D503" s="102" t="s">
        <v>53</v>
      </c>
      <c r="E503" s="102" t="s">
        <v>54</v>
      </c>
      <c r="F503" s="95"/>
      <c r="G503" s="95"/>
      <c r="H503" s="95"/>
      <c r="I503" s="95"/>
      <c r="J503" s="133" t="s">
        <v>1140</v>
      </c>
      <c r="K503" s="256" t="s">
        <v>2934</v>
      </c>
      <c r="L503" s="270" t="s">
        <v>4209</v>
      </c>
      <c r="M503" s="171" t="s">
        <v>2935</v>
      </c>
      <c r="N503" s="104" t="s">
        <v>2936</v>
      </c>
      <c r="O503" s="105" t="s">
        <v>2766</v>
      </c>
      <c r="P503" s="106" t="s">
        <v>1102</v>
      </c>
      <c r="Q503" s="106" t="s">
        <v>48</v>
      </c>
      <c r="R503" s="134">
        <v>8883347557</v>
      </c>
      <c r="S503" s="106" t="s">
        <v>2937</v>
      </c>
      <c r="T503" s="135"/>
      <c r="U503" s="176"/>
      <c r="V503" s="176"/>
      <c r="W503" s="176"/>
      <c r="X503" s="135"/>
      <c r="Y503" s="145"/>
      <c r="Z503" s="136"/>
      <c r="AA503" s="136"/>
      <c r="AB503" s="136"/>
      <c r="AC503" s="136"/>
      <c r="AD503" s="222"/>
      <c r="AE503" s="240"/>
      <c r="AF503" s="232"/>
      <c r="AG503" s="232"/>
      <c r="AH503" s="232"/>
      <c r="AI503" s="232"/>
      <c r="AJ503" s="232"/>
      <c r="AK503" s="232"/>
      <c r="AL503" s="232"/>
      <c r="AM503" s="232"/>
      <c r="AN503" s="232"/>
      <c r="AO503" s="232"/>
      <c r="AP503" s="232"/>
      <c r="AQ503" s="232">
        <f>COUNTA('All Details for ACID Pastor'!$Y503:$AB503)</f>
        <v>0</v>
      </c>
      <c r="AR503" s="232"/>
      <c r="AS503" s="232"/>
      <c r="AT503" s="232"/>
      <c r="AU503" s="232"/>
      <c r="AV503" s="232"/>
      <c r="AW503" s="233"/>
      <c r="AX503" s="233"/>
      <c r="AY503" s="244"/>
      <c r="AZ503" s="232" t="s">
        <v>139</v>
      </c>
      <c r="BA503" s="233"/>
      <c r="BB503" s="233"/>
      <c r="BC503" s="233"/>
      <c r="BD503" s="244"/>
      <c r="BE503" s="277"/>
      <c r="BF503" s="233">
        <f>COUNTA('All Details for ACID Pastor'!$T503:$AB503)</f>
        <v>0</v>
      </c>
      <c r="BG503" s="249"/>
      <c r="BH503" s="249"/>
      <c r="BI503" s="249"/>
      <c r="BJ503" s="249"/>
      <c r="BK503" s="249"/>
      <c r="BL503" s="249"/>
      <c r="BM503" s="249"/>
      <c r="BN503" s="249"/>
      <c r="BO503" s="249"/>
      <c r="BP503" s="249"/>
      <c r="BQ503" s="249"/>
      <c r="BR503" s="249"/>
      <c r="BS503" s="249"/>
      <c r="BT503" s="249"/>
      <c r="BU503" s="249"/>
      <c r="BV503" s="249"/>
    </row>
    <row r="504" spans="1:74" ht="70.150000000000006" customHeight="1">
      <c r="A504" s="107">
        <v>500</v>
      </c>
      <c r="B504" s="124" t="s">
        <v>2938</v>
      </c>
      <c r="C504" s="90" t="s">
        <v>2939</v>
      </c>
      <c r="D504" s="95" t="s">
        <v>53</v>
      </c>
      <c r="E504" s="95" t="s">
        <v>54</v>
      </c>
      <c r="F504" s="95"/>
      <c r="G504" s="95"/>
      <c r="H504" s="95"/>
      <c r="I504" s="95"/>
      <c r="J504" s="115" t="s">
        <v>1140</v>
      </c>
      <c r="K504" s="193" t="s">
        <v>2940</v>
      </c>
      <c r="L504" s="155" t="s">
        <v>4209</v>
      </c>
      <c r="M504" s="172" t="s">
        <v>2941</v>
      </c>
      <c r="N504" s="93" t="s">
        <v>2942</v>
      </c>
      <c r="O504" s="92" t="s">
        <v>2943</v>
      </c>
      <c r="P504" s="88" t="s">
        <v>1102</v>
      </c>
      <c r="Q504" s="88" t="s">
        <v>48</v>
      </c>
      <c r="R504" s="86">
        <v>9894566456</v>
      </c>
      <c r="S504" s="88" t="s">
        <v>2937</v>
      </c>
      <c r="T504" s="94"/>
      <c r="U504" s="140"/>
      <c r="V504" s="140"/>
      <c r="W504" s="140"/>
      <c r="X504" s="143"/>
      <c r="Y504" s="125" t="s">
        <v>110</v>
      </c>
      <c r="Z504" s="127" t="s">
        <v>149</v>
      </c>
      <c r="AA504" s="127" t="s">
        <v>99</v>
      </c>
      <c r="AB504" s="127" t="s">
        <v>1236</v>
      </c>
      <c r="AC504" s="127" t="s">
        <v>1236</v>
      </c>
      <c r="AD504" s="127" t="s">
        <v>4220</v>
      </c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>
        <v>3</v>
      </c>
      <c r="AR504" s="121"/>
      <c r="AS504" s="121"/>
      <c r="AT504" s="121"/>
      <c r="AU504" s="121"/>
      <c r="AV504" s="121"/>
      <c r="AW504" s="163"/>
      <c r="AX504" s="163"/>
      <c r="AZ504" s="121" t="s">
        <v>49</v>
      </c>
      <c r="BA504" s="163"/>
      <c r="BB504" s="163"/>
      <c r="BC504" s="163"/>
      <c r="BF504" s="163">
        <v>6</v>
      </c>
    </row>
    <row r="505" spans="1:74" ht="70.150000000000006" customHeight="1">
      <c r="A505" s="107">
        <v>501</v>
      </c>
      <c r="B505" s="124" t="s">
        <v>2944</v>
      </c>
      <c r="C505" s="90" t="s">
        <v>2945</v>
      </c>
      <c r="D505" s="95" t="s">
        <v>53</v>
      </c>
      <c r="E505" s="95" t="s">
        <v>54</v>
      </c>
      <c r="F505" s="95"/>
      <c r="G505" s="95"/>
      <c r="H505" s="95"/>
      <c r="I505" s="95"/>
      <c r="J505" s="115" t="s">
        <v>1140</v>
      </c>
      <c r="K505" s="193" t="s">
        <v>2946</v>
      </c>
      <c r="L505" s="155" t="s">
        <v>4209</v>
      </c>
      <c r="M505" s="172" t="s">
        <v>2941</v>
      </c>
      <c r="N505" s="93" t="s">
        <v>2947</v>
      </c>
      <c r="O505" s="92" t="s">
        <v>2943</v>
      </c>
      <c r="P505" s="88" t="s">
        <v>1102</v>
      </c>
      <c r="Q505" s="88" t="s">
        <v>48</v>
      </c>
      <c r="R505" s="86">
        <v>9597394616</v>
      </c>
      <c r="S505" s="88" t="s">
        <v>2937</v>
      </c>
      <c r="T505" s="94"/>
      <c r="U505" s="140"/>
      <c r="V505" s="140"/>
      <c r="W505" s="140"/>
      <c r="X505" s="140"/>
      <c r="Y505" s="125" t="s">
        <v>110</v>
      </c>
      <c r="Z505" s="127" t="s">
        <v>149</v>
      </c>
      <c r="AA505" s="127" t="s">
        <v>99</v>
      </c>
      <c r="AB505" s="131"/>
      <c r="AC505" s="131" t="s">
        <v>4220</v>
      </c>
      <c r="AD505" s="127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>
        <f>COUNTA('All Details for ACID Pastor'!$Y505:$AB505)</f>
        <v>3</v>
      </c>
      <c r="AR505" s="121"/>
      <c r="AS505" s="121"/>
      <c r="AT505" s="121"/>
      <c r="AU505" s="121"/>
      <c r="AV505" s="121"/>
      <c r="AW505" s="163"/>
      <c r="AX505" s="163"/>
      <c r="AZ505" s="121" t="s">
        <v>49</v>
      </c>
      <c r="BA505" s="163"/>
      <c r="BB505" s="163"/>
      <c r="BC505" s="163"/>
      <c r="BF505" s="163">
        <v>4</v>
      </c>
    </row>
    <row r="506" spans="1:74" ht="78.75" customHeight="1">
      <c r="A506" s="107">
        <v>502</v>
      </c>
      <c r="B506" s="124" t="s">
        <v>2948</v>
      </c>
      <c r="C506" s="90" t="s">
        <v>2949</v>
      </c>
      <c r="D506" s="95" t="s">
        <v>53</v>
      </c>
      <c r="E506" s="95" t="s">
        <v>54</v>
      </c>
      <c r="F506" s="95"/>
      <c r="G506" s="95"/>
      <c r="H506" s="95"/>
      <c r="I506" s="95"/>
      <c r="J506" s="115" t="s">
        <v>2950</v>
      </c>
      <c r="K506" s="193" t="s">
        <v>2951</v>
      </c>
      <c r="L506" s="155" t="s">
        <v>4209</v>
      </c>
      <c r="M506" s="172" t="s">
        <v>2952</v>
      </c>
      <c r="N506" s="93" t="s">
        <v>2953</v>
      </c>
      <c r="O506" s="92" t="s">
        <v>2954</v>
      </c>
      <c r="P506" s="88" t="s">
        <v>2147</v>
      </c>
      <c r="Q506" s="88" t="s">
        <v>48</v>
      </c>
      <c r="R506" s="86">
        <v>9585157495</v>
      </c>
      <c r="S506" s="88" t="s">
        <v>2937</v>
      </c>
      <c r="T506" s="94"/>
      <c r="U506" s="140"/>
      <c r="V506" s="140"/>
      <c r="W506" s="140"/>
      <c r="X506" s="140"/>
      <c r="Y506" s="125" t="s">
        <v>110</v>
      </c>
      <c r="Z506" s="127" t="s">
        <v>165</v>
      </c>
      <c r="AA506" s="127" t="s">
        <v>165</v>
      </c>
      <c r="AB506" s="127" t="s">
        <v>165</v>
      </c>
      <c r="AC506" s="131" t="s">
        <v>129</v>
      </c>
      <c r="AD506" s="127"/>
      <c r="AE506" s="244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>
        <f>COUNTA('All Details for ACID Pastor'!$Y506:$AB506)</f>
        <v>4</v>
      </c>
      <c r="AR506" s="121"/>
      <c r="AS506" s="121"/>
      <c r="AT506" s="121"/>
      <c r="AU506" s="121"/>
      <c r="AV506" s="121"/>
      <c r="AW506" s="163"/>
      <c r="AX506" s="163"/>
      <c r="AZ506" s="121" t="s">
        <v>49</v>
      </c>
      <c r="BA506" s="163"/>
      <c r="BB506" s="163">
        <v>1</v>
      </c>
      <c r="BC506" s="163"/>
      <c r="BF506" s="163">
        <v>5</v>
      </c>
    </row>
    <row r="507" spans="1:74" s="174" customFormat="1" ht="70.150000000000006" customHeight="1">
      <c r="A507" s="103">
        <v>503</v>
      </c>
      <c r="B507" s="132" t="s">
        <v>2955</v>
      </c>
      <c r="C507" s="101" t="s">
        <v>2956</v>
      </c>
      <c r="D507" s="102" t="s">
        <v>53</v>
      </c>
      <c r="E507" s="102" t="s">
        <v>54</v>
      </c>
      <c r="F507" s="95"/>
      <c r="G507" s="95"/>
      <c r="H507" s="95"/>
      <c r="I507" s="95"/>
      <c r="J507" s="133" t="s">
        <v>2322</v>
      </c>
      <c r="K507" s="256" t="s">
        <v>2957</v>
      </c>
      <c r="L507" s="270" t="s">
        <v>4209</v>
      </c>
      <c r="M507" s="171"/>
      <c r="N507" s="104" t="s">
        <v>2958</v>
      </c>
      <c r="O507" s="105" t="s">
        <v>2959</v>
      </c>
      <c r="P507" s="106" t="s">
        <v>666</v>
      </c>
      <c r="Q507" s="106" t="s">
        <v>667</v>
      </c>
      <c r="R507" s="134">
        <v>9945703204</v>
      </c>
      <c r="S507" s="106" t="s">
        <v>2937</v>
      </c>
      <c r="T507" s="135"/>
      <c r="U507" s="176"/>
      <c r="V507" s="176"/>
      <c r="W507" s="176"/>
      <c r="X507" s="176"/>
      <c r="Y507" s="176"/>
      <c r="Z507" s="136"/>
      <c r="AA507" s="136"/>
      <c r="AB507" s="136"/>
      <c r="AC507" s="136"/>
      <c r="AD507" s="222"/>
      <c r="AE507" s="240"/>
      <c r="AF507" s="232"/>
      <c r="AG507" s="232"/>
      <c r="AH507" s="232"/>
      <c r="AI507" s="232"/>
      <c r="AJ507" s="232"/>
      <c r="AK507" s="232"/>
      <c r="AL507" s="232"/>
      <c r="AM507" s="232"/>
      <c r="AN507" s="232"/>
      <c r="AO507" s="232"/>
      <c r="AP507" s="232"/>
      <c r="AQ507" s="232">
        <f>COUNTA('All Details for ACID Pastor'!$Y507:$AB507)</f>
        <v>0</v>
      </c>
      <c r="AR507" s="232"/>
      <c r="AS507" s="232"/>
      <c r="AT507" s="232"/>
      <c r="AU507" s="232"/>
      <c r="AV507" s="232"/>
      <c r="AW507" s="233"/>
      <c r="AX507" s="233"/>
      <c r="AY507" s="244"/>
      <c r="AZ507" s="232" t="s">
        <v>139</v>
      </c>
      <c r="BA507" s="233"/>
      <c r="BB507" s="233"/>
      <c r="BC507" s="233"/>
      <c r="BD507" s="244"/>
      <c r="BE507" s="277"/>
      <c r="BF507" s="233">
        <f>COUNTA('All Details for ACID Pastor'!$T507:$AB507)</f>
        <v>0</v>
      </c>
      <c r="BG507" s="249"/>
      <c r="BH507" s="249"/>
      <c r="BI507" s="249"/>
      <c r="BJ507" s="249"/>
      <c r="BK507" s="249"/>
      <c r="BL507" s="249"/>
      <c r="BM507" s="249"/>
      <c r="BN507" s="249"/>
      <c r="BO507" s="249"/>
      <c r="BP507" s="249"/>
      <c r="BQ507" s="249"/>
      <c r="BR507" s="249"/>
      <c r="BS507" s="249"/>
      <c r="BT507" s="249"/>
      <c r="BU507" s="249"/>
      <c r="BV507" s="249"/>
    </row>
    <row r="508" spans="1:74" ht="70.150000000000006" customHeight="1">
      <c r="A508" s="107">
        <v>504</v>
      </c>
      <c r="B508" s="124" t="s">
        <v>2960</v>
      </c>
      <c r="C508" s="90" t="s">
        <v>2961</v>
      </c>
      <c r="D508" s="95" t="s">
        <v>53</v>
      </c>
      <c r="E508" s="95" t="s">
        <v>54</v>
      </c>
      <c r="F508" s="95"/>
      <c r="G508" s="95"/>
      <c r="H508" s="95"/>
      <c r="I508" s="95"/>
      <c r="J508" s="115" t="s">
        <v>2322</v>
      </c>
      <c r="K508" s="193" t="s">
        <v>2962</v>
      </c>
      <c r="L508" s="155" t="s">
        <v>4209</v>
      </c>
      <c r="M508" s="172" t="s">
        <v>2963</v>
      </c>
      <c r="N508" s="93" t="s">
        <v>2964</v>
      </c>
      <c r="O508" s="92" t="s">
        <v>2965</v>
      </c>
      <c r="P508" s="88" t="s">
        <v>666</v>
      </c>
      <c r="Q508" s="88" t="s">
        <v>667</v>
      </c>
      <c r="R508" s="86">
        <v>7996912677</v>
      </c>
      <c r="S508" s="88" t="s">
        <v>2937</v>
      </c>
      <c r="T508" s="94"/>
      <c r="U508" s="140"/>
      <c r="V508" s="140"/>
      <c r="W508" s="140"/>
      <c r="X508" s="140"/>
      <c r="Y508" s="126" t="s">
        <v>110</v>
      </c>
      <c r="Z508" s="131"/>
      <c r="AA508" s="131"/>
      <c r="AB508" s="131"/>
      <c r="AC508" s="131"/>
      <c r="AD508" s="127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>
        <f>COUNTA('All Details for ACID Pastor'!$Y508:$AB508)</f>
        <v>1</v>
      </c>
      <c r="AR508" s="121"/>
      <c r="AS508" s="121"/>
      <c r="AT508" s="121"/>
      <c r="AU508" s="121"/>
      <c r="AV508" s="121"/>
      <c r="AW508" s="163"/>
      <c r="AX508" s="163"/>
      <c r="AZ508" s="121" t="s">
        <v>139</v>
      </c>
      <c r="BA508" s="163"/>
      <c r="BB508" s="163"/>
      <c r="BC508" s="163"/>
      <c r="BF508" s="163">
        <f>COUNTA('All Details for ACID Pastor'!$T508:$AB508)</f>
        <v>1</v>
      </c>
    </row>
    <row r="509" spans="1:74" ht="70.150000000000006" customHeight="1">
      <c r="A509" s="107">
        <v>505</v>
      </c>
      <c r="B509" s="124" t="s">
        <v>2966</v>
      </c>
      <c r="C509" s="90" t="s">
        <v>2967</v>
      </c>
      <c r="D509" s="95" t="s">
        <v>53</v>
      </c>
      <c r="E509" s="95" t="s">
        <v>54</v>
      </c>
      <c r="F509" s="95"/>
      <c r="G509" s="95"/>
      <c r="H509" s="95"/>
      <c r="I509" s="95"/>
      <c r="J509" s="115" t="s">
        <v>1458</v>
      </c>
      <c r="K509" s="193" t="s">
        <v>2968</v>
      </c>
      <c r="L509" s="155" t="s">
        <v>4209</v>
      </c>
      <c r="M509" s="172"/>
      <c r="N509" s="93" t="s">
        <v>2969</v>
      </c>
      <c r="O509" s="92" t="s">
        <v>2970</v>
      </c>
      <c r="P509" s="88" t="s">
        <v>2971</v>
      </c>
      <c r="Q509" s="88" t="s">
        <v>48</v>
      </c>
      <c r="R509" s="86">
        <v>9841367275</v>
      </c>
      <c r="S509" s="88" t="s">
        <v>2937</v>
      </c>
      <c r="T509" s="94"/>
      <c r="U509" s="140"/>
      <c r="V509" s="140"/>
      <c r="W509" s="140"/>
      <c r="X509" s="140"/>
      <c r="Y509" s="126" t="s">
        <v>110</v>
      </c>
      <c r="Z509" s="131"/>
      <c r="AA509" s="131"/>
      <c r="AB509" s="131"/>
      <c r="AC509" s="131"/>
      <c r="AD509" s="127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>
        <f>COUNTA('All Details for ACID Pastor'!$Y509:$AB509)</f>
        <v>1</v>
      </c>
      <c r="AR509" s="121"/>
      <c r="AS509" s="121"/>
      <c r="AT509" s="121"/>
      <c r="AU509" s="121"/>
      <c r="AV509" s="121"/>
      <c r="AW509" s="163"/>
      <c r="AX509" s="163"/>
      <c r="AZ509" s="121" t="s">
        <v>49</v>
      </c>
      <c r="BA509" s="163"/>
      <c r="BB509" s="163"/>
      <c r="BC509" s="163"/>
      <c r="BF509" s="163">
        <f>COUNTA('All Details for ACID Pastor'!$T509:$AB509)</f>
        <v>1</v>
      </c>
    </row>
    <row r="510" spans="1:74" ht="70.150000000000006" customHeight="1">
      <c r="A510" s="107">
        <v>506</v>
      </c>
      <c r="B510" s="124" t="s">
        <v>2972</v>
      </c>
      <c r="C510" s="90" t="s">
        <v>2973</v>
      </c>
      <c r="D510" s="95" t="s">
        <v>53</v>
      </c>
      <c r="E510" s="95" t="s">
        <v>54</v>
      </c>
      <c r="F510" s="95"/>
      <c r="G510" s="95"/>
      <c r="H510" s="95"/>
      <c r="I510" s="95"/>
      <c r="J510" s="115" t="s">
        <v>2798</v>
      </c>
      <c r="K510" s="193" t="s">
        <v>2974</v>
      </c>
      <c r="L510" s="155" t="s">
        <v>4209</v>
      </c>
      <c r="M510" s="172"/>
      <c r="N510" s="93" t="s">
        <v>2975</v>
      </c>
      <c r="O510" s="92" t="s">
        <v>2976</v>
      </c>
      <c r="P510" s="88" t="s">
        <v>198</v>
      </c>
      <c r="Q510" s="88" t="s">
        <v>48</v>
      </c>
      <c r="R510" s="86">
        <v>9487069200</v>
      </c>
      <c r="S510" s="88" t="s">
        <v>2937</v>
      </c>
      <c r="T510" s="94"/>
      <c r="U510" s="140"/>
      <c r="V510" s="140"/>
      <c r="W510" s="140"/>
      <c r="X510" s="140"/>
      <c r="Y510" s="126" t="s">
        <v>110</v>
      </c>
      <c r="Z510" s="131"/>
      <c r="AA510" s="127" t="s">
        <v>99</v>
      </c>
      <c r="AB510" s="131" t="s">
        <v>129</v>
      </c>
      <c r="AC510" s="131" t="s">
        <v>129</v>
      </c>
      <c r="AD510" s="127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>
        <f>COUNTA('All Details for ACID Pastor'!$Y510:$AB510)</f>
        <v>3</v>
      </c>
      <c r="AR510" s="121"/>
      <c r="AS510" s="121"/>
      <c r="AT510" s="121"/>
      <c r="AU510" s="121"/>
      <c r="AV510" s="121"/>
      <c r="AW510" s="163"/>
      <c r="AX510" s="163"/>
      <c r="AZ510" s="121" t="s">
        <v>49</v>
      </c>
      <c r="BA510" s="163"/>
      <c r="BB510" s="163">
        <v>2</v>
      </c>
      <c r="BC510" s="163"/>
      <c r="BF510" s="163">
        <v>5</v>
      </c>
    </row>
    <row r="511" spans="1:74" ht="70.150000000000006" customHeight="1">
      <c r="A511" s="107">
        <v>507</v>
      </c>
      <c r="B511" s="124" t="s">
        <v>2977</v>
      </c>
      <c r="C511" s="90" t="s">
        <v>2978</v>
      </c>
      <c r="D511" s="95" t="s">
        <v>53</v>
      </c>
      <c r="E511" s="95" t="s">
        <v>54</v>
      </c>
      <c r="F511" s="95"/>
      <c r="G511" s="95"/>
      <c r="H511" s="95"/>
      <c r="I511" s="95"/>
      <c r="J511" s="115" t="s">
        <v>2757</v>
      </c>
      <c r="K511" s="193" t="s">
        <v>2979</v>
      </c>
      <c r="L511" s="155" t="s">
        <v>4209</v>
      </c>
      <c r="M511" s="172" t="s">
        <v>2980</v>
      </c>
      <c r="N511" s="93" t="s">
        <v>2981</v>
      </c>
      <c r="O511" s="92" t="s">
        <v>2982</v>
      </c>
      <c r="P511" s="88" t="s">
        <v>73</v>
      </c>
      <c r="Q511" s="88" t="s">
        <v>48</v>
      </c>
      <c r="R511" s="86">
        <v>8760609090</v>
      </c>
      <c r="S511" s="88" t="s">
        <v>2937</v>
      </c>
      <c r="T511" s="94"/>
      <c r="U511" s="140"/>
      <c r="V511" s="140"/>
      <c r="W511" s="140"/>
      <c r="X511" s="140"/>
      <c r="Y511" s="149">
        <v>44508</v>
      </c>
      <c r="Z511" s="149">
        <v>44508</v>
      </c>
      <c r="AA511" s="131" t="s">
        <v>4086</v>
      </c>
      <c r="AB511" s="131"/>
      <c r="AC511" s="131"/>
      <c r="AD511" s="127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>
        <f>COUNTA('All Details for ACID Pastor'!$Y511:$AB511)</f>
        <v>3</v>
      </c>
      <c r="AR511" s="121"/>
      <c r="AS511" s="121"/>
      <c r="AT511" s="121"/>
      <c r="AU511" s="121"/>
      <c r="AV511" s="121"/>
      <c r="AW511" s="163"/>
      <c r="AX511" s="163"/>
      <c r="AZ511" s="121" t="s">
        <v>49</v>
      </c>
      <c r="BA511" s="163"/>
      <c r="BB511" s="163"/>
      <c r="BC511" s="163"/>
      <c r="BF511" s="163">
        <f>COUNTA('All Details for ACID Pastor'!$T511:$AB511)</f>
        <v>3</v>
      </c>
    </row>
    <row r="512" spans="1:74" ht="70.150000000000006" customHeight="1">
      <c r="A512" s="107">
        <v>508</v>
      </c>
      <c r="B512" s="124" t="s">
        <v>2983</v>
      </c>
      <c r="C512" s="90" t="s">
        <v>2984</v>
      </c>
      <c r="D512" s="95" t="s">
        <v>53</v>
      </c>
      <c r="E512" s="95" t="s">
        <v>160</v>
      </c>
      <c r="F512" s="95"/>
      <c r="G512" s="95"/>
      <c r="H512" s="95"/>
      <c r="I512" s="95"/>
      <c r="J512" s="115" t="s">
        <v>2757</v>
      </c>
      <c r="K512" s="193" t="s">
        <v>2985</v>
      </c>
      <c r="L512" s="155" t="s">
        <v>4209</v>
      </c>
      <c r="M512" s="172" t="s">
        <v>2986</v>
      </c>
      <c r="N512" s="93" t="s">
        <v>2987</v>
      </c>
      <c r="O512" s="92" t="s">
        <v>2982</v>
      </c>
      <c r="P512" s="88" t="s">
        <v>73</v>
      </c>
      <c r="Q512" s="88" t="s">
        <v>48</v>
      </c>
      <c r="R512" s="86">
        <v>8760609090</v>
      </c>
      <c r="S512" s="88" t="s">
        <v>2937</v>
      </c>
      <c r="T512" s="94"/>
      <c r="U512" s="140"/>
      <c r="V512" s="140"/>
      <c r="W512" s="140"/>
      <c r="X512" s="140"/>
      <c r="Y512" s="141"/>
      <c r="Z512" s="131"/>
      <c r="AA512" s="131"/>
      <c r="AB512" s="131"/>
      <c r="AC512" s="131"/>
      <c r="AD512" s="127"/>
      <c r="AE512" s="244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>
        <f>COUNTA('All Details for ACID Pastor'!$Y512:$AB512)</f>
        <v>0</v>
      </c>
      <c r="AR512" s="121"/>
      <c r="AS512" s="121"/>
      <c r="AT512" s="121"/>
      <c r="AU512" s="121"/>
      <c r="AV512" s="121"/>
      <c r="AW512" s="163"/>
      <c r="AX512" s="163"/>
      <c r="AZ512" s="121" t="s">
        <v>139</v>
      </c>
      <c r="BA512" s="163"/>
      <c r="BB512" s="163"/>
      <c r="BC512" s="163"/>
      <c r="BF512" s="163">
        <f>COUNTA('All Details for ACID Pastor'!$T512:$AB512)</f>
        <v>0</v>
      </c>
    </row>
    <row r="513" spans="1:74" s="174" customFormat="1" ht="70.150000000000006" customHeight="1">
      <c r="A513" s="103">
        <v>509</v>
      </c>
      <c r="B513" s="132" t="s">
        <v>2988</v>
      </c>
      <c r="C513" s="101" t="s">
        <v>2989</v>
      </c>
      <c r="D513" s="102" t="s">
        <v>53</v>
      </c>
      <c r="E513" s="102" t="s">
        <v>54</v>
      </c>
      <c r="F513" s="95"/>
      <c r="G513" s="95"/>
      <c r="H513" s="95"/>
      <c r="I513" s="95"/>
      <c r="J513" s="133" t="s">
        <v>113</v>
      </c>
      <c r="K513" s="256" t="s">
        <v>2990</v>
      </c>
      <c r="L513" s="232"/>
      <c r="M513" s="171" t="s">
        <v>2991</v>
      </c>
      <c r="N513" s="104" t="s">
        <v>2992</v>
      </c>
      <c r="O513" s="105" t="s">
        <v>2993</v>
      </c>
      <c r="P513" s="106" t="s">
        <v>60</v>
      </c>
      <c r="Q513" s="106" t="s">
        <v>48</v>
      </c>
      <c r="R513" s="134">
        <v>9585751994</v>
      </c>
      <c r="S513" s="106" t="s">
        <v>2937</v>
      </c>
      <c r="T513" s="135"/>
      <c r="U513" s="176"/>
      <c r="V513" s="176"/>
      <c r="W513" s="176"/>
      <c r="X513" s="176"/>
      <c r="Y513" s="145"/>
      <c r="Z513" s="136"/>
      <c r="AA513" s="136"/>
      <c r="AB513" s="136"/>
      <c r="AC513" s="136"/>
      <c r="AD513" s="222"/>
      <c r="AE513" s="240"/>
      <c r="AF513" s="232"/>
      <c r="AG513" s="232"/>
      <c r="AH513" s="232"/>
      <c r="AI513" s="232"/>
      <c r="AJ513" s="232"/>
      <c r="AK513" s="232"/>
      <c r="AL513" s="232"/>
      <c r="AM513" s="232"/>
      <c r="AN513" s="232"/>
      <c r="AO513" s="232"/>
      <c r="AP513" s="232"/>
      <c r="AQ513" s="232">
        <f>COUNTA('All Details for ACID Pastor'!$Y513:$AB513)</f>
        <v>0</v>
      </c>
      <c r="AR513" s="232"/>
      <c r="AS513" s="232"/>
      <c r="AT513" s="232"/>
      <c r="AU513" s="232"/>
      <c r="AV513" s="232"/>
      <c r="AW513" s="233"/>
      <c r="AX513" s="233"/>
      <c r="AY513" s="244"/>
      <c r="AZ513" s="232" t="s">
        <v>139</v>
      </c>
      <c r="BA513" s="233"/>
      <c r="BB513" s="233"/>
      <c r="BC513" s="233"/>
      <c r="BD513" s="244"/>
      <c r="BE513" s="277"/>
      <c r="BF513" s="233">
        <f>COUNTA('All Details for ACID Pastor'!$T513:$AB513)</f>
        <v>0</v>
      </c>
      <c r="BG513" s="249"/>
      <c r="BH513" s="249"/>
      <c r="BI513" s="249"/>
      <c r="BJ513" s="249"/>
      <c r="BK513" s="249"/>
      <c r="BL513" s="249"/>
      <c r="BM513" s="249"/>
      <c r="BN513" s="249"/>
      <c r="BO513" s="249"/>
      <c r="BP513" s="249"/>
      <c r="BQ513" s="249"/>
      <c r="BR513" s="249"/>
      <c r="BS513" s="249"/>
      <c r="BT513" s="249"/>
      <c r="BU513" s="249"/>
      <c r="BV513" s="249"/>
    </row>
    <row r="514" spans="1:74" ht="70.150000000000006" customHeight="1">
      <c r="A514" s="107">
        <v>510</v>
      </c>
      <c r="B514" s="124" t="s">
        <v>2994</v>
      </c>
      <c r="C514" s="90" t="s">
        <v>2995</v>
      </c>
      <c r="D514" s="95" t="s">
        <v>53</v>
      </c>
      <c r="E514" s="95" t="s">
        <v>54</v>
      </c>
      <c r="F514" s="95"/>
      <c r="G514" s="95"/>
      <c r="H514" s="95"/>
      <c r="I514" s="95"/>
      <c r="J514" s="115" t="s">
        <v>113</v>
      </c>
      <c r="K514" s="193" t="s">
        <v>2996</v>
      </c>
      <c r="L514" s="155" t="s">
        <v>4209</v>
      </c>
      <c r="M514" s="172"/>
      <c r="N514" s="93" t="s">
        <v>2997</v>
      </c>
      <c r="O514" s="92" t="s">
        <v>2998</v>
      </c>
      <c r="P514" s="88" t="s">
        <v>47</v>
      </c>
      <c r="Q514" s="88" t="s">
        <v>48</v>
      </c>
      <c r="R514" s="86">
        <v>9952632868</v>
      </c>
      <c r="S514" s="88" t="s">
        <v>2937</v>
      </c>
      <c r="T514" s="94"/>
      <c r="U514" s="140"/>
      <c r="V514" s="140"/>
      <c r="W514" s="140"/>
      <c r="X514" s="140"/>
      <c r="Y514" s="126" t="s">
        <v>110</v>
      </c>
      <c r="Z514" s="131"/>
      <c r="AA514" s="131"/>
      <c r="AB514" s="131"/>
      <c r="AC514" s="131"/>
      <c r="AD514" s="127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  <c r="AQ514" s="121">
        <f>COUNTA('All Details for ACID Pastor'!$Y514:$AB514)</f>
        <v>1</v>
      </c>
      <c r="AR514" s="121"/>
      <c r="AS514" s="121"/>
      <c r="AT514" s="121"/>
      <c r="AU514" s="121"/>
      <c r="AV514" s="121"/>
      <c r="AW514" s="163"/>
      <c r="AX514" s="163"/>
      <c r="AZ514" s="121" t="s">
        <v>49</v>
      </c>
      <c r="BA514" s="163"/>
      <c r="BB514" s="163"/>
      <c r="BC514" s="163"/>
      <c r="BF514" s="163">
        <f>COUNTA('All Details for ACID Pastor'!$T514:$AB514)</f>
        <v>1</v>
      </c>
    </row>
    <row r="515" spans="1:74" ht="70.150000000000006" customHeight="1">
      <c r="A515" s="107">
        <v>511</v>
      </c>
      <c r="B515" s="124" t="s">
        <v>2999</v>
      </c>
      <c r="C515" s="90" t="s">
        <v>3000</v>
      </c>
      <c r="D515" s="95" t="s">
        <v>53</v>
      </c>
      <c r="E515" s="95" t="s">
        <v>54</v>
      </c>
      <c r="F515" s="95"/>
      <c r="G515" s="95"/>
      <c r="H515" s="95"/>
      <c r="I515" s="95"/>
      <c r="J515" s="115" t="s">
        <v>1426</v>
      </c>
      <c r="K515" s="193" t="s">
        <v>3001</v>
      </c>
      <c r="L515" s="155" t="s">
        <v>4209</v>
      </c>
      <c r="M515" s="172"/>
      <c r="N515" s="93" t="s">
        <v>3002</v>
      </c>
      <c r="O515" s="92" t="s">
        <v>3003</v>
      </c>
      <c r="P515" s="88" t="s">
        <v>1002</v>
      </c>
      <c r="Q515" s="88" t="s">
        <v>48</v>
      </c>
      <c r="R515" s="86">
        <v>9095562056</v>
      </c>
      <c r="S515" s="88" t="s">
        <v>2937</v>
      </c>
      <c r="T515" s="94"/>
      <c r="U515" s="140"/>
      <c r="V515" s="140"/>
      <c r="W515" s="140"/>
      <c r="X515" s="140"/>
      <c r="Y515" s="126" t="s">
        <v>727</v>
      </c>
      <c r="Z515" s="126" t="s">
        <v>1437</v>
      </c>
      <c r="AA515" s="126" t="s">
        <v>1437</v>
      </c>
      <c r="AB515" s="131"/>
      <c r="AC515" s="131"/>
      <c r="AD515" s="127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  <c r="AQ515" s="121">
        <f>COUNTA('All Details for ACID Pastor'!$Y515:$AB515)</f>
        <v>3</v>
      </c>
      <c r="AR515" s="121"/>
      <c r="AS515" s="121"/>
      <c r="AT515" s="121"/>
      <c r="AU515" s="121"/>
      <c r="AV515" s="121"/>
      <c r="AW515" s="163"/>
      <c r="AX515" s="163"/>
      <c r="AZ515" s="121" t="s">
        <v>49</v>
      </c>
      <c r="BA515" s="163"/>
      <c r="BB515" s="163"/>
      <c r="BC515" s="163"/>
      <c r="BF515" s="163">
        <f>COUNTA('All Details for ACID Pastor'!$T515:$AB515)</f>
        <v>3</v>
      </c>
    </row>
    <row r="516" spans="1:74" ht="70.150000000000006" customHeight="1">
      <c r="A516" s="107">
        <v>512</v>
      </c>
      <c r="B516" s="124" t="s">
        <v>3004</v>
      </c>
      <c r="C516" s="90" t="s">
        <v>3005</v>
      </c>
      <c r="D516" s="95" t="s">
        <v>53</v>
      </c>
      <c r="E516" s="95" t="s">
        <v>54</v>
      </c>
      <c r="F516" s="95"/>
      <c r="G516" s="95"/>
      <c r="H516" s="95"/>
      <c r="I516" s="95"/>
      <c r="J516" s="115" t="s">
        <v>1426</v>
      </c>
      <c r="K516" s="193" t="s">
        <v>3006</v>
      </c>
      <c r="L516" s="155" t="s">
        <v>4209</v>
      </c>
      <c r="M516" s="172"/>
      <c r="N516" s="93" t="s">
        <v>3007</v>
      </c>
      <c r="O516" s="92" t="s">
        <v>3008</v>
      </c>
      <c r="P516" s="88" t="s">
        <v>233</v>
      </c>
      <c r="Q516" s="88" t="s">
        <v>48</v>
      </c>
      <c r="R516" s="86">
        <v>8056543241</v>
      </c>
      <c r="S516" s="88" t="s">
        <v>2937</v>
      </c>
      <c r="T516" s="94"/>
      <c r="U516" s="140"/>
      <c r="V516" s="140"/>
      <c r="W516" s="140"/>
      <c r="X516" s="140"/>
      <c r="Y516" s="126" t="s">
        <v>727</v>
      </c>
      <c r="Z516" s="126" t="s">
        <v>1437</v>
      </c>
      <c r="AA516" s="126" t="s">
        <v>1437</v>
      </c>
      <c r="AB516" s="131"/>
      <c r="AC516" s="131"/>
      <c r="AD516" s="127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  <c r="AQ516" s="121">
        <f>COUNTA('All Details for ACID Pastor'!$Y516:$AB516)</f>
        <v>3</v>
      </c>
      <c r="AR516" s="121"/>
      <c r="AS516" s="121"/>
      <c r="AT516" s="121"/>
      <c r="AU516" s="121"/>
      <c r="AV516" s="121"/>
      <c r="AW516" s="163"/>
      <c r="AX516" s="163"/>
      <c r="AZ516" s="121" t="s">
        <v>49</v>
      </c>
      <c r="BA516" s="163"/>
      <c r="BB516" s="163"/>
      <c r="BC516" s="163"/>
      <c r="BF516" s="163">
        <f>COUNTA('All Details for ACID Pastor'!$T516:$AB516)</f>
        <v>3</v>
      </c>
    </row>
    <row r="517" spans="1:74" ht="70.150000000000006" customHeight="1">
      <c r="A517" s="107">
        <v>513</v>
      </c>
      <c r="B517" s="124" t="s">
        <v>3009</v>
      </c>
      <c r="C517" s="90" t="s">
        <v>3010</v>
      </c>
      <c r="D517" s="95" t="s">
        <v>53</v>
      </c>
      <c r="E517" s="95" t="s">
        <v>54</v>
      </c>
      <c r="F517" s="95"/>
      <c r="G517" s="95"/>
      <c r="H517" s="95"/>
      <c r="I517" s="95"/>
      <c r="J517" s="115" t="s">
        <v>1633</v>
      </c>
      <c r="K517" s="193" t="s">
        <v>3011</v>
      </c>
      <c r="L517" s="155" t="s">
        <v>4209</v>
      </c>
      <c r="M517" s="172"/>
      <c r="N517" s="93" t="s">
        <v>3012</v>
      </c>
      <c r="O517" s="92" t="s">
        <v>3013</v>
      </c>
      <c r="P517" s="88" t="s">
        <v>86</v>
      </c>
      <c r="Q517" s="88" t="s">
        <v>48</v>
      </c>
      <c r="R517" s="86">
        <v>962935039</v>
      </c>
      <c r="S517" s="88" t="s">
        <v>2937</v>
      </c>
      <c r="T517" s="94"/>
      <c r="U517" s="140"/>
      <c r="V517" s="140"/>
      <c r="W517" s="140"/>
      <c r="X517" s="140"/>
      <c r="Y517" s="141"/>
      <c r="Z517" s="127" t="s">
        <v>682</v>
      </c>
      <c r="AA517" s="127" t="s">
        <v>3014</v>
      </c>
      <c r="AB517" s="127" t="s">
        <v>165</v>
      </c>
      <c r="AC517" s="131" t="s">
        <v>4220</v>
      </c>
      <c r="AD517" s="127"/>
      <c r="AE517" s="244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  <c r="AQ517" s="121">
        <f>COUNTA('All Details for ACID Pastor'!$Y517:$AB517)</f>
        <v>3</v>
      </c>
      <c r="AR517" s="121"/>
      <c r="AS517" s="121"/>
      <c r="AT517" s="121"/>
      <c r="AU517" s="121"/>
      <c r="AV517" s="121"/>
      <c r="AW517" s="163"/>
      <c r="AX517" s="163"/>
      <c r="AZ517" s="121" t="s">
        <v>49</v>
      </c>
      <c r="BA517" s="163"/>
      <c r="BB517" s="163"/>
      <c r="BC517" s="163"/>
      <c r="BF517" s="163">
        <v>4</v>
      </c>
    </row>
    <row r="518" spans="1:74" s="174" customFormat="1" ht="70.150000000000006" customHeight="1">
      <c r="A518" s="103">
        <v>514</v>
      </c>
      <c r="B518" s="132" t="s">
        <v>3015</v>
      </c>
      <c r="C518" s="101" t="s">
        <v>3016</v>
      </c>
      <c r="D518" s="102" t="s">
        <v>53</v>
      </c>
      <c r="E518" s="102" t="s">
        <v>54</v>
      </c>
      <c r="F518" s="95"/>
      <c r="G518" s="95"/>
      <c r="H518" s="95"/>
      <c r="I518" s="95"/>
      <c r="J518" s="133" t="s">
        <v>1140</v>
      </c>
      <c r="K518" s="256" t="s">
        <v>3017</v>
      </c>
      <c r="L518" s="270" t="s">
        <v>4209</v>
      </c>
      <c r="M518" s="171" t="s">
        <v>3018</v>
      </c>
      <c r="N518" s="104" t="s">
        <v>3019</v>
      </c>
      <c r="O518" s="105" t="s">
        <v>3020</v>
      </c>
      <c r="P518" s="106" t="s">
        <v>1102</v>
      </c>
      <c r="Q518" s="106" t="s">
        <v>48</v>
      </c>
      <c r="R518" s="134">
        <v>9945224489</v>
      </c>
      <c r="S518" s="106" t="s">
        <v>2937</v>
      </c>
      <c r="T518" s="135"/>
      <c r="U518" s="176"/>
      <c r="V518" s="176"/>
      <c r="W518" s="176"/>
      <c r="X518" s="176"/>
      <c r="Y518" s="145"/>
      <c r="Z518" s="136"/>
      <c r="AA518" s="136"/>
      <c r="AB518" s="136"/>
      <c r="AC518" s="136"/>
      <c r="AD518" s="222"/>
      <c r="AE518" s="244"/>
      <c r="AF518" s="232"/>
      <c r="AG518" s="232"/>
      <c r="AH518" s="232"/>
      <c r="AI518" s="232"/>
      <c r="AJ518" s="232"/>
      <c r="AK518" s="232"/>
      <c r="AL518" s="232"/>
      <c r="AM518" s="232"/>
      <c r="AN518" s="232"/>
      <c r="AO518" s="232"/>
      <c r="AP518" s="232"/>
      <c r="AQ518" s="232">
        <f>COUNTA('All Details for ACID Pastor'!$Y518:$AB518)</f>
        <v>0</v>
      </c>
      <c r="AR518" s="232"/>
      <c r="AS518" s="232"/>
      <c r="AT518" s="232"/>
      <c r="AU518" s="232"/>
      <c r="AV518" s="232"/>
      <c r="AW518" s="233"/>
      <c r="AX518" s="233"/>
      <c r="AY518" s="244"/>
      <c r="AZ518" s="232" t="s">
        <v>139</v>
      </c>
      <c r="BA518" s="233"/>
      <c r="BB518" s="233"/>
      <c r="BC518" s="233"/>
      <c r="BD518" s="244"/>
      <c r="BE518" s="277"/>
      <c r="BF518" s="233">
        <f>COUNTA('All Details for ACID Pastor'!$T518:$AB518)</f>
        <v>0</v>
      </c>
      <c r="BG518" s="249"/>
      <c r="BH518" s="249"/>
      <c r="BI518" s="249"/>
      <c r="BJ518" s="249"/>
      <c r="BK518" s="249"/>
      <c r="BL518" s="249"/>
      <c r="BM518" s="249"/>
      <c r="BN518" s="249"/>
      <c r="BO518" s="249"/>
      <c r="BP518" s="249"/>
      <c r="BQ518" s="249"/>
      <c r="BR518" s="249"/>
      <c r="BS518" s="249"/>
      <c r="BT518" s="249"/>
      <c r="BU518" s="249"/>
      <c r="BV518" s="249"/>
    </row>
    <row r="519" spans="1:74" s="174" customFormat="1" ht="70.150000000000006" customHeight="1">
      <c r="A519" s="103">
        <v>515</v>
      </c>
      <c r="B519" s="132" t="s">
        <v>3021</v>
      </c>
      <c r="C519" s="101" t="s">
        <v>3022</v>
      </c>
      <c r="D519" s="102" t="s">
        <v>53</v>
      </c>
      <c r="E519" s="102" t="s">
        <v>160</v>
      </c>
      <c r="F519" s="95"/>
      <c r="G519" s="95"/>
      <c r="H519" s="95"/>
      <c r="I519" s="95"/>
      <c r="J519" s="133" t="s">
        <v>1140</v>
      </c>
      <c r="K519" s="256" t="s">
        <v>3023</v>
      </c>
      <c r="L519" s="232" t="s">
        <v>4201</v>
      </c>
      <c r="M519" s="171" t="s">
        <v>3018</v>
      </c>
      <c r="N519" s="104" t="s">
        <v>3019</v>
      </c>
      <c r="O519" s="105" t="s">
        <v>3020</v>
      </c>
      <c r="P519" s="106" t="s">
        <v>1102</v>
      </c>
      <c r="Q519" s="106" t="s">
        <v>48</v>
      </c>
      <c r="R519" s="134">
        <v>9945224489</v>
      </c>
      <c r="S519" s="106" t="s">
        <v>2937</v>
      </c>
      <c r="T519" s="135"/>
      <c r="U519" s="176"/>
      <c r="V519" s="176"/>
      <c r="W519" s="176"/>
      <c r="X519" s="176"/>
      <c r="Y519" s="145"/>
      <c r="Z519" s="136"/>
      <c r="AA519" s="136"/>
      <c r="AB519" s="136"/>
      <c r="AC519" s="136"/>
      <c r="AD519" s="222"/>
      <c r="AE519" s="240"/>
      <c r="AF519" s="232"/>
      <c r="AG519" s="232"/>
      <c r="AH519" s="232"/>
      <c r="AI519" s="232"/>
      <c r="AJ519" s="232"/>
      <c r="AK519" s="232"/>
      <c r="AL519" s="232"/>
      <c r="AM519" s="232"/>
      <c r="AN519" s="232"/>
      <c r="AO519" s="232"/>
      <c r="AP519" s="232"/>
      <c r="AQ519" s="232">
        <f>COUNTA('All Details for ACID Pastor'!$Y519:$AB519)</f>
        <v>0</v>
      </c>
      <c r="AR519" s="232"/>
      <c r="AS519" s="232"/>
      <c r="AT519" s="232"/>
      <c r="AU519" s="232"/>
      <c r="AV519" s="232"/>
      <c r="AW519" s="233"/>
      <c r="AX519" s="233"/>
      <c r="AY519" s="244"/>
      <c r="AZ519" s="232" t="s">
        <v>139</v>
      </c>
      <c r="BA519" s="233"/>
      <c r="BB519" s="233"/>
      <c r="BC519" s="233"/>
      <c r="BD519" s="244"/>
      <c r="BE519" s="277"/>
      <c r="BF519" s="233">
        <f>COUNTA('All Details for ACID Pastor'!$T519:$AB519)</f>
        <v>0</v>
      </c>
      <c r="BG519" s="249"/>
      <c r="BH519" s="249"/>
      <c r="BI519" s="249"/>
      <c r="BJ519" s="249"/>
      <c r="BK519" s="249"/>
      <c r="BL519" s="249"/>
      <c r="BM519" s="249"/>
      <c r="BN519" s="249"/>
      <c r="BO519" s="249"/>
      <c r="BP519" s="249"/>
      <c r="BQ519" s="249"/>
      <c r="BR519" s="249"/>
      <c r="BS519" s="249"/>
      <c r="BT519" s="249"/>
      <c r="BU519" s="249"/>
      <c r="BV519" s="249"/>
    </row>
    <row r="520" spans="1:74" ht="70.150000000000006" customHeight="1">
      <c r="A520" s="107">
        <v>516</v>
      </c>
      <c r="B520" s="124" t="s">
        <v>3024</v>
      </c>
      <c r="C520" s="90" t="s">
        <v>3025</v>
      </c>
      <c r="D520" s="95" t="s">
        <v>53</v>
      </c>
      <c r="E520" s="95" t="s">
        <v>54</v>
      </c>
      <c r="F520" s="95"/>
      <c r="G520" s="95"/>
      <c r="H520" s="95"/>
      <c r="I520" s="95"/>
      <c r="J520" s="115" t="s">
        <v>1426</v>
      </c>
      <c r="K520" s="193" t="s">
        <v>3026</v>
      </c>
      <c r="L520" s="155" t="s">
        <v>4209</v>
      </c>
      <c r="M520" s="172"/>
      <c r="N520" s="93" t="s">
        <v>3027</v>
      </c>
      <c r="O520" s="92" t="s">
        <v>3028</v>
      </c>
      <c r="P520" s="88" t="s">
        <v>233</v>
      </c>
      <c r="Q520" s="88" t="s">
        <v>48</v>
      </c>
      <c r="R520" s="86">
        <v>9865398004</v>
      </c>
      <c r="S520" s="88" t="s">
        <v>2937</v>
      </c>
      <c r="T520" s="94"/>
      <c r="U520" s="140"/>
      <c r="V520" s="140"/>
      <c r="W520" s="140"/>
      <c r="X520" s="140"/>
      <c r="Y520" s="126" t="s">
        <v>727</v>
      </c>
      <c r="Z520" s="131"/>
      <c r="AA520" s="131"/>
      <c r="AB520" s="131"/>
      <c r="AC520" s="131"/>
      <c r="AD520" s="127"/>
      <c r="AE520" s="244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  <c r="AQ520" s="121">
        <f>COUNTA('All Details for ACID Pastor'!$Y520:$AB520)</f>
        <v>1</v>
      </c>
      <c r="AR520" s="121"/>
      <c r="AS520" s="121"/>
      <c r="AT520" s="121"/>
      <c r="AU520" s="121"/>
      <c r="AV520" s="121"/>
      <c r="AW520" s="163"/>
      <c r="AX520" s="163"/>
      <c r="AZ520" s="121" t="s">
        <v>49</v>
      </c>
      <c r="BA520" s="163"/>
      <c r="BB520" s="163"/>
      <c r="BC520" s="163"/>
      <c r="BF520" s="163">
        <f>COUNTA('All Details for ACID Pastor'!$T520:$AB520)</f>
        <v>1</v>
      </c>
    </row>
    <row r="521" spans="1:74" s="174" customFormat="1" ht="70.150000000000006" customHeight="1">
      <c r="A521" s="103">
        <v>517</v>
      </c>
      <c r="B521" s="132" t="s">
        <v>3029</v>
      </c>
      <c r="C521" s="101" t="s">
        <v>3030</v>
      </c>
      <c r="D521" s="102" t="s">
        <v>53</v>
      </c>
      <c r="E521" s="102" t="s">
        <v>54</v>
      </c>
      <c r="F521" s="95"/>
      <c r="G521" s="95"/>
      <c r="H521" s="95"/>
      <c r="I521" s="95"/>
      <c r="J521" s="133" t="s">
        <v>2798</v>
      </c>
      <c r="K521" s="256" t="s">
        <v>3031</v>
      </c>
      <c r="L521" s="270" t="s">
        <v>4209</v>
      </c>
      <c r="M521" s="171"/>
      <c r="N521" s="104" t="s">
        <v>3032</v>
      </c>
      <c r="O521" s="105" t="s">
        <v>3033</v>
      </c>
      <c r="P521" s="106" t="s">
        <v>1479</v>
      </c>
      <c r="Q521" s="106" t="s">
        <v>517</v>
      </c>
      <c r="R521" s="134">
        <v>9497183802</v>
      </c>
      <c r="S521" s="106" t="s">
        <v>2937</v>
      </c>
      <c r="T521" s="135"/>
      <c r="U521" s="176"/>
      <c r="V521" s="176"/>
      <c r="W521" s="176"/>
      <c r="X521" s="176"/>
      <c r="Y521" s="145"/>
      <c r="Z521" s="136"/>
      <c r="AA521" s="136"/>
      <c r="AB521" s="136"/>
      <c r="AC521" s="136"/>
      <c r="AD521" s="222"/>
      <c r="AE521" s="240"/>
      <c r="AF521" s="232"/>
      <c r="AG521" s="232"/>
      <c r="AH521" s="232"/>
      <c r="AI521" s="232"/>
      <c r="AJ521" s="232"/>
      <c r="AK521" s="232"/>
      <c r="AL521" s="232"/>
      <c r="AM521" s="232"/>
      <c r="AN521" s="232"/>
      <c r="AO521" s="232"/>
      <c r="AP521" s="232"/>
      <c r="AQ521" s="232">
        <f>COUNTA('All Details for ACID Pastor'!$Y521:$AB521)</f>
        <v>0</v>
      </c>
      <c r="AR521" s="232"/>
      <c r="AS521" s="232"/>
      <c r="AT521" s="232"/>
      <c r="AU521" s="232"/>
      <c r="AV521" s="232"/>
      <c r="AW521" s="233"/>
      <c r="AX521" s="233"/>
      <c r="AY521" s="244"/>
      <c r="AZ521" s="232" t="s">
        <v>139</v>
      </c>
      <c r="BA521" s="233"/>
      <c r="BB521" s="233"/>
      <c r="BC521" s="233"/>
      <c r="BD521" s="244"/>
      <c r="BE521" s="277"/>
      <c r="BF521" s="233">
        <f>COUNTA('All Details for ACID Pastor'!$T521:$AB521)</f>
        <v>0</v>
      </c>
      <c r="BG521" s="249"/>
      <c r="BH521" s="249"/>
      <c r="BI521" s="249"/>
      <c r="BJ521" s="249"/>
      <c r="BK521" s="249"/>
      <c r="BL521" s="249"/>
      <c r="BM521" s="249"/>
      <c r="BN521" s="249"/>
      <c r="BO521" s="249"/>
      <c r="BP521" s="249"/>
      <c r="BQ521" s="249"/>
      <c r="BR521" s="249"/>
      <c r="BS521" s="249"/>
      <c r="BT521" s="249"/>
      <c r="BU521" s="249"/>
      <c r="BV521" s="249"/>
    </row>
    <row r="522" spans="1:74" ht="70.150000000000006" customHeight="1">
      <c r="A522" s="107">
        <v>518</v>
      </c>
      <c r="B522" s="124" t="s">
        <v>3034</v>
      </c>
      <c r="C522" s="90" t="s">
        <v>3035</v>
      </c>
      <c r="D522" s="95" t="s">
        <v>53</v>
      </c>
      <c r="E522" s="95" t="s">
        <v>54</v>
      </c>
      <c r="F522" s="95"/>
      <c r="G522" s="95"/>
      <c r="H522" s="95"/>
      <c r="I522" s="95"/>
      <c r="J522" s="115" t="s">
        <v>922</v>
      </c>
      <c r="K522" s="193" t="s">
        <v>3036</v>
      </c>
      <c r="L522" s="155" t="s">
        <v>4209</v>
      </c>
      <c r="M522" s="172"/>
      <c r="N522" s="93" t="s">
        <v>3037</v>
      </c>
      <c r="O522" s="92" t="s">
        <v>3038</v>
      </c>
      <c r="P522" s="88" t="s">
        <v>626</v>
      </c>
      <c r="Q522" s="88" t="s">
        <v>626</v>
      </c>
      <c r="R522" s="86">
        <v>9994549175</v>
      </c>
      <c r="S522" s="88" t="s">
        <v>2937</v>
      </c>
      <c r="T522" s="94"/>
      <c r="U522" s="140"/>
      <c r="V522" s="140"/>
      <c r="W522" s="140"/>
      <c r="X522" s="140"/>
      <c r="Y522" s="126" t="s">
        <v>79</v>
      </c>
      <c r="Z522" s="131"/>
      <c r="AA522" s="131"/>
      <c r="AB522" s="131"/>
      <c r="AC522" s="131"/>
      <c r="AD522" s="127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  <c r="AQ522" s="121">
        <f>COUNTA('All Details for ACID Pastor'!$Y522:$AB522)</f>
        <v>1</v>
      </c>
      <c r="AR522" s="121"/>
      <c r="AS522" s="121"/>
      <c r="AT522" s="121"/>
      <c r="AU522" s="121"/>
      <c r="AV522" s="121"/>
      <c r="AW522" s="163"/>
      <c r="AX522" s="163"/>
      <c r="AZ522" s="121" t="s">
        <v>49</v>
      </c>
      <c r="BA522" s="163"/>
      <c r="BB522" s="163"/>
      <c r="BC522" s="163"/>
      <c r="BF522" s="163">
        <f>COUNTA('All Details for ACID Pastor'!$T522:$AB522)</f>
        <v>1</v>
      </c>
    </row>
    <row r="523" spans="1:74" ht="70.150000000000006" customHeight="1">
      <c r="A523" s="107">
        <v>519</v>
      </c>
      <c r="B523" s="124" t="s">
        <v>3039</v>
      </c>
      <c r="C523" s="90" t="s">
        <v>3040</v>
      </c>
      <c r="D523" s="95" t="s">
        <v>53</v>
      </c>
      <c r="E523" s="95" t="s">
        <v>68</v>
      </c>
      <c r="F523" s="95"/>
      <c r="G523" s="95"/>
      <c r="H523" s="95"/>
      <c r="I523" s="95"/>
      <c r="J523" s="115" t="s">
        <v>3041</v>
      </c>
      <c r="K523" s="193" t="s">
        <v>3042</v>
      </c>
      <c r="L523" s="121"/>
      <c r="M523" s="172"/>
      <c r="N523" s="93" t="s">
        <v>3043</v>
      </c>
      <c r="O523" s="92" t="s">
        <v>3044</v>
      </c>
      <c r="P523" s="88" t="s">
        <v>47</v>
      </c>
      <c r="Q523" s="88" t="s">
        <v>48</v>
      </c>
      <c r="R523" s="86">
        <v>8667229237</v>
      </c>
      <c r="S523" s="88" t="s">
        <v>2937</v>
      </c>
      <c r="T523" s="94"/>
      <c r="U523" s="140"/>
      <c r="V523" s="140"/>
      <c r="W523" s="140"/>
      <c r="X523" s="140"/>
      <c r="Y523" s="126" t="s">
        <v>110</v>
      </c>
      <c r="Z523" s="131"/>
      <c r="AA523" s="131"/>
      <c r="AB523" s="127" t="s">
        <v>165</v>
      </c>
      <c r="AC523" s="131"/>
      <c r="AD523" s="127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  <c r="AQ523" s="121">
        <f>COUNTA('All Details for ACID Pastor'!$Y523:$AB523)</f>
        <v>2</v>
      </c>
      <c r="AR523" s="121"/>
      <c r="AS523" s="121"/>
      <c r="AT523" s="121"/>
      <c r="AU523" s="121"/>
      <c r="AV523" s="121"/>
      <c r="AW523" s="163"/>
      <c r="AX523" s="163"/>
      <c r="AZ523" s="121" t="s">
        <v>49</v>
      </c>
      <c r="BA523" s="163"/>
      <c r="BB523" s="163"/>
      <c r="BC523" s="163"/>
      <c r="BF523" s="163">
        <f>COUNTA('All Details for ACID Pastor'!$T523:$AB523)</f>
        <v>2</v>
      </c>
    </row>
    <row r="524" spans="1:74" ht="70.150000000000006" customHeight="1">
      <c r="A524" s="107">
        <v>520</v>
      </c>
      <c r="B524" s="124" t="s">
        <v>3045</v>
      </c>
      <c r="C524" s="90" t="s">
        <v>3046</v>
      </c>
      <c r="D524" s="95" t="s">
        <v>53</v>
      </c>
      <c r="E524" s="95" t="s">
        <v>68</v>
      </c>
      <c r="F524" s="95"/>
      <c r="G524" s="95"/>
      <c r="H524" s="95"/>
      <c r="I524" s="95"/>
      <c r="J524" s="115" t="s">
        <v>3041</v>
      </c>
      <c r="K524" s="193" t="s">
        <v>3047</v>
      </c>
      <c r="L524" s="155" t="s">
        <v>4209</v>
      </c>
      <c r="M524" s="172"/>
      <c r="N524" s="93" t="s">
        <v>3043</v>
      </c>
      <c r="O524" s="92" t="s">
        <v>3044</v>
      </c>
      <c r="P524" s="88" t="s">
        <v>47</v>
      </c>
      <c r="Q524" s="88" t="s">
        <v>48</v>
      </c>
      <c r="R524" s="86">
        <v>6380293690</v>
      </c>
      <c r="S524" s="88" t="s">
        <v>2937</v>
      </c>
      <c r="T524" s="94"/>
      <c r="U524" s="140"/>
      <c r="V524" s="140"/>
      <c r="W524" s="140"/>
      <c r="X524" s="140"/>
      <c r="Y524" s="126" t="s">
        <v>110</v>
      </c>
      <c r="Z524" s="131"/>
      <c r="AA524" s="131"/>
      <c r="AB524" s="127" t="s">
        <v>165</v>
      </c>
      <c r="AC524" s="131"/>
      <c r="AD524" s="127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  <c r="AQ524" s="121">
        <f>COUNTA('All Details for ACID Pastor'!$Y524:$AB524)</f>
        <v>2</v>
      </c>
      <c r="AR524" s="121"/>
      <c r="AS524" s="121"/>
      <c r="AT524" s="121"/>
      <c r="AU524" s="121"/>
      <c r="AV524" s="121"/>
      <c r="AW524" s="163"/>
      <c r="AX524" s="163"/>
      <c r="AZ524" s="121" t="s">
        <v>49</v>
      </c>
      <c r="BA524" s="163"/>
      <c r="BB524" s="163"/>
      <c r="BC524" s="163"/>
      <c r="BF524" s="163">
        <f>COUNTA('All Details for ACID Pastor'!$T524:$AB524)</f>
        <v>2</v>
      </c>
    </row>
    <row r="525" spans="1:74" ht="70.150000000000006" customHeight="1">
      <c r="A525" s="107">
        <v>521</v>
      </c>
      <c r="B525" s="124" t="s">
        <v>3048</v>
      </c>
      <c r="C525" s="90" t="s">
        <v>3049</v>
      </c>
      <c r="D525" s="95" t="s">
        <v>53</v>
      </c>
      <c r="E525" s="95" t="s">
        <v>54</v>
      </c>
      <c r="F525" s="95"/>
      <c r="G525" s="95"/>
      <c r="H525" s="95"/>
      <c r="I525" s="95"/>
      <c r="J525" s="115" t="s">
        <v>3050</v>
      </c>
      <c r="K525" s="193" t="s">
        <v>3051</v>
      </c>
      <c r="L525" s="155" t="s">
        <v>4209</v>
      </c>
      <c r="M525" s="172" t="s">
        <v>3052</v>
      </c>
      <c r="N525" s="93" t="s">
        <v>3053</v>
      </c>
      <c r="O525" s="92" t="s">
        <v>2970</v>
      </c>
      <c r="P525" s="88" t="s">
        <v>2971</v>
      </c>
      <c r="Q525" s="88" t="s">
        <v>48</v>
      </c>
      <c r="R525" s="86">
        <v>9841367210</v>
      </c>
      <c r="S525" s="88" t="s">
        <v>3054</v>
      </c>
      <c r="T525" s="94"/>
      <c r="U525" s="140"/>
      <c r="V525" s="140"/>
      <c r="W525" s="140"/>
      <c r="X525" s="140"/>
      <c r="Y525" s="126" t="s">
        <v>79</v>
      </c>
      <c r="Z525" s="131"/>
      <c r="AA525" s="131"/>
      <c r="AB525" s="131"/>
      <c r="AC525" s="131"/>
      <c r="AD525" s="127"/>
      <c r="AE525" s="244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  <c r="AQ525" s="121"/>
      <c r="AR525" s="121">
        <f>COUNTA('All Details for ACID Pastor'!$Y525:$AB525)</f>
        <v>1</v>
      </c>
      <c r="AS525" s="121"/>
      <c r="AT525" s="121"/>
      <c r="AU525" s="121"/>
      <c r="AV525" s="121"/>
      <c r="AW525" s="163"/>
      <c r="AX525" s="163"/>
      <c r="AZ525" s="121" t="s">
        <v>49</v>
      </c>
      <c r="BA525" s="163"/>
      <c r="BB525" s="163"/>
      <c r="BC525" s="163"/>
      <c r="BF525" s="163">
        <f>COUNTA('All Details for ACID Pastor'!$T525:$AB525)</f>
        <v>1</v>
      </c>
    </row>
    <row r="526" spans="1:74" s="174" customFormat="1" ht="70.150000000000006" customHeight="1">
      <c r="A526" s="103">
        <v>522</v>
      </c>
      <c r="B526" s="132" t="s">
        <v>3055</v>
      </c>
      <c r="C526" s="101" t="s">
        <v>3056</v>
      </c>
      <c r="D526" s="102" t="s">
        <v>53</v>
      </c>
      <c r="E526" s="102" t="s">
        <v>54</v>
      </c>
      <c r="F526" s="95"/>
      <c r="G526" s="95"/>
      <c r="H526" s="95"/>
      <c r="I526" s="95"/>
      <c r="J526" s="133" t="s">
        <v>848</v>
      </c>
      <c r="K526" s="256" t="s">
        <v>3057</v>
      </c>
      <c r="L526" s="232" t="s">
        <v>4201</v>
      </c>
      <c r="M526" s="171"/>
      <c r="N526" s="104" t="s">
        <v>3058</v>
      </c>
      <c r="O526" s="105" t="s">
        <v>2766</v>
      </c>
      <c r="P526" s="106" t="s">
        <v>1102</v>
      </c>
      <c r="Q526" s="106" t="s">
        <v>48</v>
      </c>
      <c r="R526" s="134">
        <v>8122464614</v>
      </c>
      <c r="S526" s="106" t="s">
        <v>3054</v>
      </c>
      <c r="T526" s="135"/>
      <c r="U526" s="176"/>
      <c r="V526" s="176"/>
      <c r="W526" s="176"/>
      <c r="X526" s="176"/>
      <c r="Y526" s="145"/>
      <c r="Z526" s="136"/>
      <c r="AA526" s="136"/>
      <c r="AB526" s="136"/>
      <c r="AC526" s="136"/>
      <c r="AD526" s="222"/>
      <c r="AE526" s="240"/>
      <c r="AF526" s="232"/>
      <c r="AG526" s="232"/>
      <c r="AH526" s="232"/>
      <c r="AI526" s="232"/>
      <c r="AJ526" s="232"/>
      <c r="AK526" s="232"/>
      <c r="AL526" s="232"/>
      <c r="AM526" s="232"/>
      <c r="AN526" s="232"/>
      <c r="AO526" s="232"/>
      <c r="AP526" s="232"/>
      <c r="AQ526" s="232"/>
      <c r="AR526" s="232">
        <f>COUNTA('All Details for ACID Pastor'!$Y526:$AB526)</f>
        <v>0</v>
      </c>
      <c r="AS526" s="232"/>
      <c r="AT526" s="232"/>
      <c r="AU526" s="232"/>
      <c r="AV526" s="232"/>
      <c r="AW526" s="233"/>
      <c r="AX526" s="233"/>
      <c r="AY526" s="244"/>
      <c r="AZ526" s="232" t="s">
        <v>139</v>
      </c>
      <c r="BA526" s="233"/>
      <c r="BB526" s="233"/>
      <c r="BC526" s="233"/>
      <c r="BD526" s="244"/>
      <c r="BE526" s="277"/>
      <c r="BF526" s="233">
        <f>COUNTA('All Details for ACID Pastor'!$T526:$AB526)</f>
        <v>0</v>
      </c>
      <c r="BG526" s="249"/>
      <c r="BH526" s="249"/>
      <c r="BI526" s="249"/>
      <c r="BJ526" s="249"/>
      <c r="BK526" s="249"/>
      <c r="BL526" s="249"/>
      <c r="BM526" s="249"/>
      <c r="BN526" s="249"/>
      <c r="BO526" s="249"/>
      <c r="BP526" s="249"/>
      <c r="BQ526" s="249"/>
      <c r="BR526" s="249"/>
      <c r="BS526" s="249"/>
      <c r="BT526" s="249"/>
      <c r="BU526" s="249"/>
      <c r="BV526" s="249"/>
    </row>
    <row r="527" spans="1:74" ht="70.150000000000006" customHeight="1">
      <c r="A527" s="107">
        <v>523</v>
      </c>
      <c r="B527" s="124" t="s">
        <v>3059</v>
      </c>
      <c r="C527" s="90" t="s">
        <v>3060</v>
      </c>
      <c r="D527" s="95" t="s">
        <v>53</v>
      </c>
      <c r="E527" s="95" t="s">
        <v>54</v>
      </c>
      <c r="F527" s="95"/>
      <c r="G527" s="95"/>
      <c r="H527" s="95"/>
      <c r="I527" s="95"/>
      <c r="J527" s="115" t="s">
        <v>922</v>
      </c>
      <c r="K527" s="193" t="s">
        <v>3061</v>
      </c>
      <c r="L527" s="155" t="s">
        <v>4209</v>
      </c>
      <c r="M527" s="172"/>
      <c r="N527" s="93" t="s">
        <v>3062</v>
      </c>
      <c r="O527" s="92" t="s">
        <v>3063</v>
      </c>
      <c r="P527" s="88" t="s">
        <v>86</v>
      </c>
      <c r="Q527" s="88" t="s">
        <v>48</v>
      </c>
      <c r="R527" s="86">
        <v>9489391298</v>
      </c>
      <c r="S527" s="88" t="s">
        <v>3054</v>
      </c>
      <c r="T527" s="94"/>
      <c r="U527" s="140"/>
      <c r="V527" s="140"/>
      <c r="W527" s="140"/>
      <c r="X527" s="140"/>
      <c r="Y527" s="126" t="s">
        <v>79</v>
      </c>
      <c r="Z527" s="126" t="s">
        <v>1437</v>
      </c>
      <c r="AA527" s="126" t="s">
        <v>1437</v>
      </c>
      <c r="AB527" s="131"/>
      <c r="AC527" s="131"/>
      <c r="AD527" s="127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  <c r="AQ527" s="121"/>
      <c r="AR527" s="121">
        <f>COUNTA('All Details for ACID Pastor'!$Y527:$AB527)</f>
        <v>3</v>
      </c>
      <c r="AS527" s="121"/>
      <c r="AT527" s="121"/>
      <c r="AU527" s="121"/>
      <c r="AV527" s="121"/>
      <c r="AW527" s="163"/>
      <c r="AX527" s="163"/>
      <c r="AZ527" s="121" t="s">
        <v>49</v>
      </c>
      <c r="BA527" s="163"/>
      <c r="BB527" s="163"/>
      <c r="BC527" s="163"/>
      <c r="BF527" s="163">
        <f>COUNTA('All Details for ACID Pastor'!$T527:$AB527)</f>
        <v>3</v>
      </c>
    </row>
    <row r="528" spans="1:74" ht="70.150000000000006" customHeight="1">
      <c r="A528" s="107">
        <v>524</v>
      </c>
      <c r="B528" s="124" t="s">
        <v>3064</v>
      </c>
      <c r="C528" s="90" t="s">
        <v>3065</v>
      </c>
      <c r="D528" s="95" t="s">
        <v>53</v>
      </c>
      <c r="E528" s="95" t="s">
        <v>54</v>
      </c>
      <c r="F528" s="95"/>
      <c r="G528" s="95"/>
      <c r="H528" s="95"/>
      <c r="I528" s="95"/>
      <c r="J528" s="115" t="s">
        <v>1633</v>
      </c>
      <c r="K528" s="193" t="s">
        <v>3066</v>
      </c>
      <c r="L528" s="121"/>
      <c r="M528" s="172"/>
      <c r="N528" s="93" t="s">
        <v>3067</v>
      </c>
      <c r="O528" s="92" t="s">
        <v>3068</v>
      </c>
      <c r="P528" s="88" t="s">
        <v>94</v>
      </c>
      <c r="Q528" s="88" t="s">
        <v>48</v>
      </c>
      <c r="R528" s="86">
        <v>8807073307</v>
      </c>
      <c r="S528" s="88" t="s">
        <v>3054</v>
      </c>
      <c r="T528" s="94"/>
      <c r="U528" s="140"/>
      <c r="V528" s="140"/>
      <c r="W528" s="140"/>
      <c r="X528" s="140"/>
      <c r="Y528" s="141"/>
      <c r="Z528" s="131"/>
      <c r="AA528" s="131"/>
      <c r="AB528" s="131"/>
      <c r="AC528" s="131"/>
      <c r="AD528" s="127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  <c r="AQ528" s="121"/>
      <c r="AR528" s="121">
        <f>COUNTA('All Details for ACID Pastor'!$Y528:$AB528)</f>
        <v>0</v>
      </c>
      <c r="AS528" s="121"/>
      <c r="AT528" s="121"/>
      <c r="AU528" s="121"/>
      <c r="AV528" s="121"/>
      <c r="AW528" s="163"/>
      <c r="AX528" s="163"/>
      <c r="AZ528" s="121" t="s">
        <v>139</v>
      </c>
      <c r="BA528" s="163"/>
      <c r="BB528" s="163"/>
      <c r="BC528" s="163"/>
      <c r="BF528" s="163">
        <f>COUNTA('All Details for ACID Pastor'!$T528:$AB528)</f>
        <v>0</v>
      </c>
    </row>
    <row r="529" spans="1:58" ht="70.150000000000006" customHeight="1">
      <c r="A529" s="107">
        <v>525</v>
      </c>
      <c r="B529" s="124" t="s">
        <v>3069</v>
      </c>
      <c r="C529" s="90" t="s">
        <v>3070</v>
      </c>
      <c r="D529" s="95" t="s">
        <v>53</v>
      </c>
      <c r="E529" s="95" t="s">
        <v>54</v>
      </c>
      <c r="F529" s="95"/>
      <c r="G529" s="95"/>
      <c r="H529" s="95"/>
      <c r="I529" s="95"/>
      <c r="J529" s="115" t="s">
        <v>1633</v>
      </c>
      <c r="K529" s="193" t="s">
        <v>3071</v>
      </c>
      <c r="L529" s="155" t="s">
        <v>4209</v>
      </c>
      <c r="M529" s="172"/>
      <c r="N529" s="93" t="s">
        <v>3067</v>
      </c>
      <c r="O529" s="92" t="s">
        <v>3068</v>
      </c>
      <c r="P529" s="88" t="s">
        <v>94</v>
      </c>
      <c r="Q529" s="88" t="s">
        <v>48</v>
      </c>
      <c r="R529" s="86">
        <v>8807073407</v>
      </c>
      <c r="S529" s="88" t="s">
        <v>3054</v>
      </c>
      <c r="T529" s="94"/>
      <c r="U529" s="140"/>
      <c r="V529" s="140"/>
      <c r="W529" s="140"/>
      <c r="X529" s="140"/>
      <c r="Y529" s="141"/>
      <c r="Z529" s="131"/>
      <c r="AA529" s="131"/>
      <c r="AB529" s="131"/>
      <c r="AC529" s="131"/>
      <c r="AD529" s="127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  <c r="AQ529" s="121"/>
      <c r="AR529" s="121">
        <f>COUNTA('All Details for ACID Pastor'!$Y529:$AB529)</f>
        <v>0</v>
      </c>
      <c r="AS529" s="121"/>
      <c r="AT529" s="121"/>
      <c r="AU529" s="121"/>
      <c r="AV529" s="121"/>
      <c r="AW529" s="163"/>
      <c r="AX529" s="163"/>
      <c r="AZ529" s="121" t="s">
        <v>139</v>
      </c>
      <c r="BA529" s="163"/>
      <c r="BB529" s="163"/>
      <c r="BC529" s="163"/>
      <c r="BF529" s="163">
        <f>COUNTA('All Details for ACID Pastor'!$T529:$AB529)</f>
        <v>0</v>
      </c>
    </row>
    <row r="530" spans="1:58" ht="70.150000000000006" customHeight="1">
      <c r="A530" s="107">
        <v>526</v>
      </c>
      <c r="B530" s="124" t="s">
        <v>3072</v>
      </c>
      <c r="C530" s="90" t="s">
        <v>3073</v>
      </c>
      <c r="D530" s="95" t="s">
        <v>53</v>
      </c>
      <c r="E530" s="95" t="s">
        <v>54</v>
      </c>
      <c r="F530" s="95"/>
      <c r="G530" s="95"/>
      <c r="H530" s="95"/>
      <c r="I530" s="95"/>
      <c r="J530" s="115" t="s">
        <v>3074</v>
      </c>
      <c r="K530" s="193" t="s">
        <v>3075</v>
      </c>
      <c r="L530" s="155" t="s">
        <v>4209</v>
      </c>
      <c r="M530" s="172" t="s">
        <v>3076</v>
      </c>
      <c r="N530" s="93" t="s">
        <v>3077</v>
      </c>
      <c r="O530" s="92" t="s">
        <v>3078</v>
      </c>
      <c r="P530" s="88" t="s">
        <v>1002</v>
      </c>
      <c r="Q530" s="88" t="s">
        <v>48</v>
      </c>
      <c r="R530" s="86">
        <v>9043280553</v>
      </c>
      <c r="S530" s="88" t="s">
        <v>3054</v>
      </c>
      <c r="T530" s="94"/>
      <c r="U530" s="140"/>
      <c r="V530" s="140"/>
      <c r="W530" s="140"/>
      <c r="X530" s="140"/>
      <c r="Y530" s="126" t="s">
        <v>79</v>
      </c>
      <c r="Z530" s="127" t="s">
        <v>99</v>
      </c>
      <c r="AA530" s="131"/>
      <c r="AB530" s="131"/>
      <c r="AC530" s="131" t="s">
        <v>4220</v>
      </c>
      <c r="AD530" s="127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  <c r="AQ530" s="121"/>
      <c r="AR530" s="121">
        <f>COUNTA('All Details for ACID Pastor'!$Y530:$AB530)</f>
        <v>2</v>
      </c>
      <c r="AS530" s="121"/>
      <c r="AT530" s="121"/>
      <c r="AU530" s="121"/>
      <c r="AV530" s="121"/>
      <c r="AW530" s="163"/>
      <c r="AX530" s="163"/>
      <c r="AZ530" s="121" t="s">
        <v>49</v>
      </c>
      <c r="BA530" s="163"/>
      <c r="BB530" s="163"/>
      <c r="BC530" s="163">
        <v>1</v>
      </c>
      <c r="BF530" s="163">
        <v>3</v>
      </c>
    </row>
    <row r="531" spans="1:58" ht="70.150000000000006" customHeight="1">
      <c r="A531" s="107">
        <v>527</v>
      </c>
      <c r="B531" s="124" t="s">
        <v>3079</v>
      </c>
      <c r="C531" s="90" t="s">
        <v>3080</v>
      </c>
      <c r="D531" s="95" t="s">
        <v>53</v>
      </c>
      <c r="E531" s="95" t="s">
        <v>160</v>
      </c>
      <c r="F531" s="95"/>
      <c r="G531" s="95"/>
      <c r="H531" s="95"/>
      <c r="I531" s="95"/>
      <c r="J531" s="115" t="s">
        <v>3074</v>
      </c>
      <c r="K531" s="193" t="s">
        <v>3081</v>
      </c>
      <c r="L531" s="155" t="s">
        <v>4209</v>
      </c>
      <c r="M531" s="172"/>
      <c r="N531" s="93" t="s">
        <v>3082</v>
      </c>
      <c r="O531" s="92" t="s">
        <v>3083</v>
      </c>
      <c r="P531" s="88" t="s">
        <v>1002</v>
      </c>
      <c r="Q531" s="88" t="s">
        <v>48</v>
      </c>
      <c r="R531" s="86">
        <v>8122314638</v>
      </c>
      <c r="S531" s="88" t="s">
        <v>3054</v>
      </c>
      <c r="T531" s="94"/>
      <c r="U531" s="140"/>
      <c r="V531" s="140"/>
      <c r="W531" s="140"/>
      <c r="X531" s="140"/>
      <c r="Y531" s="126" t="s">
        <v>79</v>
      </c>
      <c r="Z531" s="131"/>
      <c r="AA531" s="131" t="s">
        <v>4220</v>
      </c>
      <c r="AB531" s="131" t="s">
        <v>4220</v>
      </c>
      <c r="AC531" s="131" t="s">
        <v>4220</v>
      </c>
      <c r="AD531" s="127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  <c r="AQ531" s="121"/>
      <c r="AR531" s="121">
        <f>COUNTA('All Details for ACID Pastor'!$Y531:$AB531)</f>
        <v>3</v>
      </c>
      <c r="AS531" s="121"/>
      <c r="AT531" s="121"/>
      <c r="AU531" s="121"/>
      <c r="AV531" s="121"/>
      <c r="AW531" s="163"/>
      <c r="AX531" s="163"/>
      <c r="AZ531" s="121" t="s">
        <v>49</v>
      </c>
      <c r="BA531" s="163"/>
      <c r="BB531" s="163"/>
      <c r="BC531" s="163">
        <v>3</v>
      </c>
      <c r="BF531" s="163">
        <v>6</v>
      </c>
    </row>
    <row r="532" spans="1:58" ht="70.150000000000006" customHeight="1">
      <c r="A532" s="107">
        <v>528</v>
      </c>
      <c r="B532" s="124" t="s">
        <v>3084</v>
      </c>
      <c r="C532" s="90" t="s">
        <v>3085</v>
      </c>
      <c r="D532" s="95" t="s">
        <v>53</v>
      </c>
      <c r="E532" s="95" t="s">
        <v>160</v>
      </c>
      <c r="F532" s="95"/>
      <c r="G532" s="95"/>
      <c r="H532" s="95"/>
      <c r="I532" s="95"/>
      <c r="J532" s="115" t="s">
        <v>3074</v>
      </c>
      <c r="K532" s="193" t="s">
        <v>3086</v>
      </c>
      <c r="L532" s="155" t="s">
        <v>4209</v>
      </c>
      <c r="M532" s="172"/>
      <c r="N532" s="93" t="s">
        <v>3087</v>
      </c>
      <c r="O532" s="92" t="s">
        <v>3088</v>
      </c>
      <c r="P532" s="88" t="s">
        <v>1002</v>
      </c>
      <c r="Q532" s="88" t="s">
        <v>48</v>
      </c>
      <c r="R532" s="86">
        <v>9043270878</v>
      </c>
      <c r="S532" s="88" t="s">
        <v>3054</v>
      </c>
      <c r="T532" s="94"/>
      <c r="U532" s="140"/>
      <c r="V532" s="140"/>
      <c r="W532" s="140"/>
      <c r="X532" s="140"/>
      <c r="Y532" s="126" t="s">
        <v>79</v>
      </c>
      <c r="Z532" s="131"/>
      <c r="AA532" s="127" t="s">
        <v>1005</v>
      </c>
      <c r="AB532" s="127" t="s">
        <v>1005</v>
      </c>
      <c r="AC532" s="127" t="s">
        <v>1005</v>
      </c>
      <c r="AD532" s="127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>
        <v>1</v>
      </c>
      <c r="AS532" s="121"/>
      <c r="AT532" s="121"/>
      <c r="AU532" s="121"/>
      <c r="AV532" s="121"/>
      <c r="AW532" s="163"/>
      <c r="AX532" s="163"/>
      <c r="AZ532" s="121" t="s">
        <v>49</v>
      </c>
      <c r="BA532" s="163"/>
      <c r="BB532" s="163"/>
      <c r="BC532" s="163"/>
      <c r="BF532" s="163">
        <v>4</v>
      </c>
    </row>
    <row r="533" spans="1:58" ht="70.150000000000006" customHeight="1">
      <c r="A533" s="107">
        <v>529</v>
      </c>
      <c r="B533" s="124" t="s">
        <v>3089</v>
      </c>
      <c r="C533" s="90" t="s">
        <v>3090</v>
      </c>
      <c r="D533" s="95" t="s">
        <v>53</v>
      </c>
      <c r="E533" s="95" t="s">
        <v>160</v>
      </c>
      <c r="F533" s="95"/>
      <c r="G533" s="95"/>
      <c r="H533" s="95"/>
      <c r="I533" s="95"/>
      <c r="J533" s="115" t="s">
        <v>3074</v>
      </c>
      <c r="K533" s="193" t="s">
        <v>3091</v>
      </c>
      <c r="L533" s="155" t="s">
        <v>4209</v>
      </c>
      <c r="M533" s="172"/>
      <c r="N533" s="93" t="s">
        <v>3092</v>
      </c>
      <c r="O533" s="92" t="s">
        <v>3093</v>
      </c>
      <c r="P533" s="88" t="s">
        <v>1002</v>
      </c>
      <c r="Q533" s="88" t="s">
        <v>48</v>
      </c>
      <c r="R533" s="86">
        <v>7845193130</v>
      </c>
      <c r="S533" s="88" t="s">
        <v>3054</v>
      </c>
      <c r="T533" s="94"/>
      <c r="U533" s="140"/>
      <c r="V533" s="140"/>
      <c r="W533" s="140"/>
      <c r="X533" s="140"/>
      <c r="Y533" s="126" t="s">
        <v>79</v>
      </c>
      <c r="Z533" s="131"/>
      <c r="AA533" s="127" t="s">
        <v>165</v>
      </c>
      <c r="AB533" s="127" t="s">
        <v>165</v>
      </c>
      <c r="AC533" s="127" t="s">
        <v>1005</v>
      </c>
      <c r="AD533" s="127" t="s">
        <v>1005</v>
      </c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  <c r="AQ533" s="121"/>
      <c r="AR533" s="121">
        <f>COUNTA('All Details for ACID Pastor'!$Y533:$AB533)</f>
        <v>3</v>
      </c>
      <c r="AS533" s="121"/>
      <c r="AT533" s="121"/>
      <c r="AU533" s="121"/>
      <c r="AV533" s="121"/>
      <c r="AW533" s="163"/>
      <c r="AX533" s="163"/>
      <c r="AZ533" s="121" t="s">
        <v>49</v>
      </c>
      <c r="BA533" s="163"/>
      <c r="BB533" s="163"/>
      <c r="BC533" s="163"/>
      <c r="BF533" s="163">
        <v>5</v>
      </c>
    </row>
    <row r="534" spans="1:58" ht="70.150000000000006" customHeight="1">
      <c r="A534" s="107">
        <v>530</v>
      </c>
      <c r="B534" s="124" t="s">
        <v>3094</v>
      </c>
      <c r="C534" s="90" t="s">
        <v>3095</v>
      </c>
      <c r="D534" s="95" t="s">
        <v>53</v>
      </c>
      <c r="E534" s="95" t="s">
        <v>160</v>
      </c>
      <c r="F534" s="95"/>
      <c r="G534" s="95"/>
      <c r="H534" s="95"/>
      <c r="I534" s="95"/>
      <c r="J534" s="115" t="s">
        <v>3074</v>
      </c>
      <c r="K534" s="193" t="s">
        <v>229</v>
      </c>
      <c r="L534" s="155" t="s">
        <v>4209</v>
      </c>
      <c r="M534" s="172"/>
      <c r="N534" s="93" t="s">
        <v>3096</v>
      </c>
      <c r="O534" s="92" t="s">
        <v>3083</v>
      </c>
      <c r="P534" s="88" t="s">
        <v>1002</v>
      </c>
      <c r="Q534" s="88" t="s">
        <v>48</v>
      </c>
      <c r="R534" s="86">
        <v>9597599280</v>
      </c>
      <c r="S534" s="88" t="s">
        <v>3054</v>
      </c>
      <c r="T534" s="94"/>
      <c r="U534" s="140"/>
      <c r="V534" s="140"/>
      <c r="W534" s="140"/>
      <c r="X534" s="140"/>
      <c r="Y534" s="126" t="s">
        <v>79</v>
      </c>
      <c r="Z534" s="131"/>
      <c r="AA534" s="127" t="s">
        <v>165</v>
      </c>
      <c r="AB534" s="127" t="s">
        <v>165</v>
      </c>
      <c r="AC534" s="127" t="s">
        <v>1005</v>
      </c>
      <c r="AD534" s="127" t="s">
        <v>1005</v>
      </c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  <c r="AQ534" s="121"/>
      <c r="AR534" s="121">
        <f>COUNTA('All Details for ACID Pastor'!$Y534:$AB534)</f>
        <v>3</v>
      </c>
      <c r="AS534" s="121"/>
      <c r="AT534" s="121"/>
      <c r="AU534" s="121"/>
      <c r="AV534" s="121"/>
      <c r="AW534" s="163"/>
      <c r="AX534" s="163"/>
      <c r="AZ534" s="121" t="s">
        <v>49</v>
      </c>
      <c r="BA534" s="163"/>
      <c r="BB534" s="163"/>
      <c r="BC534" s="163"/>
      <c r="BF534" s="163">
        <v>5</v>
      </c>
    </row>
    <row r="535" spans="1:58" ht="70.150000000000006" customHeight="1">
      <c r="A535" s="107">
        <v>531</v>
      </c>
      <c r="B535" s="124" t="s">
        <v>3097</v>
      </c>
      <c r="C535" s="90" t="s">
        <v>3098</v>
      </c>
      <c r="D535" s="95" t="s">
        <v>53</v>
      </c>
      <c r="E535" s="95" t="s">
        <v>160</v>
      </c>
      <c r="F535" s="95"/>
      <c r="G535" s="95"/>
      <c r="H535" s="95"/>
      <c r="I535" s="95"/>
      <c r="J535" s="115" t="s">
        <v>3074</v>
      </c>
      <c r="K535" s="193" t="s">
        <v>3099</v>
      </c>
      <c r="L535" s="155" t="s">
        <v>4209</v>
      </c>
      <c r="M535" s="172"/>
      <c r="N535" s="93" t="s">
        <v>3100</v>
      </c>
      <c r="O535" s="92" t="s">
        <v>625</v>
      </c>
      <c r="P535" s="88" t="s">
        <v>1002</v>
      </c>
      <c r="Q535" s="88" t="s">
        <v>48</v>
      </c>
      <c r="R535" s="86">
        <v>9943763010</v>
      </c>
      <c r="S535" s="88" t="s">
        <v>3054</v>
      </c>
      <c r="T535" s="94"/>
      <c r="U535" s="140"/>
      <c r="V535" s="140"/>
      <c r="W535" s="140"/>
      <c r="X535" s="140"/>
      <c r="Y535" s="126" t="s">
        <v>79</v>
      </c>
      <c r="Z535" s="143"/>
      <c r="AA535" s="127" t="s">
        <v>165</v>
      </c>
      <c r="AB535" s="127" t="s">
        <v>165</v>
      </c>
      <c r="AC535" s="127" t="s">
        <v>1005</v>
      </c>
      <c r="AD535" s="127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  <c r="AQ535" s="121"/>
      <c r="AR535" s="121">
        <f>COUNTA('All Details for ACID Pastor'!$Y535:$AB535)</f>
        <v>3</v>
      </c>
      <c r="AS535" s="121"/>
      <c r="AT535" s="121"/>
      <c r="AU535" s="121"/>
      <c r="AV535" s="121"/>
      <c r="AW535" s="163"/>
      <c r="AX535" s="163"/>
      <c r="AZ535" s="121" t="s">
        <v>49</v>
      </c>
      <c r="BA535" s="163"/>
      <c r="BB535" s="163"/>
      <c r="BC535" s="163"/>
      <c r="BF535" s="163">
        <v>4</v>
      </c>
    </row>
    <row r="536" spans="1:58" ht="70.150000000000006" customHeight="1">
      <c r="A536" s="107">
        <v>532</v>
      </c>
      <c r="B536" s="124" t="s">
        <v>3101</v>
      </c>
      <c r="C536" s="90" t="s">
        <v>3102</v>
      </c>
      <c r="D536" s="95" t="s">
        <v>53</v>
      </c>
      <c r="E536" s="95" t="s">
        <v>160</v>
      </c>
      <c r="F536" s="95"/>
      <c r="G536" s="95"/>
      <c r="H536" s="95"/>
      <c r="I536" s="95"/>
      <c r="J536" s="115" t="s">
        <v>3074</v>
      </c>
      <c r="K536" s="193" t="s">
        <v>3103</v>
      </c>
      <c r="L536" s="121"/>
      <c r="M536" s="172"/>
      <c r="N536" s="93" t="s">
        <v>2881</v>
      </c>
      <c r="O536" s="92" t="s">
        <v>2882</v>
      </c>
      <c r="P536" s="88" t="s">
        <v>1002</v>
      </c>
      <c r="Q536" s="88" t="s">
        <v>48</v>
      </c>
      <c r="R536" s="86">
        <v>9003137505</v>
      </c>
      <c r="S536" s="88" t="s">
        <v>3054</v>
      </c>
      <c r="T536" s="94"/>
      <c r="U536" s="140"/>
      <c r="V536" s="140"/>
      <c r="W536" s="140"/>
      <c r="X536" s="140"/>
      <c r="Y536" s="126" t="s">
        <v>79</v>
      </c>
      <c r="Z536" s="127" t="s">
        <v>99</v>
      </c>
      <c r="AA536" s="127" t="s">
        <v>99</v>
      </c>
      <c r="AB536" s="127" t="s">
        <v>99</v>
      </c>
      <c r="AC536" s="131"/>
      <c r="AD536" s="127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  <c r="AQ536" s="121"/>
      <c r="AR536" s="121">
        <f>COUNTA('All Details for ACID Pastor'!$Y536:$AB536)</f>
        <v>4</v>
      </c>
      <c r="AS536" s="121"/>
      <c r="AT536" s="121"/>
      <c r="AU536" s="121"/>
      <c r="AV536" s="121"/>
      <c r="AW536" s="163"/>
      <c r="AX536" s="163"/>
      <c r="AZ536" s="121" t="s">
        <v>49</v>
      </c>
      <c r="BA536" s="163"/>
      <c r="BB536" s="163"/>
      <c r="BC536" s="163"/>
      <c r="BF536" s="163">
        <f>COUNTA('All Details for ACID Pastor'!$T536:$AB536)</f>
        <v>4</v>
      </c>
    </row>
    <row r="537" spans="1:58" ht="70.150000000000006" customHeight="1">
      <c r="A537" s="107">
        <v>533</v>
      </c>
      <c r="B537" s="124" t="s">
        <v>3104</v>
      </c>
      <c r="C537" s="90" t="s">
        <v>3105</v>
      </c>
      <c r="D537" s="95" t="s">
        <v>53</v>
      </c>
      <c r="E537" s="95" t="s">
        <v>54</v>
      </c>
      <c r="F537" s="95"/>
      <c r="G537" s="95"/>
      <c r="H537" s="95"/>
      <c r="I537" s="95"/>
      <c r="J537" s="115" t="s">
        <v>2798</v>
      </c>
      <c r="K537" s="193" t="s">
        <v>3106</v>
      </c>
      <c r="L537" s="155" t="s">
        <v>4209</v>
      </c>
      <c r="M537" s="172" t="s">
        <v>3107</v>
      </c>
      <c r="N537" s="93" t="s">
        <v>3108</v>
      </c>
      <c r="O537" s="92" t="s">
        <v>3109</v>
      </c>
      <c r="P537" s="88" t="s">
        <v>3110</v>
      </c>
      <c r="Q537" s="88" t="s">
        <v>48</v>
      </c>
      <c r="R537" s="86">
        <v>9442069124</v>
      </c>
      <c r="S537" s="88" t="s">
        <v>3054</v>
      </c>
      <c r="T537" s="94"/>
      <c r="U537" s="140"/>
      <c r="V537" s="140"/>
      <c r="W537" s="140"/>
      <c r="X537" s="140"/>
      <c r="Y537" s="141"/>
      <c r="Z537" s="131"/>
      <c r="AA537" s="131"/>
      <c r="AB537" s="131"/>
      <c r="AC537" s="131"/>
      <c r="AD537" s="127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  <c r="AQ537" s="121"/>
      <c r="AR537" s="121">
        <f>COUNTA('All Details for ACID Pastor'!$Y537:$AB537)</f>
        <v>0</v>
      </c>
      <c r="AS537" s="121"/>
      <c r="AT537" s="121"/>
      <c r="AU537" s="121"/>
      <c r="AV537" s="121"/>
      <c r="AW537" s="163"/>
      <c r="AX537" s="163"/>
      <c r="AZ537" s="121" t="s">
        <v>139</v>
      </c>
      <c r="BA537" s="163"/>
      <c r="BB537" s="163"/>
      <c r="BC537" s="163"/>
      <c r="BF537" s="163">
        <f>COUNTA('All Details for ACID Pastor'!$T537:$AB537)</f>
        <v>0</v>
      </c>
    </row>
    <row r="538" spans="1:58" ht="70.150000000000006" customHeight="1">
      <c r="A538" s="107">
        <v>534</v>
      </c>
      <c r="B538" s="124" t="s">
        <v>3111</v>
      </c>
      <c r="C538" s="90" t="s">
        <v>3112</v>
      </c>
      <c r="D538" s="95" t="s">
        <v>53</v>
      </c>
      <c r="E538" s="95" t="s">
        <v>68</v>
      </c>
      <c r="F538" s="95"/>
      <c r="G538" s="95"/>
      <c r="H538" s="95"/>
      <c r="I538" s="95"/>
      <c r="J538" s="115" t="s">
        <v>1128</v>
      </c>
      <c r="K538" s="193" t="s">
        <v>3113</v>
      </c>
      <c r="L538" s="155" t="s">
        <v>4209</v>
      </c>
      <c r="M538" s="172" t="s">
        <v>3114</v>
      </c>
      <c r="N538" s="93" t="s">
        <v>3115</v>
      </c>
      <c r="O538" s="92" t="s">
        <v>3116</v>
      </c>
      <c r="P538" s="88" t="s">
        <v>576</v>
      </c>
      <c r="Q538" s="88" t="s">
        <v>48</v>
      </c>
      <c r="R538" s="86">
        <v>9487280263</v>
      </c>
      <c r="S538" s="88" t="s">
        <v>3054</v>
      </c>
      <c r="T538" s="94"/>
      <c r="U538" s="140"/>
      <c r="V538" s="140"/>
      <c r="W538" s="140"/>
      <c r="X538" s="140"/>
      <c r="Y538" s="141" t="s">
        <v>129</v>
      </c>
      <c r="Z538" s="131" t="s">
        <v>129</v>
      </c>
      <c r="AA538" s="131" t="s">
        <v>129</v>
      </c>
      <c r="AB538" s="131" t="s">
        <v>129</v>
      </c>
      <c r="AC538" s="131" t="s">
        <v>129</v>
      </c>
      <c r="AD538" s="127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63"/>
      <c r="AX538" s="163"/>
      <c r="AZ538" s="121" t="s">
        <v>49</v>
      </c>
      <c r="BA538" s="163"/>
      <c r="BB538" s="163">
        <v>5</v>
      </c>
      <c r="BC538" s="163"/>
      <c r="BF538" s="163">
        <v>5</v>
      </c>
    </row>
    <row r="539" spans="1:58" ht="70.150000000000006" customHeight="1">
      <c r="A539" s="107">
        <v>535</v>
      </c>
      <c r="B539" s="124" t="s">
        <v>3117</v>
      </c>
      <c r="C539" s="90" t="s">
        <v>3118</v>
      </c>
      <c r="D539" s="95" t="s">
        <v>53</v>
      </c>
      <c r="E539" s="95" t="s">
        <v>54</v>
      </c>
      <c r="F539" s="95"/>
      <c r="G539" s="95"/>
      <c r="H539" s="95"/>
      <c r="I539" s="95"/>
      <c r="J539" s="115" t="s">
        <v>3119</v>
      </c>
      <c r="K539" s="193" t="s">
        <v>3120</v>
      </c>
      <c r="L539" s="155" t="s">
        <v>4209</v>
      </c>
      <c r="M539" s="172" t="s">
        <v>3121</v>
      </c>
      <c r="N539" s="93" t="s">
        <v>3122</v>
      </c>
      <c r="O539" s="92" t="s">
        <v>3123</v>
      </c>
      <c r="P539" s="88" t="s">
        <v>517</v>
      </c>
      <c r="Q539" s="88" t="s">
        <v>517</v>
      </c>
      <c r="R539" s="86">
        <v>9171819190</v>
      </c>
      <c r="S539" s="88" t="s">
        <v>3124</v>
      </c>
      <c r="T539" s="94"/>
      <c r="U539" s="140"/>
      <c r="V539" s="140"/>
      <c r="W539" s="140"/>
      <c r="X539" s="140"/>
      <c r="Y539" s="141"/>
      <c r="Z539" s="131"/>
      <c r="AA539" s="131"/>
      <c r="AB539" s="131"/>
      <c r="AC539" s="131"/>
      <c r="AD539" s="127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59"/>
      <c r="AS539" s="121">
        <f>COUNTA('All Details for ACID Pastor'!$Z539:$AB539)</f>
        <v>0</v>
      </c>
      <c r="AT539" s="121"/>
      <c r="AU539" s="121"/>
      <c r="AV539" s="121"/>
      <c r="AW539" s="163"/>
      <c r="AX539" s="163"/>
      <c r="AZ539" s="121" t="s">
        <v>49</v>
      </c>
      <c r="BA539" s="163"/>
      <c r="BB539" s="163"/>
      <c r="BC539" s="163"/>
      <c r="BF539" s="163">
        <f>COUNTA('All Details for ACID Pastor'!$T539:$AB539)</f>
        <v>0</v>
      </c>
    </row>
    <row r="540" spans="1:58" ht="70.150000000000006" customHeight="1">
      <c r="A540" s="107">
        <v>536</v>
      </c>
      <c r="B540" s="124" t="s">
        <v>3125</v>
      </c>
      <c r="C540" s="90" t="s">
        <v>3126</v>
      </c>
      <c r="D540" s="95" t="s">
        <v>53</v>
      </c>
      <c r="E540" s="95" t="s">
        <v>160</v>
      </c>
      <c r="F540" s="95"/>
      <c r="G540" s="95"/>
      <c r="H540" s="95"/>
      <c r="I540" s="95"/>
      <c r="J540" s="115" t="s">
        <v>2734</v>
      </c>
      <c r="K540" s="193" t="s">
        <v>3127</v>
      </c>
      <c r="L540" s="121"/>
      <c r="M540" s="172"/>
      <c r="N540" s="93" t="s">
        <v>3128</v>
      </c>
      <c r="O540" s="92" t="s">
        <v>3129</v>
      </c>
      <c r="P540" s="88" t="s">
        <v>166</v>
      </c>
      <c r="Q540" s="88" t="s">
        <v>48</v>
      </c>
      <c r="R540" s="86">
        <v>9365868949</v>
      </c>
      <c r="S540" s="88" t="s">
        <v>3124</v>
      </c>
      <c r="T540" s="94"/>
      <c r="U540" s="140"/>
      <c r="V540" s="140"/>
      <c r="W540" s="140"/>
      <c r="X540" s="140"/>
      <c r="Y540" s="141"/>
      <c r="Z540" s="131" t="s">
        <v>4218</v>
      </c>
      <c r="AA540" s="131" t="s">
        <v>4218</v>
      </c>
      <c r="AB540" s="131" t="s">
        <v>4218</v>
      </c>
      <c r="AC540" s="131" t="s">
        <v>4218</v>
      </c>
      <c r="AD540" s="127" t="s">
        <v>4218</v>
      </c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  <c r="AQ540" s="121"/>
      <c r="AR540" s="159"/>
      <c r="AS540" s="121">
        <f>COUNTA('All Details for ACID Pastor'!$Z540:$AB540)</f>
        <v>3</v>
      </c>
      <c r="AT540" s="121"/>
      <c r="AU540" s="121"/>
      <c r="AV540" s="121"/>
      <c r="AW540" s="163"/>
      <c r="AX540" s="163"/>
      <c r="AZ540" s="121" t="s">
        <v>49</v>
      </c>
      <c r="BA540" s="163"/>
      <c r="BB540" s="163"/>
      <c r="BC540" s="163">
        <v>5</v>
      </c>
      <c r="BF540" s="163">
        <v>8</v>
      </c>
    </row>
    <row r="541" spans="1:58" ht="70.150000000000006" customHeight="1">
      <c r="A541" s="107">
        <v>537</v>
      </c>
      <c r="B541" s="124" t="s">
        <v>3130</v>
      </c>
      <c r="C541" s="90" t="s">
        <v>3131</v>
      </c>
      <c r="D541" s="95" t="s">
        <v>53</v>
      </c>
      <c r="E541" s="95" t="s">
        <v>54</v>
      </c>
      <c r="F541" s="95"/>
      <c r="G541" s="95"/>
      <c r="H541" s="95"/>
      <c r="I541" s="95"/>
      <c r="J541" s="115" t="s">
        <v>2734</v>
      </c>
      <c r="K541" s="193" t="s">
        <v>3132</v>
      </c>
      <c r="L541" s="155" t="s">
        <v>4209</v>
      </c>
      <c r="M541" s="172"/>
      <c r="N541" s="93" t="s">
        <v>3128</v>
      </c>
      <c r="O541" s="92" t="s">
        <v>3129</v>
      </c>
      <c r="P541" s="88" t="s">
        <v>166</v>
      </c>
      <c r="Q541" s="88" t="s">
        <v>48</v>
      </c>
      <c r="R541" s="86">
        <v>9365868949</v>
      </c>
      <c r="S541" s="88" t="s">
        <v>3124</v>
      </c>
      <c r="T541" s="94"/>
      <c r="U541" s="140"/>
      <c r="V541" s="140"/>
      <c r="W541" s="140"/>
      <c r="X541" s="140"/>
      <c r="Y541" s="141"/>
      <c r="Z541" s="131" t="s">
        <v>4218</v>
      </c>
      <c r="AA541" s="131" t="s">
        <v>4218</v>
      </c>
      <c r="AB541" s="131" t="s">
        <v>4218</v>
      </c>
      <c r="AC541" s="131" t="s">
        <v>4218</v>
      </c>
      <c r="AD541" s="127" t="s">
        <v>4219</v>
      </c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  <c r="AQ541" s="121"/>
      <c r="AR541" s="159"/>
      <c r="AS541" s="121">
        <f>COUNTA('All Details for ACID Pastor'!$Z541:$AB541)</f>
        <v>3</v>
      </c>
      <c r="AT541" s="121"/>
      <c r="AU541" s="121"/>
      <c r="AV541" s="121"/>
      <c r="AW541" s="163"/>
      <c r="AX541" s="163"/>
      <c r="AZ541" s="121" t="s">
        <v>49</v>
      </c>
      <c r="BA541" s="163"/>
      <c r="BB541" s="163"/>
      <c r="BC541" s="163">
        <v>5</v>
      </c>
      <c r="BF541" s="163">
        <v>8</v>
      </c>
    </row>
    <row r="542" spans="1:58" ht="70.150000000000006" customHeight="1">
      <c r="A542" s="107">
        <v>538</v>
      </c>
      <c r="B542" s="124" t="s">
        <v>3133</v>
      </c>
      <c r="C542" s="90" t="s">
        <v>3134</v>
      </c>
      <c r="D542" s="95" t="s">
        <v>53</v>
      </c>
      <c r="E542" s="95" t="s">
        <v>54</v>
      </c>
      <c r="F542" s="95"/>
      <c r="G542" s="95"/>
      <c r="H542" s="95"/>
      <c r="I542" s="95"/>
      <c r="J542" s="115" t="s">
        <v>3135</v>
      </c>
      <c r="K542" s="193" t="s">
        <v>3136</v>
      </c>
      <c r="L542" s="155" t="s">
        <v>4209</v>
      </c>
      <c r="M542" s="172" t="s">
        <v>3137</v>
      </c>
      <c r="N542" s="93" t="s">
        <v>3138</v>
      </c>
      <c r="O542" s="92" t="s">
        <v>3139</v>
      </c>
      <c r="P542" s="88" t="s">
        <v>1102</v>
      </c>
      <c r="Q542" s="88" t="s">
        <v>48</v>
      </c>
      <c r="R542" s="86">
        <v>9944361244</v>
      </c>
      <c r="S542" s="88" t="s">
        <v>3124</v>
      </c>
      <c r="T542" s="94"/>
      <c r="U542" s="140"/>
      <c r="V542" s="140"/>
      <c r="W542" s="140"/>
      <c r="X542" s="140"/>
      <c r="Y542" s="141"/>
      <c r="Z542" s="127" t="s">
        <v>1236</v>
      </c>
      <c r="AA542" s="127" t="s">
        <v>1236</v>
      </c>
      <c r="AB542" s="127" t="s">
        <v>1236</v>
      </c>
      <c r="AC542" s="127" t="s">
        <v>1236</v>
      </c>
      <c r="AD542" s="127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59"/>
      <c r="AS542" s="121"/>
      <c r="AT542" s="121"/>
      <c r="AU542" s="121"/>
      <c r="AV542" s="121"/>
      <c r="AW542" s="163"/>
      <c r="AX542" s="163"/>
      <c r="AZ542" s="121" t="s">
        <v>49</v>
      </c>
      <c r="BA542" s="163"/>
      <c r="BB542" s="163"/>
      <c r="BC542" s="163"/>
      <c r="BF542" s="163">
        <v>4</v>
      </c>
    </row>
    <row r="543" spans="1:58" ht="70.150000000000006" customHeight="1">
      <c r="A543" s="107">
        <v>539</v>
      </c>
      <c r="B543" s="124" t="s">
        <v>3140</v>
      </c>
      <c r="C543" s="90" t="s">
        <v>3141</v>
      </c>
      <c r="D543" s="95" t="s">
        <v>53</v>
      </c>
      <c r="E543" s="95" t="s">
        <v>54</v>
      </c>
      <c r="F543" s="95"/>
      <c r="G543" s="95"/>
      <c r="H543" s="95"/>
      <c r="I543" s="95"/>
      <c r="J543" s="115" t="s">
        <v>3135</v>
      </c>
      <c r="K543" s="193" t="s">
        <v>3142</v>
      </c>
      <c r="L543" s="155" t="s">
        <v>4209</v>
      </c>
      <c r="M543" s="172" t="s">
        <v>3137</v>
      </c>
      <c r="N543" s="93" t="s">
        <v>3143</v>
      </c>
      <c r="O543" s="92" t="s">
        <v>2684</v>
      </c>
      <c r="P543" s="88" t="s">
        <v>1102</v>
      </c>
      <c r="Q543" s="88" t="s">
        <v>48</v>
      </c>
      <c r="R543" s="86">
        <v>9843637025</v>
      </c>
      <c r="S543" s="88" t="s">
        <v>3124</v>
      </c>
      <c r="T543" s="94"/>
      <c r="U543" s="140"/>
      <c r="V543" s="140"/>
      <c r="W543" s="140"/>
      <c r="X543" s="140"/>
      <c r="Y543" s="141"/>
      <c r="Z543" s="127" t="s">
        <v>1236</v>
      </c>
      <c r="AA543" s="127" t="s">
        <v>1236</v>
      </c>
      <c r="AB543" s="127" t="s">
        <v>1236</v>
      </c>
      <c r="AC543" s="127" t="s">
        <v>1236</v>
      </c>
      <c r="AD543" s="127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59"/>
      <c r="AS543" s="121"/>
      <c r="AT543" s="121"/>
      <c r="AU543" s="121"/>
      <c r="AV543" s="121"/>
      <c r="AW543" s="163"/>
      <c r="AX543" s="163"/>
      <c r="AZ543" s="121" t="s">
        <v>49</v>
      </c>
      <c r="BA543" s="163"/>
      <c r="BB543" s="163"/>
      <c r="BC543" s="163"/>
      <c r="BF543" s="163">
        <v>4</v>
      </c>
    </row>
    <row r="544" spans="1:58" ht="70.150000000000006" customHeight="1">
      <c r="A544" s="107">
        <v>540</v>
      </c>
      <c r="B544" s="124" t="s">
        <v>3144</v>
      </c>
      <c r="C544" s="90" t="s">
        <v>3145</v>
      </c>
      <c r="D544" s="95" t="s">
        <v>53</v>
      </c>
      <c r="E544" s="95" t="s">
        <v>54</v>
      </c>
      <c r="F544" s="95"/>
      <c r="G544" s="95"/>
      <c r="H544" s="95"/>
      <c r="I544" s="95"/>
      <c r="J544" s="115" t="s">
        <v>3074</v>
      </c>
      <c r="K544" s="193" t="s">
        <v>3146</v>
      </c>
      <c r="L544" s="155" t="s">
        <v>4209</v>
      </c>
      <c r="M544" s="172" t="s">
        <v>3147</v>
      </c>
      <c r="N544" s="93" t="s">
        <v>3148</v>
      </c>
      <c r="O544" s="92" t="s">
        <v>3149</v>
      </c>
      <c r="P544" s="88" t="s">
        <v>1002</v>
      </c>
      <c r="Q544" s="88" t="s">
        <v>48</v>
      </c>
      <c r="R544" s="86">
        <v>7502411000</v>
      </c>
      <c r="S544" s="88" t="s">
        <v>3124</v>
      </c>
      <c r="T544" s="94"/>
      <c r="U544" s="140"/>
      <c r="V544" s="140"/>
      <c r="W544" s="140"/>
      <c r="X544" s="140"/>
      <c r="Y544" s="141"/>
      <c r="Z544" s="131"/>
      <c r="AA544" s="127" t="s">
        <v>165</v>
      </c>
      <c r="AB544" s="127" t="s">
        <v>165</v>
      </c>
      <c r="AC544" s="131"/>
      <c r="AD544" s="127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59"/>
      <c r="AS544" s="121">
        <f>COUNTA('All Details for ACID Pastor'!$Z544:$AB544)</f>
        <v>2</v>
      </c>
      <c r="AT544" s="121"/>
      <c r="AU544" s="121"/>
      <c r="AV544" s="121"/>
      <c r="AW544" s="163"/>
      <c r="AX544" s="163"/>
      <c r="AZ544" s="121" t="s">
        <v>49</v>
      </c>
      <c r="BA544" s="163"/>
      <c r="BB544" s="163"/>
      <c r="BC544" s="163"/>
      <c r="BF544" s="163">
        <f>COUNTA('All Details for ACID Pastor'!$T544:$AB544)</f>
        <v>2</v>
      </c>
    </row>
    <row r="545" spans="1:74" ht="70.150000000000006" customHeight="1">
      <c r="A545" s="107">
        <v>541</v>
      </c>
      <c r="B545" s="124" t="s">
        <v>3150</v>
      </c>
      <c r="C545" s="90" t="s">
        <v>3151</v>
      </c>
      <c r="D545" s="95" t="s">
        <v>53</v>
      </c>
      <c r="E545" s="95" t="s">
        <v>54</v>
      </c>
      <c r="F545" s="95"/>
      <c r="G545" s="95"/>
      <c r="H545" s="95"/>
      <c r="I545" s="95"/>
      <c r="J545" s="115" t="s">
        <v>3074</v>
      </c>
      <c r="K545" s="193" t="s">
        <v>3152</v>
      </c>
      <c r="L545" s="155" t="s">
        <v>4209</v>
      </c>
      <c r="M545" s="172" t="s">
        <v>3153</v>
      </c>
      <c r="N545" s="93" t="s">
        <v>3154</v>
      </c>
      <c r="O545" s="92" t="s">
        <v>3155</v>
      </c>
      <c r="P545" s="88" t="s">
        <v>1002</v>
      </c>
      <c r="Q545" s="88" t="s">
        <v>48</v>
      </c>
      <c r="R545" s="86">
        <v>9894224624</v>
      </c>
      <c r="S545" s="88" t="s">
        <v>3124</v>
      </c>
      <c r="T545" s="94"/>
      <c r="U545" s="140"/>
      <c r="V545" s="140"/>
      <c r="W545" s="140"/>
      <c r="X545" s="140"/>
      <c r="Y545" s="141"/>
      <c r="Z545" s="127" t="s">
        <v>149</v>
      </c>
      <c r="AA545" s="127" t="s">
        <v>1005</v>
      </c>
      <c r="AB545" s="127" t="s">
        <v>1005</v>
      </c>
      <c r="AC545" s="127" t="s">
        <v>1005</v>
      </c>
      <c r="AD545" s="127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59"/>
      <c r="AS545" s="121">
        <v>1</v>
      </c>
      <c r="AT545" s="121"/>
      <c r="AU545" s="121"/>
      <c r="AV545" s="121"/>
      <c r="AW545" s="163"/>
      <c r="AX545" s="163"/>
      <c r="AZ545" s="121" t="s">
        <v>49</v>
      </c>
      <c r="BA545" s="163"/>
      <c r="BB545" s="163"/>
      <c r="BC545" s="163"/>
      <c r="BF545" s="163">
        <v>4</v>
      </c>
    </row>
    <row r="546" spans="1:74" ht="70.150000000000006" customHeight="1">
      <c r="A546" s="107">
        <v>542</v>
      </c>
      <c r="B546" s="124" t="s">
        <v>3156</v>
      </c>
      <c r="C546" s="90" t="s">
        <v>3157</v>
      </c>
      <c r="D546" s="95" t="s">
        <v>53</v>
      </c>
      <c r="E546" s="95" t="s">
        <v>160</v>
      </c>
      <c r="F546" s="95"/>
      <c r="G546" s="95"/>
      <c r="H546" s="95"/>
      <c r="I546" s="95"/>
      <c r="J546" s="115" t="s">
        <v>3074</v>
      </c>
      <c r="K546" s="193" t="s">
        <v>3158</v>
      </c>
      <c r="L546" s="121"/>
      <c r="M546" s="172"/>
      <c r="N546" s="93" t="s">
        <v>3154</v>
      </c>
      <c r="O546" s="92" t="s">
        <v>3155</v>
      </c>
      <c r="P546" s="88" t="s">
        <v>1002</v>
      </c>
      <c r="Q546" s="88" t="s">
        <v>48</v>
      </c>
      <c r="R546" s="86">
        <v>9894224624</v>
      </c>
      <c r="S546" s="88" t="s">
        <v>3124</v>
      </c>
      <c r="T546" s="94"/>
      <c r="U546" s="140"/>
      <c r="V546" s="140"/>
      <c r="W546" s="140"/>
      <c r="X546" s="140"/>
      <c r="Y546" s="141"/>
      <c r="Z546" s="131"/>
      <c r="AA546" s="127" t="s">
        <v>1236</v>
      </c>
      <c r="AB546" s="127" t="s">
        <v>1236</v>
      </c>
      <c r="AC546" s="127" t="s">
        <v>1236</v>
      </c>
      <c r="AD546" s="127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59"/>
      <c r="AS546" s="121"/>
      <c r="AT546" s="121"/>
      <c r="AU546" s="121"/>
      <c r="AV546" s="121"/>
      <c r="AW546" s="163"/>
      <c r="AX546" s="163"/>
      <c r="AZ546" s="121" t="s">
        <v>49</v>
      </c>
      <c r="BA546" s="163"/>
      <c r="BB546" s="163"/>
      <c r="BC546" s="163"/>
      <c r="BF546" s="163">
        <v>3</v>
      </c>
    </row>
    <row r="547" spans="1:74" ht="70.150000000000006" customHeight="1">
      <c r="A547" s="107">
        <v>543</v>
      </c>
      <c r="B547" s="124" t="s">
        <v>3159</v>
      </c>
      <c r="C547" s="90" t="s">
        <v>3160</v>
      </c>
      <c r="D547" s="95" t="s">
        <v>53</v>
      </c>
      <c r="E547" s="95" t="s">
        <v>54</v>
      </c>
      <c r="F547" s="95"/>
      <c r="G547" s="95"/>
      <c r="H547" s="95"/>
      <c r="I547" s="95"/>
      <c r="J547" s="115" t="s">
        <v>3074</v>
      </c>
      <c r="K547" s="193" t="s">
        <v>3161</v>
      </c>
      <c r="L547" s="155" t="s">
        <v>4209</v>
      </c>
      <c r="M547" s="172"/>
      <c r="N547" s="93" t="s">
        <v>3162</v>
      </c>
      <c r="O547" s="92" t="s">
        <v>3163</v>
      </c>
      <c r="P547" s="88" t="s">
        <v>1002</v>
      </c>
      <c r="Q547" s="88" t="s">
        <v>48</v>
      </c>
      <c r="R547" s="86">
        <v>9943294302</v>
      </c>
      <c r="S547" s="88" t="s">
        <v>3124</v>
      </c>
      <c r="T547" s="94"/>
      <c r="U547" s="140"/>
      <c r="V547" s="140"/>
      <c r="W547" s="140"/>
      <c r="X547" s="140"/>
      <c r="Y547" s="141"/>
      <c r="Z547" s="127" t="s">
        <v>165</v>
      </c>
      <c r="AA547" s="127" t="s">
        <v>165</v>
      </c>
      <c r="AB547" s="127" t="s">
        <v>165</v>
      </c>
      <c r="AC547" s="131"/>
      <c r="AD547" s="127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59"/>
      <c r="AS547" s="121">
        <f>COUNTA('All Details for ACID Pastor'!$Z547:$AB547)</f>
        <v>3</v>
      </c>
      <c r="AT547" s="121"/>
      <c r="AU547" s="121"/>
      <c r="AV547" s="121"/>
      <c r="AW547" s="163"/>
      <c r="AX547" s="163"/>
      <c r="AZ547" s="121" t="s">
        <v>49</v>
      </c>
      <c r="BA547" s="163"/>
      <c r="BB547" s="163"/>
      <c r="BC547" s="163"/>
      <c r="BF547" s="163">
        <f>COUNTA('All Details for ACID Pastor'!$T547:$AB547)</f>
        <v>3</v>
      </c>
    </row>
    <row r="548" spans="1:74" ht="70.150000000000006" customHeight="1">
      <c r="A548" s="107">
        <v>544</v>
      </c>
      <c r="B548" s="124" t="s">
        <v>3164</v>
      </c>
      <c r="C548" s="90" t="s">
        <v>3165</v>
      </c>
      <c r="D548" s="95" t="s">
        <v>53</v>
      </c>
      <c r="E548" s="95" t="s">
        <v>160</v>
      </c>
      <c r="F548" s="95"/>
      <c r="G548" s="95"/>
      <c r="H548" s="95"/>
      <c r="I548" s="95"/>
      <c r="J548" s="115" t="s">
        <v>3074</v>
      </c>
      <c r="K548" s="193" t="s">
        <v>3166</v>
      </c>
      <c r="L548" s="121"/>
      <c r="M548" s="172"/>
      <c r="N548" s="93" t="s">
        <v>3167</v>
      </c>
      <c r="O548" s="92" t="s">
        <v>3163</v>
      </c>
      <c r="P548" s="88" t="s">
        <v>1002</v>
      </c>
      <c r="Q548" s="88" t="s">
        <v>48</v>
      </c>
      <c r="R548" s="86">
        <v>9943294302</v>
      </c>
      <c r="S548" s="88" t="s">
        <v>3124</v>
      </c>
      <c r="T548" s="94"/>
      <c r="U548" s="140"/>
      <c r="V548" s="140"/>
      <c r="W548" s="140"/>
      <c r="X548" s="140"/>
      <c r="Y548" s="141"/>
      <c r="Z548" s="127" t="s">
        <v>165</v>
      </c>
      <c r="AA548" s="127" t="s">
        <v>165</v>
      </c>
      <c r="AB548" s="127" t="s">
        <v>165</v>
      </c>
      <c r="AC548" s="131"/>
      <c r="AD548" s="127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59"/>
      <c r="AS548" s="121">
        <f>COUNTA('All Details for ACID Pastor'!$Z548:$AB548)</f>
        <v>3</v>
      </c>
      <c r="AT548" s="121"/>
      <c r="AU548" s="121"/>
      <c r="AV548" s="121"/>
      <c r="AW548" s="163"/>
      <c r="AX548" s="163"/>
      <c r="AZ548" s="121" t="s">
        <v>49</v>
      </c>
      <c r="BA548" s="163"/>
      <c r="BB548" s="163"/>
      <c r="BC548" s="163"/>
      <c r="BF548" s="163">
        <f>COUNTA('All Details for ACID Pastor'!$T548:$AB548)</f>
        <v>3</v>
      </c>
    </row>
    <row r="549" spans="1:74" ht="70.150000000000006" customHeight="1">
      <c r="A549" s="107">
        <v>544</v>
      </c>
      <c r="B549" s="124" t="s">
        <v>3168</v>
      </c>
      <c r="C549" s="90" t="s">
        <v>3169</v>
      </c>
      <c r="D549" s="95" t="s">
        <v>53</v>
      </c>
      <c r="E549" s="95" t="s">
        <v>54</v>
      </c>
      <c r="F549" s="95"/>
      <c r="G549" s="95"/>
      <c r="H549" s="95"/>
      <c r="I549" s="95"/>
      <c r="J549" s="115" t="s">
        <v>3074</v>
      </c>
      <c r="K549" s="193" t="s">
        <v>3170</v>
      </c>
      <c r="L549" s="155" t="s">
        <v>4209</v>
      </c>
      <c r="M549" s="172"/>
      <c r="N549" s="93" t="s">
        <v>3171</v>
      </c>
      <c r="O549" s="92" t="s">
        <v>3163</v>
      </c>
      <c r="P549" s="88" t="s">
        <v>1002</v>
      </c>
      <c r="Q549" s="88" t="s">
        <v>48</v>
      </c>
      <c r="R549" s="86">
        <v>9843662531</v>
      </c>
      <c r="S549" s="88" t="s">
        <v>3124</v>
      </c>
      <c r="T549" s="94"/>
      <c r="U549" s="140"/>
      <c r="V549" s="140"/>
      <c r="W549" s="140"/>
      <c r="X549" s="140"/>
      <c r="Y549" s="141"/>
      <c r="Z549" s="131"/>
      <c r="AA549" s="131"/>
      <c r="AB549" s="127" t="s">
        <v>165</v>
      </c>
      <c r="AC549" s="127" t="s">
        <v>1005</v>
      </c>
      <c r="AD549" s="127" t="s">
        <v>1005</v>
      </c>
      <c r="AE549" s="244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59"/>
      <c r="AS549" s="121">
        <f>COUNTA('All Details for ACID Pastor'!$Z549:$AB549)</f>
        <v>1</v>
      </c>
      <c r="AT549" s="121"/>
      <c r="AU549" s="121"/>
      <c r="AV549" s="121"/>
      <c r="AW549" s="163"/>
      <c r="AX549" s="163"/>
      <c r="AZ549" s="121" t="s">
        <v>49</v>
      </c>
      <c r="BA549" s="163"/>
      <c r="BB549" s="163"/>
      <c r="BC549" s="163"/>
      <c r="BF549" s="163">
        <v>3</v>
      </c>
    </row>
    <row r="550" spans="1:74" s="174" customFormat="1" ht="70.150000000000006" customHeight="1">
      <c r="A550" s="103">
        <v>546</v>
      </c>
      <c r="B550" s="132" t="s">
        <v>3172</v>
      </c>
      <c r="C550" s="101" t="s">
        <v>3173</v>
      </c>
      <c r="D550" s="102" t="s">
        <v>53</v>
      </c>
      <c r="E550" s="102" t="s">
        <v>54</v>
      </c>
      <c r="F550" s="95"/>
      <c r="G550" s="95"/>
      <c r="H550" s="95"/>
      <c r="I550" s="95"/>
      <c r="J550" s="133" t="s">
        <v>2322</v>
      </c>
      <c r="K550" s="256" t="s">
        <v>3174</v>
      </c>
      <c r="L550" s="270" t="s">
        <v>4209</v>
      </c>
      <c r="M550" s="171" t="s">
        <v>3175</v>
      </c>
      <c r="N550" s="104" t="s">
        <v>3176</v>
      </c>
      <c r="O550" s="105" t="s">
        <v>3177</v>
      </c>
      <c r="P550" s="106" t="s">
        <v>1010</v>
      </c>
      <c r="Q550" s="106" t="s">
        <v>48</v>
      </c>
      <c r="R550" s="134">
        <v>9629804761</v>
      </c>
      <c r="S550" s="106" t="s">
        <v>3124</v>
      </c>
      <c r="T550" s="135"/>
      <c r="U550" s="176"/>
      <c r="V550" s="176"/>
      <c r="W550" s="176"/>
      <c r="X550" s="176"/>
      <c r="Y550" s="145"/>
      <c r="Z550" s="136"/>
      <c r="AA550" s="136"/>
      <c r="AB550" s="136"/>
      <c r="AC550" s="136"/>
      <c r="AD550" s="222"/>
      <c r="AE550" s="240"/>
      <c r="AF550" s="232"/>
      <c r="AG550" s="232"/>
      <c r="AH550" s="232"/>
      <c r="AI550" s="232"/>
      <c r="AJ550" s="232"/>
      <c r="AK550" s="232"/>
      <c r="AL550" s="232"/>
      <c r="AM550" s="232"/>
      <c r="AN550" s="232"/>
      <c r="AO550" s="232"/>
      <c r="AP550" s="232"/>
      <c r="AQ550" s="232"/>
      <c r="AR550" s="239"/>
      <c r="AS550" s="232">
        <f>COUNTA('All Details for ACID Pastor'!$Z550:$AB550)</f>
        <v>0</v>
      </c>
      <c r="AT550" s="232"/>
      <c r="AU550" s="232"/>
      <c r="AV550" s="232"/>
      <c r="AW550" s="233"/>
      <c r="AX550" s="233"/>
      <c r="AY550" s="244"/>
      <c r="AZ550" s="232" t="s">
        <v>139</v>
      </c>
      <c r="BA550" s="233"/>
      <c r="BB550" s="233"/>
      <c r="BC550" s="233"/>
      <c r="BD550" s="244"/>
      <c r="BE550" s="277"/>
      <c r="BF550" s="233">
        <f>COUNTA('All Details for ACID Pastor'!$T550:$AB550)</f>
        <v>0</v>
      </c>
      <c r="BG550" s="249"/>
      <c r="BH550" s="249"/>
      <c r="BI550" s="249"/>
      <c r="BJ550" s="249"/>
      <c r="BK550" s="249"/>
      <c r="BL550" s="249"/>
      <c r="BM550" s="249"/>
      <c r="BN550" s="249"/>
      <c r="BO550" s="249"/>
      <c r="BP550" s="249"/>
      <c r="BQ550" s="249"/>
      <c r="BR550" s="249"/>
      <c r="BS550" s="249"/>
      <c r="BT550" s="249"/>
      <c r="BU550" s="249"/>
      <c r="BV550" s="249"/>
    </row>
    <row r="551" spans="1:74" ht="70.150000000000006" customHeight="1">
      <c r="A551" s="107">
        <v>547</v>
      </c>
      <c r="B551" s="124" t="s">
        <v>3178</v>
      </c>
      <c r="C551" s="90" t="s">
        <v>3179</v>
      </c>
      <c r="D551" s="95" t="s">
        <v>53</v>
      </c>
      <c r="E551" s="95" t="s">
        <v>54</v>
      </c>
      <c r="F551" s="95"/>
      <c r="G551" s="95"/>
      <c r="H551" s="95"/>
      <c r="I551" s="95"/>
      <c r="J551" s="115" t="s">
        <v>113</v>
      </c>
      <c r="K551" s="193" t="s">
        <v>3180</v>
      </c>
      <c r="L551" s="155" t="s">
        <v>4209</v>
      </c>
      <c r="M551" s="172"/>
      <c r="N551" s="93" t="s">
        <v>3181</v>
      </c>
      <c r="O551" s="92" t="s">
        <v>3182</v>
      </c>
      <c r="P551" s="88" t="s">
        <v>47</v>
      </c>
      <c r="Q551" s="88" t="s">
        <v>48</v>
      </c>
      <c r="R551" s="86">
        <v>9659249685</v>
      </c>
      <c r="S551" s="88" t="s">
        <v>3124</v>
      </c>
      <c r="T551" s="94"/>
      <c r="U551" s="140"/>
      <c r="V551" s="140"/>
      <c r="W551" s="140"/>
      <c r="X551" s="140"/>
      <c r="Y551" s="141"/>
      <c r="Z551" s="131"/>
      <c r="AA551" s="131"/>
      <c r="AB551" s="131"/>
      <c r="AC551" s="131"/>
      <c r="AD551" s="127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59"/>
      <c r="AS551" s="121">
        <f>COUNTA('All Details for ACID Pastor'!$Z551:$AB551)</f>
        <v>0</v>
      </c>
      <c r="AT551" s="121"/>
      <c r="AU551" s="121"/>
      <c r="AV551" s="121"/>
      <c r="AW551" s="163"/>
      <c r="AX551" s="163"/>
      <c r="AZ551" s="121" t="s">
        <v>49</v>
      </c>
      <c r="BA551" s="163"/>
      <c r="BB551" s="163"/>
      <c r="BC551" s="163"/>
      <c r="BF551" s="163">
        <f>COUNTA('All Details for ACID Pastor'!$T551:$AB551)</f>
        <v>0</v>
      </c>
    </row>
    <row r="552" spans="1:74" ht="78.75" customHeight="1">
      <c r="A552" s="107">
        <v>548</v>
      </c>
      <c r="B552" s="124" t="s">
        <v>3183</v>
      </c>
      <c r="C552" s="90" t="s">
        <v>3184</v>
      </c>
      <c r="D552" s="95" t="s">
        <v>53</v>
      </c>
      <c r="E552" s="95" t="s">
        <v>1975</v>
      </c>
      <c r="F552" s="95"/>
      <c r="G552" s="95"/>
      <c r="H552" s="95"/>
      <c r="I552" s="95"/>
      <c r="J552" s="115" t="s">
        <v>103</v>
      </c>
      <c r="K552" s="193" t="s">
        <v>3185</v>
      </c>
      <c r="L552" s="155" t="s">
        <v>4209</v>
      </c>
      <c r="M552" s="172" t="s">
        <v>3186</v>
      </c>
      <c r="N552" s="93" t="s">
        <v>3187</v>
      </c>
      <c r="O552" s="92" t="s">
        <v>3109</v>
      </c>
      <c r="P552" s="88" t="s">
        <v>64</v>
      </c>
      <c r="Q552" s="88" t="s">
        <v>48</v>
      </c>
      <c r="R552" s="86">
        <v>8939347887</v>
      </c>
      <c r="S552" s="88" t="s">
        <v>3124</v>
      </c>
      <c r="T552" s="94"/>
      <c r="U552" s="140"/>
      <c r="V552" s="140"/>
      <c r="W552" s="140"/>
      <c r="X552" s="140"/>
      <c r="Y552" s="141"/>
      <c r="Z552" s="131"/>
      <c r="AA552" s="131"/>
      <c r="AB552" s="131"/>
      <c r="AC552" s="131"/>
      <c r="AD552" s="127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  <c r="AQ552" s="121"/>
      <c r="AR552" s="159"/>
      <c r="AS552" s="121">
        <f>COUNTA('All Details for ACID Pastor'!$Z552:$AB552)</f>
        <v>0</v>
      </c>
      <c r="AT552" s="121"/>
      <c r="AU552" s="121"/>
      <c r="AV552" s="121"/>
      <c r="AW552" s="163"/>
      <c r="AX552" s="163"/>
      <c r="AZ552" s="121" t="s">
        <v>49</v>
      </c>
      <c r="BA552" s="163"/>
      <c r="BB552" s="163"/>
      <c r="BC552" s="163"/>
      <c r="BF552" s="163">
        <f>COUNTA('All Details for ACID Pastor'!$T552:$AB552)</f>
        <v>0</v>
      </c>
    </row>
    <row r="553" spans="1:74" ht="78.75" customHeight="1">
      <c r="A553" s="107">
        <v>549</v>
      </c>
      <c r="B553" s="124" t="s">
        <v>3188</v>
      </c>
      <c r="C553" s="90" t="s">
        <v>3189</v>
      </c>
      <c r="D553" s="95" t="s">
        <v>53</v>
      </c>
      <c r="E553" s="95" t="s">
        <v>54</v>
      </c>
      <c r="F553" s="95"/>
      <c r="G553" s="95"/>
      <c r="H553" s="95"/>
      <c r="I553" s="95"/>
      <c r="J553" s="115" t="s">
        <v>3074</v>
      </c>
      <c r="K553" s="193" t="s">
        <v>3190</v>
      </c>
      <c r="L553" s="155" t="s">
        <v>4209</v>
      </c>
      <c r="M553" s="172"/>
      <c r="N553" s="93" t="s">
        <v>3191</v>
      </c>
      <c r="O553" s="92" t="s">
        <v>3192</v>
      </c>
      <c r="P553" s="88" t="s">
        <v>64</v>
      </c>
      <c r="Q553" s="88" t="s">
        <v>48</v>
      </c>
      <c r="R553" s="86">
        <v>9444208361</v>
      </c>
      <c r="S553" s="88" t="s">
        <v>3124</v>
      </c>
      <c r="T553" s="94"/>
      <c r="U553" s="140"/>
      <c r="V553" s="140"/>
      <c r="W553" s="140"/>
      <c r="X553" s="140"/>
      <c r="Y553" s="141"/>
      <c r="Z553" s="131"/>
      <c r="AA553" s="131"/>
      <c r="AB553" s="127" t="s">
        <v>165</v>
      </c>
      <c r="AC553" s="131"/>
      <c r="AD553" s="127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  <c r="AQ553" s="121"/>
      <c r="AR553" s="159"/>
      <c r="AS553" s="121">
        <f>COUNTA('All Details for ACID Pastor'!$Z553:$AB553)</f>
        <v>1</v>
      </c>
      <c r="AT553" s="121"/>
      <c r="AU553" s="121"/>
      <c r="AV553" s="121"/>
      <c r="AW553" s="163"/>
      <c r="AX553" s="163"/>
      <c r="AZ553" s="121" t="s">
        <v>49</v>
      </c>
      <c r="BA553" s="163"/>
      <c r="BB553" s="163"/>
      <c r="BC553" s="163"/>
      <c r="BF553" s="163">
        <f>COUNTA('All Details for ACID Pastor'!$T553:$AB553)</f>
        <v>1</v>
      </c>
    </row>
    <row r="554" spans="1:74" ht="70.150000000000006" customHeight="1">
      <c r="A554" s="107">
        <v>550</v>
      </c>
      <c r="B554" s="124" t="s">
        <v>3193</v>
      </c>
      <c r="C554" s="90" t="s">
        <v>3194</v>
      </c>
      <c r="D554" s="95" t="s">
        <v>53</v>
      </c>
      <c r="E554" s="95" t="s">
        <v>54</v>
      </c>
      <c r="F554" s="95"/>
      <c r="G554" s="95"/>
      <c r="H554" s="95"/>
      <c r="I554" s="95"/>
      <c r="J554" s="115" t="s">
        <v>3074</v>
      </c>
      <c r="K554" s="193" t="s">
        <v>3195</v>
      </c>
      <c r="L554" s="155" t="s">
        <v>4209</v>
      </c>
      <c r="M554" s="172"/>
      <c r="N554" s="93" t="s">
        <v>3196</v>
      </c>
      <c r="O554" s="92" t="s">
        <v>3197</v>
      </c>
      <c r="P554" s="88" t="s">
        <v>1002</v>
      </c>
      <c r="Q554" s="88" t="s">
        <v>48</v>
      </c>
      <c r="R554" s="86">
        <v>9487044255</v>
      </c>
      <c r="S554" s="88" t="s">
        <v>3124</v>
      </c>
      <c r="T554" s="94"/>
      <c r="U554" s="140"/>
      <c r="V554" s="140"/>
      <c r="W554" s="140"/>
      <c r="X554" s="140"/>
      <c r="Y554" s="141"/>
      <c r="Z554" s="131"/>
      <c r="AA554" s="131"/>
      <c r="AB554" s="131"/>
      <c r="AC554" s="131"/>
      <c r="AD554" s="127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  <c r="AQ554" s="121"/>
      <c r="AR554" s="159"/>
      <c r="AS554" s="121">
        <f>COUNTA('All Details for ACID Pastor'!$Z554:$AB554)</f>
        <v>0</v>
      </c>
      <c r="AT554" s="121"/>
      <c r="AU554" s="121"/>
      <c r="AV554" s="121"/>
      <c r="AW554" s="163"/>
      <c r="AX554" s="163"/>
      <c r="AZ554" s="121" t="s">
        <v>49</v>
      </c>
      <c r="BA554" s="163"/>
      <c r="BB554" s="163"/>
      <c r="BC554" s="163"/>
      <c r="BF554" s="163">
        <f>COUNTA('All Details for ACID Pastor'!$T554:$AB554)</f>
        <v>0</v>
      </c>
    </row>
    <row r="555" spans="1:74" ht="70.150000000000006" customHeight="1">
      <c r="A555" s="107">
        <v>551</v>
      </c>
      <c r="B555" s="124" t="s">
        <v>3198</v>
      </c>
      <c r="C555" s="90" t="s">
        <v>3199</v>
      </c>
      <c r="D555" s="95" t="s">
        <v>53</v>
      </c>
      <c r="E555" s="95" t="s">
        <v>54</v>
      </c>
      <c r="F555" s="95"/>
      <c r="G555" s="95"/>
      <c r="H555" s="95"/>
      <c r="I555" s="95"/>
      <c r="J555" s="115" t="s">
        <v>3074</v>
      </c>
      <c r="K555" s="193" t="s">
        <v>3200</v>
      </c>
      <c r="L555" s="155" t="s">
        <v>4209</v>
      </c>
      <c r="M555" s="172"/>
      <c r="N555" s="93" t="s">
        <v>3201</v>
      </c>
      <c r="O555" s="92" t="s">
        <v>3202</v>
      </c>
      <c r="P555" s="88" t="s">
        <v>1002</v>
      </c>
      <c r="Q555" s="88" t="s">
        <v>48</v>
      </c>
      <c r="R555" s="86">
        <v>9443007414</v>
      </c>
      <c r="S555" s="88" t="s">
        <v>3124</v>
      </c>
      <c r="T555" s="94"/>
      <c r="U555" s="140"/>
      <c r="V555" s="140"/>
      <c r="W555" s="140"/>
      <c r="X555" s="140"/>
      <c r="Y555" s="141"/>
      <c r="Z555" s="127" t="s">
        <v>149</v>
      </c>
      <c r="AA555" s="127" t="s">
        <v>99</v>
      </c>
      <c r="AB555" s="127" t="s">
        <v>165</v>
      </c>
      <c r="AC555" s="131" t="s">
        <v>4220</v>
      </c>
      <c r="AD555" s="127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  <c r="AQ555" s="121"/>
      <c r="AR555" s="159"/>
      <c r="AS555" s="121">
        <f>COUNTA('All Details for ACID Pastor'!$Z555:$AB555)</f>
        <v>3</v>
      </c>
      <c r="AT555" s="121"/>
      <c r="AU555" s="121"/>
      <c r="AV555" s="121"/>
      <c r="AW555" s="163"/>
      <c r="AX555" s="163"/>
      <c r="AZ555" s="121" t="s">
        <v>49</v>
      </c>
      <c r="BA555" s="163"/>
      <c r="BB555" s="163"/>
      <c r="BC555" s="163"/>
      <c r="BF555" s="163">
        <v>4</v>
      </c>
    </row>
    <row r="556" spans="1:74" ht="78.75" customHeight="1">
      <c r="A556" s="107">
        <v>552</v>
      </c>
      <c r="B556" s="124" t="s">
        <v>3203</v>
      </c>
      <c r="C556" s="90" t="s">
        <v>3204</v>
      </c>
      <c r="D556" s="95" t="s">
        <v>53</v>
      </c>
      <c r="E556" s="95" t="s">
        <v>160</v>
      </c>
      <c r="F556" s="95"/>
      <c r="G556" s="95"/>
      <c r="H556" s="95"/>
      <c r="I556" s="95"/>
      <c r="J556" s="115" t="s">
        <v>2322</v>
      </c>
      <c r="K556" s="193" t="s">
        <v>2951</v>
      </c>
      <c r="L556" s="121"/>
      <c r="M556" s="172" t="s">
        <v>3205</v>
      </c>
      <c r="N556" s="93" t="s">
        <v>3206</v>
      </c>
      <c r="O556" s="92" t="s">
        <v>3207</v>
      </c>
      <c r="P556" s="88" t="s">
        <v>2147</v>
      </c>
      <c r="Q556" s="88" t="s">
        <v>48</v>
      </c>
      <c r="R556" s="86">
        <v>9042334549</v>
      </c>
      <c r="S556" s="88" t="s">
        <v>3124</v>
      </c>
      <c r="T556" s="94"/>
      <c r="U556" s="140"/>
      <c r="V556" s="140"/>
      <c r="W556" s="140"/>
      <c r="X556" s="140"/>
      <c r="Y556" s="141"/>
      <c r="Z556" s="131" t="s">
        <v>4220</v>
      </c>
      <c r="AA556" s="131" t="s">
        <v>4220</v>
      </c>
      <c r="AB556" s="131" t="s">
        <v>4220</v>
      </c>
      <c r="AC556" s="131" t="s">
        <v>4220</v>
      </c>
      <c r="AD556" s="127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  <c r="AQ556" s="121"/>
      <c r="AR556" s="159"/>
      <c r="AS556" s="121">
        <f>COUNTA('All Details for ACID Pastor'!$Z556:$AB556)</f>
        <v>3</v>
      </c>
      <c r="AT556" s="121"/>
      <c r="AU556" s="121"/>
      <c r="AV556" s="121"/>
      <c r="AW556" s="163"/>
      <c r="AX556" s="163"/>
      <c r="AZ556" s="121" t="s">
        <v>49</v>
      </c>
      <c r="BA556" s="163"/>
      <c r="BB556" s="163"/>
      <c r="BC556" s="163"/>
      <c r="BF556" s="163">
        <v>7</v>
      </c>
    </row>
    <row r="557" spans="1:74" ht="70.150000000000006" customHeight="1">
      <c r="A557" s="107">
        <v>553</v>
      </c>
      <c r="B557" s="124" t="s">
        <v>3208</v>
      </c>
      <c r="C557" s="90" t="s">
        <v>3209</v>
      </c>
      <c r="D557" s="95" t="s">
        <v>53</v>
      </c>
      <c r="E557" s="95" t="s">
        <v>54</v>
      </c>
      <c r="F557" s="95"/>
      <c r="G557" s="95"/>
      <c r="H557" s="95"/>
      <c r="I557" s="95"/>
      <c r="J557" s="115" t="s">
        <v>3210</v>
      </c>
      <c r="K557" s="193" t="s">
        <v>3211</v>
      </c>
      <c r="L557" s="155" t="s">
        <v>4209</v>
      </c>
      <c r="M557" s="172" t="s">
        <v>3212</v>
      </c>
      <c r="N557" s="93" t="s">
        <v>3213</v>
      </c>
      <c r="O557" s="92" t="s">
        <v>2993</v>
      </c>
      <c r="P557" s="88" t="s">
        <v>166</v>
      </c>
      <c r="Q557" s="88" t="s">
        <v>48</v>
      </c>
      <c r="R557" s="142">
        <v>9442407066</v>
      </c>
      <c r="S557" s="88" t="s">
        <v>3214</v>
      </c>
      <c r="T557" s="94"/>
      <c r="U557" s="140"/>
      <c r="V557" s="140"/>
      <c r="W557" s="140"/>
      <c r="X557" s="140"/>
      <c r="Y557" s="141"/>
      <c r="Z557" s="131"/>
      <c r="AA557" s="127" t="s">
        <v>99</v>
      </c>
      <c r="AB557" s="131"/>
      <c r="AC557" s="131"/>
      <c r="AD557" s="127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  <c r="AQ557" s="121"/>
      <c r="AR557" s="121"/>
      <c r="AS557" s="121"/>
      <c r="AT557" s="121">
        <f>COUNTA('All Details for ACID Pastor'!$AA557:$AB557)</f>
        <v>1</v>
      </c>
      <c r="AU557" s="121"/>
      <c r="AV557" s="121"/>
      <c r="AW557" s="163"/>
      <c r="AX557" s="163"/>
      <c r="AZ557" s="121" t="s">
        <v>49</v>
      </c>
      <c r="BA557" s="163"/>
      <c r="BB557" s="163"/>
      <c r="BC557" s="163"/>
      <c r="BF557" s="163">
        <f>COUNTA('All Details for ACID Pastor'!$T557:$AB557)</f>
        <v>1</v>
      </c>
    </row>
    <row r="558" spans="1:74" ht="70.150000000000006" customHeight="1">
      <c r="A558" s="107">
        <v>554</v>
      </c>
      <c r="B558" s="124" t="s">
        <v>3215</v>
      </c>
      <c r="C558" s="90" t="s">
        <v>3216</v>
      </c>
      <c r="D558" s="95" t="s">
        <v>53</v>
      </c>
      <c r="E558" s="95" t="s">
        <v>142</v>
      </c>
      <c r="F558" s="95"/>
      <c r="G558" s="95"/>
      <c r="H558" s="95"/>
      <c r="I558" s="95"/>
      <c r="J558" s="115" t="s">
        <v>3118</v>
      </c>
      <c r="K558" s="193" t="s">
        <v>3217</v>
      </c>
      <c r="L558" s="155" t="s">
        <v>4209</v>
      </c>
      <c r="M558" s="172" t="s">
        <v>3218</v>
      </c>
      <c r="N558" s="93" t="s">
        <v>3219</v>
      </c>
      <c r="O558" s="92" t="s">
        <v>3220</v>
      </c>
      <c r="P558" s="88" t="s">
        <v>517</v>
      </c>
      <c r="Q558" s="88" t="s">
        <v>517</v>
      </c>
      <c r="R558" s="86">
        <v>9446708626</v>
      </c>
      <c r="S558" s="88" t="s">
        <v>3214</v>
      </c>
      <c r="T558" s="94"/>
      <c r="U558" s="140"/>
      <c r="V558" s="140"/>
      <c r="W558" s="140"/>
      <c r="X558" s="140"/>
      <c r="Y558" s="141"/>
      <c r="Z558" s="131"/>
      <c r="AA558" s="131"/>
      <c r="AB558" s="131"/>
      <c r="AC558" s="131"/>
      <c r="AD558" s="127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  <c r="AQ558" s="121"/>
      <c r="AR558" s="121"/>
      <c r="AS558" s="121"/>
      <c r="AT558" s="121">
        <f>COUNTA('All Details for ACID Pastor'!$AA558:$AB558)</f>
        <v>0</v>
      </c>
      <c r="AU558" s="121"/>
      <c r="AV558" s="121"/>
      <c r="AW558" s="163"/>
      <c r="AX558" s="163"/>
      <c r="AZ558" s="121" t="s">
        <v>49</v>
      </c>
      <c r="BA558" s="163"/>
      <c r="BB558" s="163"/>
      <c r="BC558" s="163"/>
      <c r="BF558" s="163">
        <f>COUNTA('All Details for ACID Pastor'!$T558:$AB558)</f>
        <v>0</v>
      </c>
    </row>
    <row r="559" spans="1:74" ht="70.150000000000006" customHeight="1">
      <c r="A559" s="107">
        <v>555</v>
      </c>
      <c r="B559" s="124" t="s">
        <v>3221</v>
      </c>
      <c r="C559" s="90" t="s">
        <v>3222</v>
      </c>
      <c r="D559" s="95" t="s">
        <v>53</v>
      </c>
      <c r="E559" s="95" t="s">
        <v>54</v>
      </c>
      <c r="F559" s="95"/>
      <c r="G559" s="95"/>
      <c r="H559" s="95"/>
      <c r="I559" s="95"/>
      <c r="J559" s="115" t="s">
        <v>221</v>
      </c>
      <c r="K559" s="193" t="s">
        <v>3223</v>
      </c>
      <c r="L559" s="155" t="s">
        <v>4209</v>
      </c>
      <c r="M559" s="172"/>
      <c r="N559" s="93" t="s">
        <v>3224</v>
      </c>
      <c r="O559" s="92" t="s">
        <v>3225</v>
      </c>
      <c r="P559" s="88" t="s">
        <v>198</v>
      </c>
      <c r="Q559" s="88" t="s">
        <v>48</v>
      </c>
      <c r="R559" s="86">
        <v>9092703881</v>
      </c>
      <c r="S559" s="88" t="s">
        <v>3214</v>
      </c>
      <c r="T559" s="94"/>
      <c r="U559" s="140"/>
      <c r="V559" s="140"/>
      <c r="W559" s="140"/>
      <c r="X559" s="140"/>
      <c r="Y559" s="141"/>
      <c r="Z559" s="131"/>
      <c r="AA559" s="127" t="s">
        <v>99</v>
      </c>
      <c r="AB559" s="131"/>
      <c r="AC559" s="131" t="s">
        <v>4220</v>
      </c>
      <c r="AD559" s="127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  <c r="AQ559" s="121"/>
      <c r="AR559" s="121"/>
      <c r="AS559" s="121"/>
      <c r="AT559" s="121">
        <f>COUNTA('All Details for ACID Pastor'!$AA559:$AB559)</f>
        <v>1</v>
      </c>
      <c r="AU559" s="121"/>
      <c r="AV559" s="121"/>
      <c r="AW559" s="163"/>
      <c r="AX559" s="163"/>
      <c r="AZ559" s="121" t="s">
        <v>49</v>
      </c>
      <c r="BA559" s="163"/>
      <c r="BB559" s="163"/>
      <c r="BC559" s="163">
        <v>1</v>
      </c>
      <c r="BF559" s="163">
        <v>2</v>
      </c>
    </row>
    <row r="560" spans="1:74" ht="70.150000000000006" customHeight="1">
      <c r="A560" s="107">
        <v>556</v>
      </c>
      <c r="B560" s="124" t="s">
        <v>3226</v>
      </c>
      <c r="C560" s="90" t="s">
        <v>3227</v>
      </c>
      <c r="D560" s="95" t="s">
        <v>53</v>
      </c>
      <c r="E560" s="95" t="s">
        <v>54</v>
      </c>
      <c r="F560" s="95"/>
      <c r="G560" s="95"/>
      <c r="H560" s="95"/>
      <c r="I560" s="95"/>
      <c r="J560" s="115" t="s">
        <v>3074</v>
      </c>
      <c r="K560" s="193" t="s">
        <v>1500</v>
      </c>
      <c r="L560" s="155" t="s">
        <v>4209</v>
      </c>
      <c r="M560" s="172"/>
      <c r="N560" s="93" t="s">
        <v>3228</v>
      </c>
      <c r="O560" s="92" t="s">
        <v>3229</v>
      </c>
      <c r="P560" s="88" t="s">
        <v>3230</v>
      </c>
      <c r="Q560" s="88" t="s">
        <v>48</v>
      </c>
      <c r="R560" s="86">
        <v>9894338704</v>
      </c>
      <c r="S560" s="88" t="s">
        <v>3214</v>
      </c>
      <c r="T560" s="94"/>
      <c r="U560" s="140"/>
      <c r="V560" s="140"/>
      <c r="W560" s="140"/>
      <c r="X560" s="140"/>
      <c r="Y560" s="141"/>
      <c r="Z560" s="127" t="s">
        <v>1005</v>
      </c>
      <c r="AA560" s="127" t="s">
        <v>1005</v>
      </c>
      <c r="AB560" s="127" t="s">
        <v>1005</v>
      </c>
      <c r="AC560" s="127" t="s">
        <v>1005</v>
      </c>
      <c r="AD560" s="127" t="s">
        <v>1005</v>
      </c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  <c r="AQ560" s="121"/>
      <c r="AR560" s="121"/>
      <c r="AS560" s="121"/>
      <c r="AT560" s="121"/>
      <c r="AU560" s="121"/>
      <c r="AV560" s="121"/>
      <c r="AW560" s="163"/>
      <c r="AX560" s="163"/>
      <c r="AZ560" s="121" t="s">
        <v>49</v>
      </c>
      <c r="BA560" s="163"/>
      <c r="BB560" s="163"/>
      <c r="BC560" s="163"/>
      <c r="BF560" s="163">
        <v>5</v>
      </c>
    </row>
    <row r="561" spans="1:58" ht="70.150000000000006" customHeight="1">
      <c r="A561" s="107">
        <v>557</v>
      </c>
      <c r="B561" s="124" t="s">
        <v>3231</v>
      </c>
      <c r="C561" s="90" t="s">
        <v>3232</v>
      </c>
      <c r="D561" s="95" t="s">
        <v>53</v>
      </c>
      <c r="E561" s="95" t="s">
        <v>68</v>
      </c>
      <c r="F561" s="95"/>
      <c r="G561" s="95"/>
      <c r="H561" s="95"/>
      <c r="I561" s="95"/>
      <c r="J561" s="115" t="s">
        <v>1140</v>
      </c>
      <c r="K561" s="193" t="s">
        <v>3233</v>
      </c>
      <c r="L561" s="155" t="s">
        <v>4209</v>
      </c>
      <c r="M561" s="172"/>
      <c r="N561" s="93" t="s">
        <v>3234</v>
      </c>
      <c r="O561" s="92" t="s">
        <v>3235</v>
      </c>
      <c r="P561" s="88" t="s">
        <v>576</v>
      </c>
      <c r="Q561" s="88" t="s">
        <v>48</v>
      </c>
      <c r="R561" s="86">
        <v>8695414111</v>
      </c>
      <c r="S561" s="88" t="s">
        <v>3214</v>
      </c>
      <c r="T561" s="94"/>
      <c r="U561" s="140"/>
      <c r="V561" s="140"/>
      <c r="W561" s="140"/>
      <c r="X561" s="140"/>
      <c r="Y561" s="141"/>
      <c r="Z561" s="131"/>
      <c r="AA561" s="131"/>
      <c r="AB561" s="131"/>
      <c r="AC561" s="131"/>
      <c r="AD561" s="127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  <c r="AQ561" s="121"/>
      <c r="AR561" s="121"/>
      <c r="AS561" s="121"/>
      <c r="AT561" s="121">
        <f>COUNTA('All Details for ACID Pastor'!$AA561:$AB561)</f>
        <v>0</v>
      </c>
      <c r="AU561" s="121"/>
      <c r="AV561" s="121"/>
      <c r="AW561" s="163"/>
      <c r="AX561" s="163"/>
      <c r="AZ561" s="121" t="s">
        <v>49</v>
      </c>
      <c r="BA561" s="163"/>
      <c r="BB561" s="163"/>
      <c r="BC561" s="163"/>
      <c r="BF561" s="163">
        <f>COUNTA('All Details for ACID Pastor'!$T561:$AB561)</f>
        <v>0</v>
      </c>
    </row>
    <row r="562" spans="1:58" ht="70.150000000000006" customHeight="1">
      <c r="A562" s="107">
        <v>558</v>
      </c>
      <c r="B562" s="124" t="s">
        <v>3236</v>
      </c>
      <c r="C562" s="90" t="s">
        <v>3237</v>
      </c>
      <c r="D562" s="91" t="s">
        <v>4213</v>
      </c>
      <c r="E562" s="95" t="s">
        <v>54</v>
      </c>
      <c r="F562" s="95"/>
      <c r="G562" s="95"/>
      <c r="H562" s="95"/>
      <c r="I562" s="95"/>
      <c r="J562" s="115" t="s">
        <v>2757</v>
      </c>
      <c r="K562" s="193" t="s">
        <v>3238</v>
      </c>
      <c r="L562" s="155" t="s">
        <v>4209</v>
      </c>
      <c r="M562" s="172" t="s">
        <v>3239</v>
      </c>
      <c r="N562" s="93" t="s">
        <v>3240</v>
      </c>
      <c r="O562" s="92" t="s">
        <v>3241</v>
      </c>
      <c r="P562" s="88" t="s">
        <v>1102</v>
      </c>
      <c r="Q562" s="88" t="s">
        <v>48</v>
      </c>
      <c r="R562" s="86">
        <v>9843175422</v>
      </c>
      <c r="S562" s="88" t="s">
        <v>3214</v>
      </c>
      <c r="T562" s="94"/>
      <c r="U562" s="140"/>
      <c r="V562" s="140"/>
      <c r="W562" s="140"/>
      <c r="X562" s="140"/>
      <c r="Y562" s="141"/>
      <c r="Z562" s="131"/>
      <c r="AA562" s="131"/>
      <c r="AB562" s="146">
        <v>44591</v>
      </c>
      <c r="AC562" s="146">
        <v>44956</v>
      </c>
      <c r="AD562" s="150">
        <v>45321</v>
      </c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>
        <f>COUNTA('All Details for ACID Pastor'!$AA562:$AB562)</f>
        <v>1</v>
      </c>
      <c r="AU562" s="121"/>
      <c r="AV562" s="121"/>
      <c r="AW562" s="163"/>
      <c r="AX562" s="163"/>
      <c r="AZ562" s="121" t="s">
        <v>49</v>
      </c>
      <c r="BA562" s="163"/>
      <c r="BB562" s="163"/>
      <c r="BC562" s="163"/>
      <c r="BF562" s="163">
        <v>4</v>
      </c>
    </row>
    <row r="563" spans="1:58" ht="78.75" customHeight="1">
      <c r="A563" s="107">
        <v>559</v>
      </c>
      <c r="B563" s="124" t="s">
        <v>3242</v>
      </c>
      <c r="C563" s="90" t="s">
        <v>3243</v>
      </c>
      <c r="D563" s="95" t="s">
        <v>53</v>
      </c>
      <c r="E563" s="95" t="s">
        <v>160</v>
      </c>
      <c r="F563" s="95"/>
      <c r="G563" s="95"/>
      <c r="H563" s="95"/>
      <c r="I563" s="95"/>
      <c r="J563" s="115" t="s">
        <v>3244</v>
      </c>
      <c r="K563" s="193" t="s">
        <v>3245</v>
      </c>
      <c r="L563" s="155" t="s">
        <v>4209</v>
      </c>
      <c r="M563" s="172" t="s">
        <v>3246</v>
      </c>
      <c r="N563" s="93" t="s">
        <v>3247</v>
      </c>
      <c r="O563" s="92" t="s">
        <v>2318</v>
      </c>
      <c r="P563" s="88" t="s">
        <v>769</v>
      </c>
      <c r="Q563" s="88" t="s">
        <v>48</v>
      </c>
      <c r="R563" s="86">
        <v>8939062883</v>
      </c>
      <c r="S563" s="88" t="s">
        <v>3214</v>
      </c>
      <c r="T563" s="94"/>
      <c r="U563" s="140"/>
      <c r="V563" s="140"/>
      <c r="W563" s="140"/>
      <c r="X563" s="140"/>
      <c r="Y563" s="141"/>
      <c r="Z563" s="131"/>
      <c r="AA563" s="127" t="s">
        <v>165</v>
      </c>
      <c r="AB563" s="127" t="s">
        <v>165</v>
      </c>
      <c r="AC563" s="131" t="s">
        <v>4220</v>
      </c>
      <c r="AD563" s="127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  <c r="AQ563" s="121"/>
      <c r="AR563" s="121"/>
      <c r="AS563" s="121"/>
      <c r="AT563" s="121">
        <v>3</v>
      </c>
      <c r="AU563" s="121"/>
      <c r="AV563" s="121"/>
      <c r="AW563" s="163"/>
      <c r="AX563" s="163"/>
      <c r="AZ563" s="121" t="s">
        <v>49</v>
      </c>
      <c r="BA563" s="163"/>
      <c r="BB563" s="163"/>
      <c r="BC563" s="163"/>
      <c r="BF563" s="163">
        <f>COUNTA('All Details for ACID Pastor'!$T563:$AB563)</f>
        <v>2</v>
      </c>
    </row>
    <row r="564" spans="1:58" ht="70.150000000000006" customHeight="1">
      <c r="A564" s="107">
        <v>560</v>
      </c>
      <c r="B564" s="124" t="s">
        <v>3248</v>
      </c>
      <c r="C564" s="90" t="s">
        <v>3249</v>
      </c>
      <c r="D564" s="95" t="s">
        <v>53</v>
      </c>
      <c r="E564" s="95" t="s">
        <v>54</v>
      </c>
      <c r="F564" s="95"/>
      <c r="G564" s="95"/>
      <c r="H564" s="95"/>
      <c r="I564" s="95"/>
      <c r="J564" s="115" t="s">
        <v>2322</v>
      </c>
      <c r="K564" s="193" t="s">
        <v>3250</v>
      </c>
      <c r="L564" s="155" t="s">
        <v>4209</v>
      </c>
      <c r="M564" s="172"/>
      <c r="N564" s="93" t="s">
        <v>3251</v>
      </c>
      <c r="O564" s="92" t="s">
        <v>3252</v>
      </c>
      <c r="P564" s="88" t="s">
        <v>1655</v>
      </c>
      <c r="Q564" s="88" t="s">
        <v>48</v>
      </c>
      <c r="R564" s="86">
        <v>9442988234</v>
      </c>
      <c r="S564" s="88" t="s">
        <v>3214</v>
      </c>
      <c r="T564" s="94"/>
      <c r="U564" s="140"/>
      <c r="V564" s="140"/>
      <c r="W564" s="140"/>
      <c r="X564" s="140"/>
      <c r="Y564" s="141"/>
      <c r="Z564" s="131"/>
      <c r="AA564" s="150">
        <v>44471</v>
      </c>
      <c r="AB564" s="131"/>
      <c r="AC564" s="131"/>
      <c r="AD564" s="127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  <c r="AQ564" s="121"/>
      <c r="AR564" s="121"/>
      <c r="AS564" s="121"/>
      <c r="AT564" s="121">
        <f>COUNTA('All Details for ACID Pastor'!$AA564:$AB564)</f>
        <v>1</v>
      </c>
      <c r="AU564" s="121"/>
      <c r="AV564" s="121"/>
      <c r="AW564" s="163"/>
      <c r="AX564" s="163"/>
      <c r="AZ564" s="121" t="s">
        <v>49</v>
      </c>
      <c r="BA564" s="163"/>
      <c r="BB564" s="163"/>
      <c r="BC564" s="163"/>
      <c r="BF564" s="163">
        <f>COUNTA('All Details for ACID Pastor'!$T564:$AB564)</f>
        <v>1</v>
      </c>
    </row>
    <row r="565" spans="1:58" ht="70.150000000000006" customHeight="1">
      <c r="A565" s="107">
        <v>561</v>
      </c>
      <c r="B565" s="124" t="s">
        <v>3253</v>
      </c>
      <c r="C565" s="90" t="s">
        <v>3254</v>
      </c>
      <c r="D565" s="95" t="s">
        <v>53</v>
      </c>
      <c r="E565" s="95" t="s">
        <v>54</v>
      </c>
      <c r="F565" s="95"/>
      <c r="G565" s="95"/>
      <c r="H565" s="95"/>
      <c r="I565" s="95"/>
      <c r="J565" s="86" t="s">
        <v>202</v>
      </c>
      <c r="K565" s="259" t="s">
        <v>3255</v>
      </c>
      <c r="L565" s="155" t="s">
        <v>4209</v>
      </c>
      <c r="M565" s="172" t="s">
        <v>3256</v>
      </c>
      <c r="N565" s="93" t="s">
        <v>3257</v>
      </c>
      <c r="O565" s="92" t="s">
        <v>3258</v>
      </c>
      <c r="P565" s="88" t="s">
        <v>1217</v>
      </c>
      <c r="Q565" s="88" t="s">
        <v>48</v>
      </c>
      <c r="R565" s="86">
        <v>9487194325</v>
      </c>
      <c r="S565" s="88" t="s">
        <v>3214</v>
      </c>
      <c r="T565" s="94"/>
      <c r="U565" s="140"/>
      <c r="V565" s="140"/>
      <c r="W565" s="140"/>
      <c r="X565" s="140"/>
      <c r="Y565" s="141"/>
      <c r="Z565" s="131"/>
      <c r="AA565" s="131"/>
      <c r="AB565" s="131"/>
      <c r="AC565" s="131"/>
      <c r="AD565" s="127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  <c r="AQ565" s="121"/>
      <c r="AR565" s="121"/>
      <c r="AS565" s="121"/>
      <c r="AT565" s="121">
        <f>COUNTA('All Details for ACID Pastor'!$AA565:$AB565)</f>
        <v>0</v>
      </c>
      <c r="AU565" s="121"/>
      <c r="AV565" s="121"/>
      <c r="AW565" s="163"/>
      <c r="AX565" s="163"/>
      <c r="AZ565" s="121" t="s">
        <v>49</v>
      </c>
      <c r="BA565" s="163"/>
      <c r="BB565" s="163"/>
      <c r="BC565" s="163"/>
      <c r="BF565" s="163">
        <f>COUNTA('All Details for ACID Pastor'!$T565:$AB565)</f>
        <v>0</v>
      </c>
    </row>
    <row r="566" spans="1:58" ht="70.150000000000006" customHeight="1">
      <c r="A566" s="107">
        <v>562</v>
      </c>
      <c r="B566" s="124" t="s">
        <v>3259</v>
      </c>
      <c r="C566" s="90" t="s">
        <v>3260</v>
      </c>
      <c r="D566" s="95" t="s">
        <v>53</v>
      </c>
      <c r="E566" s="88" t="s">
        <v>54</v>
      </c>
      <c r="F566" s="88"/>
      <c r="G566" s="88"/>
      <c r="H566" s="88"/>
      <c r="I566" s="88"/>
      <c r="J566" s="86" t="s">
        <v>3261</v>
      </c>
      <c r="K566" s="259" t="s">
        <v>3262</v>
      </c>
      <c r="L566" s="155" t="s">
        <v>4209</v>
      </c>
      <c r="M566" s="172" t="s">
        <v>3263</v>
      </c>
      <c r="N566" s="93" t="s">
        <v>3264</v>
      </c>
      <c r="O566" s="92" t="s">
        <v>3265</v>
      </c>
      <c r="P566" s="88" t="s">
        <v>626</v>
      </c>
      <c r="Q566" s="88" t="s">
        <v>626</v>
      </c>
      <c r="R566" s="86">
        <v>9994983364</v>
      </c>
      <c r="S566" s="88" t="s">
        <v>3266</v>
      </c>
      <c r="T566" s="94"/>
      <c r="U566" s="94"/>
      <c r="V566" s="94"/>
      <c r="W566" s="94"/>
      <c r="X566" s="94"/>
      <c r="Y566" s="94"/>
      <c r="Z566" s="131"/>
      <c r="AA566" s="131"/>
      <c r="AB566" s="131"/>
      <c r="AC566" s="131"/>
      <c r="AD566" s="127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  <c r="AQ566" s="121"/>
      <c r="AR566" s="121"/>
      <c r="AS566" s="121"/>
      <c r="AT566" s="121"/>
      <c r="AU566" s="121">
        <f>COUNTA('All Details for ACID Pastor'!$AA566:$AB566)</f>
        <v>0</v>
      </c>
      <c r="AV566" s="121"/>
      <c r="AW566" s="163"/>
      <c r="AX566" s="163"/>
      <c r="AZ566" s="121" t="s">
        <v>49</v>
      </c>
      <c r="BA566" s="163"/>
      <c r="BB566" s="163"/>
      <c r="BC566" s="163"/>
      <c r="BF566" s="163">
        <f>COUNTA('All Details for ACID Pastor'!$T566:$AB566)</f>
        <v>0</v>
      </c>
    </row>
    <row r="567" spans="1:58" ht="70.150000000000006" customHeight="1">
      <c r="A567" s="107">
        <v>563</v>
      </c>
      <c r="B567" s="124" t="s">
        <v>3267</v>
      </c>
      <c r="C567" s="90" t="s">
        <v>3268</v>
      </c>
      <c r="D567" s="95" t="s">
        <v>53</v>
      </c>
      <c r="E567" s="88" t="s">
        <v>54</v>
      </c>
      <c r="F567" s="88"/>
      <c r="G567" s="88"/>
      <c r="H567" s="88"/>
      <c r="I567" s="88"/>
      <c r="J567" s="86" t="s">
        <v>3269</v>
      </c>
      <c r="K567" s="259" t="s">
        <v>3270</v>
      </c>
      <c r="L567" s="155" t="s">
        <v>4209</v>
      </c>
      <c r="M567" s="172" t="s">
        <v>3271</v>
      </c>
      <c r="N567" s="93" t="s">
        <v>3272</v>
      </c>
      <c r="O567" s="92" t="s">
        <v>3273</v>
      </c>
      <c r="P567" s="88" t="s">
        <v>3274</v>
      </c>
      <c r="Q567" s="88" t="s">
        <v>3275</v>
      </c>
      <c r="R567" s="86">
        <v>8658810075</v>
      </c>
      <c r="S567" s="88" t="s">
        <v>3276</v>
      </c>
      <c r="T567" s="129"/>
      <c r="U567" s="129"/>
      <c r="V567" s="129"/>
      <c r="W567" s="129"/>
      <c r="X567" s="129"/>
      <c r="Y567" s="129"/>
      <c r="Z567" s="130"/>
      <c r="AA567" s="130"/>
      <c r="AB567" s="130"/>
      <c r="AC567" s="130"/>
      <c r="AD567" s="225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  <c r="AQ567" s="121"/>
      <c r="AR567" s="121"/>
      <c r="AS567" s="121"/>
      <c r="AT567" s="121"/>
      <c r="AU567" s="121">
        <f>COUNTA('All Details for ACID Pastor'!$AA567:$AB567)</f>
        <v>0</v>
      </c>
      <c r="AV567" s="121"/>
      <c r="AW567" s="163"/>
      <c r="AX567" s="163"/>
      <c r="AZ567" s="121" t="s">
        <v>3277</v>
      </c>
      <c r="BA567" s="163"/>
      <c r="BB567" s="163"/>
      <c r="BC567" s="163"/>
      <c r="BF567" s="163">
        <f>COUNTA('All Details for ACID Pastor'!$T567:$AB567)</f>
        <v>0</v>
      </c>
    </row>
    <row r="568" spans="1:58" ht="70.150000000000006" customHeight="1">
      <c r="A568" s="107">
        <v>564</v>
      </c>
      <c r="B568" s="124" t="s">
        <v>3278</v>
      </c>
      <c r="C568" s="90" t="s">
        <v>3279</v>
      </c>
      <c r="D568" s="95" t="s">
        <v>53</v>
      </c>
      <c r="E568" s="88" t="s">
        <v>3280</v>
      </c>
      <c r="F568" s="88"/>
      <c r="G568" s="88"/>
      <c r="H568" s="88"/>
      <c r="I568" s="88"/>
      <c r="J568" s="86" t="s">
        <v>3269</v>
      </c>
      <c r="K568" s="259" t="s">
        <v>3281</v>
      </c>
      <c r="L568" s="155" t="s">
        <v>4209</v>
      </c>
      <c r="M568" s="172"/>
      <c r="N568" s="93" t="s">
        <v>3282</v>
      </c>
      <c r="O568" s="92" t="s">
        <v>3283</v>
      </c>
      <c r="P568" s="88" t="s">
        <v>3274</v>
      </c>
      <c r="Q568" s="88" t="s">
        <v>3275</v>
      </c>
      <c r="R568" s="86">
        <v>8458083060</v>
      </c>
      <c r="S568" s="88" t="s">
        <v>3266</v>
      </c>
      <c r="T568" s="129"/>
      <c r="U568" s="129"/>
      <c r="V568" s="129"/>
      <c r="W568" s="129"/>
      <c r="X568" s="129"/>
      <c r="Y568" s="129"/>
      <c r="Z568" s="130"/>
      <c r="AA568" s="130"/>
      <c r="AB568" s="130"/>
      <c r="AC568" s="130"/>
      <c r="AD568" s="225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  <c r="AQ568" s="121"/>
      <c r="AR568" s="121"/>
      <c r="AS568" s="121"/>
      <c r="AT568" s="121"/>
      <c r="AU568" s="121">
        <f>COUNTA('All Details for ACID Pastor'!$AA568:$AB568)</f>
        <v>0</v>
      </c>
      <c r="AV568" s="121"/>
      <c r="AW568" s="163"/>
      <c r="AX568" s="163"/>
      <c r="AZ568" s="121" t="s">
        <v>49</v>
      </c>
      <c r="BA568" s="163"/>
      <c r="BB568" s="163"/>
      <c r="BC568" s="163"/>
      <c r="BF568" s="163">
        <f>COUNTA('All Details for ACID Pastor'!$T568:$AB568)</f>
        <v>0</v>
      </c>
    </row>
    <row r="569" spans="1:58" ht="70.150000000000006" customHeight="1">
      <c r="A569" s="107">
        <v>565</v>
      </c>
      <c r="B569" s="124" t="s">
        <v>3284</v>
      </c>
      <c r="C569" s="90" t="s">
        <v>3285</v>
      </c>
      <c r="D569" s="95" t="s">
        <v>53</v>
      </c>
      <c r="E569" s="88" t="s">
        <v>54</v>
      </c>
      <c r="F569" s="88"/>
      <c r="G569" s="88"/>
      <c r="H569" s="88"/>
      <c r="I569" s="88"/>
      <c r="J569" s="86" t="s">
        <v>3286</v>
      </c>
      <c r="K569" s="259" t="s">
        <v>3287</v>
      </c>
      <c r="L569" s="155" t="s">
        <v>4209</v>
      </c>
      <c r="M569" s="172"/>
      <c r="N569" s="93" t="s">
        <v>3288</v>
      </c>
      <c r="O569" s="92" t="s">
        <v>3289</v>
      </c>
      <c r="P569" s="88" t="s">
        <v>198</v>
      </c>
      <c r="Q569" s="88" t="s">
        <v>48</v>
      </c>
      <c r="R569" s="86">
        <v>9150805882</v>
      </c>
      <c r="S569" s="88" t="s">
        <v>3266</v>
      </c>
      <c r="T569" s="129"/>
      <c r="U569" s="129"/>
      <c r="V569" s="129"/>
      <c r="W569" s="129"/>
      <c r="X569" s="129"/>
      <c r="Y569" s="129"/>
      <c r="Z569" s="130"/>
      <c r="AA569" s="130"/>
      <c r="AB569" s="130"/>
      <c r="AC569" s="130"/>
      <c r="AD569" s="225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  <c r="AQ569" s="121"/>
      <c r="AR569" s="121"/>
      <c r="AS569" s="121"/>
      <c r="AT569" s="121"/>
      <c r="AU569" s="121">
        <f>COUNTA('All Details for ACID Pastor'!$AA569:$AB569)</f>
        <v>0</v>
      </c>
      <c r="AV569" s="121"/>
      <c r="AW569" s="163"/>
      <c r="AX569" s="163"/>
      <c r="AZ569" s="121" t="s">
        <v>49</v>
      </c>
      <c r="BA569" s="163"/>
      <c r="BB569" s="163"/>
      <c r="BC569" s="163"/>
      <c r="BF569" s="163">
        <f>COUNTA('All Details for ACID Pastor'!$T569:$AB569)</f>
        <v>0</v>
      </c>
    </row>
    <row r="570" spans="1:58" ht="70.150000000000006" customHeight="1">
      <c r="A570" s="107">
        <v>566</v>
      </c>
      <c r="B570" s="124" t="s">
        <v>3290</v>
      </c>
      <c r="C570" s="90" t="s">
        <v>3291</v>
      </c>
      <c r="D570" s="95" t="s">
        <v>53</v>
      </c>
      <c r="E570" s="88" t="s">
        <v>160</v>
      </c>
      <c r="F570" s="88"/>
      <c r="G570" s="88"/>
      <c r="H570" s="88"/>
      <c r="I570" s="88"/>
      <c r="J570" s="86" t="s">
        <v>3286</v>
      </c>
      <c r="K570" s="259" t="s">
        <v>3292</v>
      </c>
      <c r="L570" s="121"/>
      <c r="M570" s="172" t="s">
        <v>3293</v>
      </c>
      <c r="N570" s="93" t="s">
        <v>3294</v>
      </c>
      <c r="O570" s="92" t="s">
        <v>3295</v>
      </c>
      <c r="P570" s="88" t="s">
        <v>198</v>
      </c>
      <c r="Q570" s="88" t="s">
        <v>48</v>
      </c>
      <c r="R570" s="86">
        <v>9524913661</v>
      </c>
      <c r="S570" s="88" t="s">
        <v>3266</v>
      </c>
      <c r="T570" s="129"/>
      <c r="U570" s="129"/>
      <c r="V570" s="129"/>
      <c r="W570" s="129"/>
      <c r="X570" s="129"/>
      <c r="Y570" s="129"/>
      <c r="Z570" s="130"/>
      <c r="AA570" s="127" t="s">
        <v>99</v>
      </c>
      <c r="AB570" s="130"/>
      <c r="AC570" s="130" t="s">
        <v>4220</v>
      </c>
      <c r="AD570" s="225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  <c r="AQ570" s="121"/>
      <c r="AR570" s="121"/>
      <c r="AS570" s="121"/>
      <c r="AT570" s="121"/>
      <c r="AU570" s="121">
        <f>COUNTA('All Details for ACID Pastor'!$AA570:$AB570)</f>
        <v>1</v>
      </c>
      <c r="AV570" s="121"/>
      <c r="AW570" s="163"/>
      <c r="AX570" s="163"/>
      <c r="AZ570" s="121" t="s">
        <v>49</v>
      </c>
      <c r="BA570" s="163"/>
      <c r="BB570" s="163"/>
      <c r="BC570" s="163">
        <v>1</v>
      </c>
      <c r="BF570" s="163">
        <v>2</v>
      </c>
    </row>
    <row r="571" spans="1:58" ht="70.150000000000006" customHeight="1">
      <c r="A571" s="107">
        <v>567</v>
      </c>
      <c r="B571" s="124" t="s">
        <v>3296</v>
      </c>
      <c r="C571" s="90" t="s">
        <v>3297</v>
      </c>
      <c r="D571" s="95" t="s">
        <v>53</v>
      </c>
      <c r="E571" s="88" t="s">
        <v>54</v>
      </c>
      <c r="F571" s="88"/>
      <c r="G571" s="88"/>
      <c r="H571" s="88"/>
      <c r="I571" s="88"/>
      <c r="J571" s="86" t="s">
        <v>3269</v>
      </c>
      <c r="K571" s="259" t="s">
        <v>3298</v>
      </c>
      <c r="L571" s="155" t="s">
        <v>4209</v>
      </c>
      <c r="M571" s="172" t="s">
        <v>3299</v>
      </c>
      <c r="N571" s="93" t="s">
        <v>3300</v>
      </c>
      <c r="O571" s="92" t="s">
        <v>3301</v>
      </c>
      <c r="P571" s="88" t="s">
        <v>198</v>
      </c>
      <c r="Q571" s="88" t="s">
        <v>48</v>
      </c>
      <c r="R571" s="86">
        <v>7667507850</v>
      </c>
      <c r="S571" s="88" t="s">
        <v>3266</v>
      </c>
      <c r="T571" s="129"/>
      <c r="U571" s="129"/>
      <c r="V571" s="129"/>
      <c r="W571" s="129"/>
      <c r="X571" s="129"/>
      <c r="Y571" s="129"/>
      <c r="Z571" s="130"/>
      <c r="AA571" s="127" t="s">
        <v>99</v>
      </c>
      <c r="AB571" s="130"/>
      <c r="AC571" s="130"/>
      <c r="AD571" s="225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  <c r="AQ571" s="121"/>
      <c r="AR571" s="121"/>
      <c r="AS571" s="121"/>
      <c r="AT571" s="121"/>
      <c r="AU571" s="121">
        <f>COUNTA('All Details for ACID Pastor'!$AA571:$AB571)</f>
        <v>1</v>
      </c>
      <c r="AV571" s="121"/>
      <c r="AW571" s="163"/>
      <c r="AX571" s="163"/>
      <c r="AZ571" s="121" t="s">
        <v>49</v>
      </c>
      <c r="BA571" s="163"/>
      <c r="BB571" s="163"/>
      <c r="BC571" s="163"/>
      <c r="BF571" s="163">
        <f>COUNTA('All Details for ACID Pastor'!$T571:$AB571)</f>
        <v>1</v>
      </c>
    </row>
    <row r="572" spans="1:58" ht="70.150000000000006" customHeight="1">
      <c r="A572" s="107">
        <v>568</v>
      </c>
      <c r="B572" s="124" t="s">
        <v>3302</v>
      </c>
      <c r="C572" s="90" t="s">
        <v>3303</v>
      </c>
      <c r="D572" s="95" t="s">
        <v>53</v>
      </c>
      <c r="E572" s="88" t="s">
        <v>54</v>
      </c>
      <c r="F572" s="88"/>
      <c r="G572" s="88"/>
      <c r="H572" s="88"/>
      <c r="I572" s="88"/>
      <c r="J572" s="86" t="s">
        <v>3286</v>
      </c>
      <c r="K572" s="259" t="s">
        <v>3304</v>
      </c>
      <c r="L572" s="155" t="s">
        <v>4209</v>
      </c>
      <c r="M572" s="172"/>
      <c r="N572" s="93" t="s">
        <v>3305</v>
      </c>
      <c r="O572" s="92" t="s">
        <v>3306</v>
      </c>
      <c r="P572" s="88" t="s">
        <v>198</v>
      </c>
      <c r="Q572" s="88" t="s">
        <v>48</v>
      </c>
      <c r="R572" s="86">
        <v>8124269986</v>
      </c>
      <c r="S572" s="88" t="s">
        <v>3266</v>
      </c>
      <c r="T572" s="129"/>
      <c r="U572" s="129"/>
      <c r="V572" s="129"/>
      <c r="W572" s="129"/>
      <c r="X572" s="129"/>
      <c r="Y572" s="129"/>
      <c r="Z572" s="130"/>
      <c r="AA572" s="130"/>
      <c r="AB572" s="130"/>
      <c r="AC572" s="130" t="s">
        <v>4220</v>
      </c>
      <c r="AD572" s="225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  <c r="AQ572" s="121"/>
      <c r="AR572" s="121"/>
      <c r="AS572" s="121"/>
      <c r="AT572" s="121"/>
      <c r="AU572" s="121">
        <f>COUNTA('All Details for ACID Pastor'!$AA572:$AB572)</f>
        <v>0</v>
      </c>
      <c r="AV572" s="121"/>
      <c r="AW572" s="163"/>
      <c r="AX572" s="163"/>
      <c r="AZ572" s="121" t="s">
        <v>49</v>
      </c>
      <c r="BA572" s="163"/>
      <c r="BB572" s="163"/>
      <c r="BC572" s="163">
        <v>1</v>
      </c>
      <c r="BF572" s="163">
        <v>1</v>
      </c>
    </row>
    <row r="573" spans="1:58" ht="70.150000000000006" customHeight="1">
      <c r="A573" s="107">
        <v>569</v>
      </c>
      <c r="B573" s="124" t="s">
        <v>3307</v>
      </c>
      <c r="C573" s="90" t="s">
        <v>3308</v>
      </c>
      <c r="D573" s="95" t="s">
        <v>53</v>
      </c>
      <c r="E573" s="88" t="s">
        <v>54</v>
      </c>
      <c r="F573" s="88"/>
      <c r="G573" s="88"/>
      <c r="H573" s="88"/>
      <c r="I573" s="88"/>
      <c r="J573" s="86" t="s">
        <v>3309</v>
      </c>
      <c r="K573" s="259" t="s">
        <v>3310</v>
      </c>
      <c r="L573" s="155" t="s">
        <v>4209</v>
      </c>
      <c r="M573" s="172"/>
      <c r="N573" s="93" t="s">
        <v>3311</v>
      </c>
      <c r="O573" s="92" t="s">
        <v>3312</v>
      </c>
      <c r="P573" s="88" t="s">
        <v>503</v>
      </c>
      <c r="Q573" s="88" t="s">
        <v>48</v>
      </c>
      <c r="R573" s="86">
        <v>9750540249</v>
      </c>
      <c r="S573" s="88" t="s">
        <v>3266</v>
      </c>
      <c r="T573" s="129"/>
      <c r="U573" s="129"/>
      <c r="V573" s="129"/>
      <c r="W573" s="129"/>
      <c r="X573" s="129"/>
      <c r="Y573" s="129"/>
      <c r="Z573" s="130"/>
      <c r="AA573" s="130"/>
      <c r="AB573" s="130"/>
      <c r="AC573" s="130"/>
      <c r="AD573" s="225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  <c r="AQ573" s="121"/>
      <c r="AR573" s="121"/>
      <c r="AS573" s="121"/>
      <c r="AT573" s="121"/>
      <c r="AU573" s="121">
        <f>COUNTA('All Details for ACID Pastor'!$AA573:$AB573)</f>
        <v>0</v>
      </c>
      <c r="AV573" s="121"/>
      <c r="AW573" s="163"/>
      <c r="AX573" s="163"/>
      <c r="AZ573" s="121" t="s">
        <v>49</v>
      </c>
      <c r="BA573" s="163"/>
      <c r="BB573" s="163"/>
      <c r="BC573" s="163"/>
      <c r="BF573" s="163">
        <f>COUNTA('All Details for ACID Pastor'!$T573:$AB573)</f>
        <v>0</v>
      </c>
    </row>
    <row r="574" spans="1:58" ht="70.150000000000006" customHeight="1">
      <c r="A574" s="107">
        <v>570</v>
      </c>
      <c r="B574" s="124" t="s">
        <v>3313</v>
      </c>
      <c r="C574" s="90" t="s">
        <v>3314</v>
      </c>
      <c r="D574" s="95" t="s">
        <v>53</v>
      </c>
      <c r="E574" s="88" t="s">
        <v>160</v>
      </c>
      <c r="F574" s="88"/>
      <c r="G574" s="88"/>
      <c r="H574" s="88"/>
      <c r="I574" s="88"/>
      <c r="J574" s="86" t="s">
        <v>3309</v>
      </c>
      <c r="K574" s="259" t="s">
        <v>3315</v>
      </c>
      <c r="L574" s="155" t="s">
        <v>4209</v>
      </c>
      <c r="M574" s="172"/>
      <c r="N574" s="93" t="s">
        <v>3316</v>
      </c>
      <c r="O574" s="92" t="s">
        <v>3312</v>
      </c>
      <c r="P574" s="88" t="s">
        <v>503</v>
      </c>
      <c r="Q574" s="88" t="s">
        <v>48</v>
      </c>
      <c r="R574" s="86">
        <v>9489326641</v>
      </c>
      <c r="S574" s="88" t="s">
        <v>3266</v>
      </c>
      <c r="T574" s="129"/>
      <c r="U574" s="129"/>
      <c r="V574" s="129"/>
      <c r="W574" s="129"/>
      <c r="X574" s="129"/>
      <c r="Y574" s="129"/>
      <c r="Z574" s="130"/>
      <c r="AA574" s="130"/>
      <c r="AB574" s="130"/>
      <c r="AC574" s="130"/>
      <c r="AD574" s="225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  <c r="AQ574" s="121"/>
      <c r="AR574" s="121"/>
      <c r="AS574" s="121"/>
      <c r="AT574" s="121"/>
      <c r="AU574" s="121">
        <f>COUNTA('All Details for ACID Pastor'!$AA574:$AB574)</f>
        <v>0</v>
      </c>
      <c r="AV574" s="121"/>
      <c r="AW574" s="163"/>
      <c r="AX574" s="163"/>
      <c r="AZ574" s="121" t="s">
        <v>49</v>
      </c>
      <c r="BA574" s="163"/>
      <c r="BB574" s="163"/>
      <c r="BC574" s="163"/>
      <c r="BF574" s="163">
        <f>COUNTA('All Details for ACID Pastor'!$T574:$AB574)</f>
        <v>0</v>
      </c>
    </row>
    <row r="575" spans="1:58" ht="78.75" customHeight="1">
      <c r="A575" s="107">
        <v>571</v>
      </c>
      <c r="B575" s="124" t="s">
        <v>3317</v>
      </c>
      <c r="C575" s="90" t="s">
        <v>3318</v>
      </c>
      <c r="D575" s="95" t="s">
        <v>53</v>
      </c>
      <c r="E575" s="88" t="s">
        <v>54</v>
      </c>
      <c r="F575" s="88"/>
      <c r="G575" s="88"/>
      <c r="H575" s="88"/>
      <c r="I575" s="88"/>
      <c r="J575" s="86" t="s">
        <v>3309</v>
      </c>
      <c r="K575" s="259" t="s">
        <v>3319</v>
      </c>
      <c r="L575" s="155" t="s">
        <v>4209</v>
      </c>
      <c r="M575" s="172" t="s">
        <v>3320</v>
      </c>
      <c r="N575" s="93" t="s">
        <v>3321</v>
      </c>
      <c r="O575" s="92" t="s">
        <v>3322</v>
      </c>
      <c r="P575" s="88" t="s">
        <v>64</v>
      </c>
      <c r="Q575" s="88" t="s">
        <v>48</v>
      </c>
      <c r="R575" s="86">
        <v>9003262375</v>
      </c>
      <c r="S575" s="88" t="s">
        <v>3266</v>
      </c>
      <c r="T575" s="129"/>
      <c r="U575" s="129"/>
      <c r="V575" s="129"/>
      <c r="W575" s="129"/>
      <c r="X575" s="129"/>
      <c r="Y575" s="129"/>
      <c r="Z575" s="130"/>
      <c r="AA575" s="130"/>
      <c r="AB575" s="130"/>
      <c r="AC575" s="130"/>
      <c r="AD575" s="225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  <c r="AQ575" s="121"/>
      <c r="AR575" s="121"/>
      <c r="AS575" s="121"/>
      <c r="AT575" s="121"/>
      <c r="AU575" s="121">
        <f>COUNTA('All Details for ACID Pastor'!$AA575:$AB575)</f>
        <v>0</v>
      </c>
      <c r="AV575" s="121"/>
      <c r="AW575" s="163"/>
      <c r="AX575" s="163"/>
      <c r="AZ575" s="121" t="s">
        <v>49</v>
      </c>
      <c r="BA575" s="163"/>
      <c r="BB575" s="163"/>
      <c r="BC575" s="163"/>
      <c r="BF575" s="163">
        <f>COUNTA('All Details for ACID Pastor'!$T575:$AB575)</f>
        <v>0</v>
      </c>
    </row>
    <row r="576" spans="1:58" ht="70.150000000000006" customHeight="1">
      <c r="A576" s="107">
        <v>572</v>
      </c>
      <c r="B576" s="124" t="s">
        <v>3323</v>
      </c>
      <c r="C576" s="90" t="s">
        <v>3324</v>
      </c>
      <c r="D576" s="95" t="s">
        <v>53</v>
      </c>
      <c r="E576" s="88" t="s">
        <v>54</v>
      </c>
      <c r="F576" s="88"/>
      <c r="G576" s="88"/>
      <c r="H576" s="88"/>
      <c r="I576" s="88"/>
      <c r="J576" s="86" t="s">
        <v>3309</v>
      </c>
      <c r="K576" s="259" t="s">
        <v>3325</v>
      </c>
      <c r="L576" s="155" t="s">
        <v>4209</v>
      </c>
      <c r="M576" s="172"/>
      <c r="N576" s="93" t="s">
        <v>3326</v>
      </c>
      <c r="O576" s="92" t="s">
        <v>3327</v>
      </c>
      <c r="P576" s="88" t="s">
        <v>1102</v>
      </c>
      <c r="Q576" s="88" t="s">
        <v>48</v>
      </c>
      <c r="R576" s="86">
        <v>9443112606</v>
      </c>
      <c r="S576" s="88" t="s">
        <v>3266</v>
      </c>
      <c r="T576" s="129"/>
      <c r="U576" s="129"/>
      <c r="V576" s="129"/>
      <c r="W576" s="129"/>
      <c r="X576" s="129"/>
      <c r="Y576" s="129"/>
      <c r="Z576" s="130"/>
      <c r="AA576" s="131" t="s">
        <v>129</v>
      </c>
      <c r="AB576" s="131" t="s">
        <v>129</v>
      </c>
      <c r="AC576" s="131" t="s">
        <v>129</v>
      </c>
      <c r="AD576" s="225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63"/>
      <c r="AX576" s="163"/>
      <c r="AZ576" s="121" t="s">
        <v>49</v>
      </c>
      <c r="BA576" s="163"/>
      <c r="BB576" s="163">
        <v>3</v>
      </c>
      <c r="BC576" s="163"/>
      <c r="BF576" s="163">
        <v>3</v>
      </c>
    </row>
    <row r="577" spans="1:58" ht="70.150000000000006" customHeight="1">
      <c r="A577" s="107">
        <v>573</v>
      </c>
      <c r="B577" s="124" t="s">
        <v>3328</v>
      </c>
      <c r="C577" s="90" t="s">
        <v>3329</v>
      </c>
      <c r="D577" s="95" t="s">
        <v>53</v>
      </c>
      <c r="E577" s="88" t="s">
        <v>160</v>
      </c>
      <c r="F577" s="88"/>
      <c r="G577" s="88"/>
      <c r="H577" s="88"/>
      <c r="I577" s="88"/>
      <c r="J577" s="86" t="s">
        <v>3330</v>
      </c>
      <c r="K577" s="259" t="s">
        <v>3331</v>
      </c>
      <c r="L577" s="155" t="s">
        <v>4209</v>
      </c>
      <c r="M577" s="172"/>
      <c r="N577" s="93" t="s">
        <v>3332</v>
      </c>
      <c r="O577" s="92" t="s">
        <v>3333</v>
      </c>
      <c r="P577" s="88" t="s">
        <v>1102</v>
      </c>
      <c r="Q577" s="88" t="s">
        <v>48</v>
      </c>
      <c r="R577" s="86">
        <v>9659506101</v>
      </c>
      <c r="S577" s="88" t="s">
        <v>3266</v>
      </c>
      <c r="T577" s="129"/>
      <c r="U577" s="129"/>
      <c r="V577" s="129"/>
      <c r="W577" s="129"/>
      <c r="X577" s="129"/>
      <c r="Y577" s="129"/>
      <c r="Z577" s="130"/>
      <c r="AA577" s="127" t="s">
        <v>165</v>
      </c>
      <c r="AB577" s="127" t="s">
        <v>165</v>
      </c>
      <c r="AC577" s="131" t="s">
        <v>129</v>
      </c>
      <c r="AD577" s="127" t="s">
        <v>129</v>
      </c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>
        <f>COUNTA('All Details for ACID Pastor'!$AA577:$AB577)</f>
        <v>2</v>
      </c>
      <c r="AV577" s="121"/>
      <c r="AW577" s="163"/>
      <c r="AX577" s="163"/>
      <c r="AZ577" s="121" t="s">
        <v>49</v>
      </c>
      <c r="BA577" s="163"/>
      <c r="BB577" s="163">
        <v>2</v>
      </c>
      <c r="BC577" s="163"/>
      <c r="BF577" s="163">
        <v>4</v>
      </c>
    </row>
    <row r="578" spans="1:58" ht="70.150000000000006" customHeight="1">
      <c r="A578" s="107">
        <v>574</v>
      </c>
      <c r="B578" s="124" t="s">
        <v>3334</v>
      </c>
      <c r="C578" s="90" t="s">
        <v>3335</v>
      </c>
      <c r="D578" s="95" t="s">
        <v>53</v>
      </c>
      <c r="E578" s="88" t="s">
        <v>160</v>
      </c>
      <c r="F578" s="88"/>
      <c r="G578" s="88"/>
      <c r="H578" s="88"/>
      <c r="I578" s="88"/>
      <c r="J578" s="86" t="s">
        <v>3330</v>
      </c>
      <c r="K578" s="259" t="s">
        <v>3336</v>
      </c>
      <c r="L578" s="121" t="s">
        <v>4209</v>
      </c>
      <c r="M578" s="172" t="s">
        <v>3337</v>
      </c>
      <c r="N578" s="93" t="s">
        <v>3338</v>
      </c>
      <c r="O578" s="92" t="s">
        <v>1732</v>
      </c>
      <c r="P578" s="88" t="s">
        <v>1102</v>
      </c>
      <c r="Q578" s="88" t="s">
        <v>48</v>
      </c>
      <c r="R578" s="86">
        <v>7904622626</v>
      </c>
      <c r="S578" s="88" t="s">
        <v>3266</v>
      </c>
      <c r="T578" s="129"/>
      <c r="U578" s="129"/>
      <c r="V578" s="129"/>
      <c r="W578" s="129"/>
      <c r="X578" s="129"/>
      <c r="Y578" s="129"/>
      <c r="Z578" s="130"/>
      <c r="AA578" s="130"/>
      <c r="AB578" s="130"/>
      <c r="AC578" s="130"/>
      <c r="AD578" s="225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  <c r="AQ578" s="121"/>
      <c r="AR578" s="121"/>
      <c r="AS578" s="121"/>
      <c r="AT578" s="121"/>
      <c r="AU578" s="121">
        <f>COUNTA('All Details for ACID Pastor'!$AA578:$AB578)</f>
        <v>0</v>
      </c>
      <c r="AV578" s="121"/>
      <c r="AW578" s="163"/>
      <c r="AX578" s="163"/>
      <c r="AZ578" s="121" t="s">
        <v>49</v>
      </c>
      <c r="BA578" s="163"/>
      <c r="BB578" s="163"/>
      <c r="BC578" s="163"/>
      <c r="BF578" s="163">
        <f>COUNTA('All Details for ACID Pastor'!$T578:$AB578)</f>
        <v>0</v>
      </c>
    </row>
    <row r="579" spans="1:58" ht="70.150000000000006" customHeight="1">
      <c r="A579" s="107">
        <v>575</v>
      </c>
      <c r="B579" s="124" t="s">
        <v>3339</v>
      </c>
      <c r="C579" s="90" t="s">
        <v>3340</v>
      </c>
      <c r="D579" s="95" t="s">
        <v>53</v>
      </c>
      <c r="E579" s="88" t="s">
        <v>54</v>
      </c>
      <c r="F579" s="88"/>
      <c r="G579" s="88"/>
      <c r="H579" s="88"/>
      <c r="I579" s="88"/>
      <c r="J579" s="86"/>
      <c r="K579" s="259" t="s">
        <v>3341</v>
      </c>
      <c r="L579" s="155" t="s">
        <v>4209</v>
      </c>
      <c r="M579" s="172" t="s">
        <v>3342</v>
      </c>
      <c r="N579" s="93" t="s">
        <v>3343</v>
      </c>
      <c r="O579" s="92" t="s">
        <v>3344</v>
      </c>
      <c r="P579" s="88" t="s">
        <v>60</v>
      </c>
      <c r="Q579" s="88" t="s">
        <v>48</v>
      </c>
      <c r="R579" s="86">
        <v>8098061255</v>
      </c>
      <c r="S579" s="88" t="s">
        <v>3266</v>
      </c>
      <c r="T579" s="129"/>
      <c r="U579" s="129"/>
      <c r="V579" s="129"/>
      <c r="W579" s="129"/>
      <c r="X579" s="129"/>
      <c r="Y579" s="129"/>
      <c r="Z579" s="130"/>
      <c r="AA579" s="130"/>
      <c r="AB579" s="130"/>
      <c r="AC579" s="130"/>
      <c r="AD579" s="225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  <c r="AQ579" s="121"/>
      <c r="AR579" s="121"/>
      <c r="AS579" s="121"/>
      <c r="AT579" s="121"/>
      <c r="AU579" s="121">
        <f>COUNTA('All Details for ACID Pastor'!$AA579:$AB579)</f>
        <v>0</v>
      </c>
      <c r="AV579" s="121"/>
      <c r="AW579" s="163"/>
      <c r="AX579" s="163"/>
      <c r="AZ579" s="121" t="s">
        <v>49</v>
      </c>
      <c r="BA579" s="163"/>
      <c r="BB579" s="163"/>
      <c r="BC579" s="163"/>
      <c r="BF579" s="163">
        <f>COUNTA('All Details for ACID Pastor'!$T579:$AB579)</f>
        <v>0</v>
      </c>
    </row>
    <row r="580" spans="1:58" ht="70.150000000000006" customHeight="1">
      <c r="A580" s="107">
        <v>576</v>
      </c>
      <c r="B580" s="124" t="s">
        <v>3345</v>
      </c>
      <c r="C580" s="90" t="s">
        <v>3346</v>
      </c>
      <c r="D580" s="95" t="s">
        <v>53</v>
      </c>
      <c r="E580" s="88" t="s">
        <v>54</v>
      </c>
      <c r="F580" s="88"/>
      <c r="G580" s="88"/>
      <c r="H580" s="88"/>
      <c r="I580" s="88"/>
      <c r="J580" s="86"/>
      <c r="K580" s="259" t="s">
        <v>3347</v>
      </c>
      <c r="L580" s="155" t="s">
        <v>4209</v>
      </c>
      <c r="M580" s="172" t="s">
        <v>3348</v>
      </c>
      <c r="N580" s="93" t="s">
        <v>3349</v>
      </c>
      <c r="O580" s="92" t="s">
        <v>3350</v>
      </c>
      <c r="P580" s="88" t="s">
        <v>73</v>
      </c>
      <c r="Q580" s="88" t="s">
        <v>48</v>
      </c>
      <c r="R580" s="86">
        <v>8098102016</v>
      </c>
      <c r="S580" s="88" t="s">
        <v>3266</v>
      </c>
      <c r="T580" s="129"/>
      <c r="U580" s="129"/>
      <c r="V580" s="129"/>
      <c r="W580" s="129"/>
      <c r="X580" s="129"/>
      <c r="Y580" s="129"/>
      <c r="Z580" s="130"/>
      <c r="AA580" s="127" t="s">
        <v>99</v>
      </c>
      <c r="AB580" s="130"/>
      <c r="AC580" s="130"/>
      <c r="AD580" s="225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>
        <f>COUNTA('All Details for ACID Pastor'!$AA580:$AB580)</f>
        <v>1</v>
      </c>
      <c r="AV580" s="121"/>
      <c r="AW580" s="163"/>
      <c r="AX580" s="163"/>
      <c r="AZ580" s="121" t="s">
        <v>49</v>
      </c>
      <c r="BA580" s="163"/>
      <c r="BB580" s="163"/>
      <c r="BC580" s="163"/>
      <c r="BF580" s="163">
        <f>COUNTA('All Details for ACID Pastor'!$T580:$AB580)</f>
        <v>1</v>
      </c>
    </row>
    <row r="581" spans="1:58" ht="70.150000000000006" customHeight="1">
      <c r="A581" s="107">
        <v>577</v>
      </c>
      <c r="B581" s="124" t="s">
        <v>3351</v>
      </c>
      <c r="C581" s="90" t="s">
        <v>3352</v>
      </c>
      <c r="D581" s="95" t="s">
        <v>53</v>
      </c>
      <c r="E581" s="88" t="s">
        <v>54</v>
      </c>
      <c r="F581" s="88"/>
      <c r="G581" s="88"/>
      <c r="H581" s="88"/>
      <c r="I581" s="88"/>
      <c r="J581" s="86" t="s">
        <v>3353</v>
      </c>
      <c r="K581" s="259" t="s">
        <v>3354</v>
      </c>
      <c r="L581" s="155" t="s">
        <v>4209</v>
      </c>
      <c r="M581" s="172"/>
      <c r="N581" s="93" t="s">
        <v>3355</v>
      </c>
      <c r="O581" s="92" t="s">
        <v>3356</v>
      </c>
      <c r="P581" s="88" t="s">
        <v>1102</v>
      </c>
      <c r="Q581" s="88" t="s">
        <v>48</v>
      </c>
      <c r="R581" s="86">
        <v>7538816015</v>
      </c>
      <c r="S581" s="88" t="s">
        <v>3266</v>
      </c>
      <c r="T581" s="129"/>
      <c r="U581" s="129"/>
      <c r="V581" s="129"/>
      <c r="W581" s="129"/>
      <c r="X581" s="129"/>
      <c r="Y581" s="129"/>
      <c r="Z581" s="130"/>
      <c r="AA581" s="127" t="s">
        <v>99</v>
      </c>
      <c r="AB581" s="130"/>
      <c r="AC581" s="130"/>
      <c r="AD581" s="225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>
        <f>COUNTA('All Details for ACID Pastor'!$AA581:$AB581)</f>
        <v>1</v>
      </c>
      <c r="AV581" s="121"/>
      <c r="AW581" s="163"/>
      <c r="AX581" s="163"/>
      <c r="AZ581" s="121" t="s">
        <v>49</v>
      </c>
      <c r="BA581" s="163"/>
      <c r="BB581" s="163"/>
      <c r="BC581" s="163"/>
      <c r="BF581" s="163">
        <f>COUNTA('All Details for ACID Pastor'!$T581:$AB581)</f>
        <v>1</v>
      </c>
    </row>
    <row r="582" spans="1:58" ht="70.150000000000006" customHeight="1">
      <c r="A582" s="107">
        <v>578</v>
      </c>
      <c r="B582" s="124" t="s">
        <v>3357</v>
      </c>
      <c r="C582" s="90" t="s">
        <v>3358</v>
      </c>
      <c r="D582" s="88" t="s">
        <v>41</v>
      </c>
      <c r="E582" s="88" t="s">
        <v>54</v>
      </c>
      <c r="F582" s="88"/>
      <c r="G582" s="88"/>
      <c r="H582" s="88"/>
      <c r="I582" s="88"/>
      <c r="J582" s="86" t="s">
        <v>3359</v>
      </c>
      <c r="K582" s="259" t="s">
        <v>3360</v>
      </c>
      <c r="L582" s="155" t="s">
        <v>4209</v>
      </c>
      <c r="M582" s="172" t="s">
        <v>3361</v>
      </c>
      <c r="N582" s="93" t="s">
        <v>3362</v>
      </c>
      <c r="O582" s="92" t="s">
        <v>3363</v>
      </c>
      <c r="P582" s="88" t="s">
        <v>1102</v>
      </c>
      <c r="Q582" s="88" t="s">
        <v>48</v>
      </c>
      <c r="R582" s="86">
        <v>9655973900</v>
      </c>
      <c r="S582" s="88" t="s">
        <v>3266</v>
      </c>
      <c r="T582" s="129"/>
      <c r="U582" s="129"/>
      <c r="V582" s="129"/>
      <c r="W582" s="129"/>
      <c r="X582" s="129"/>
      <c r="Y582" s="129"/>
      <c r="Z582" s="130"/>
      <c r="AA582" s="130"/>
      <c r="AB582" s="130" t="s">
        <v>4220</v>
      </c>
      <c r="AC582" s="130" t="s">
        <v>4220</v>
      </c>
      <c r="AD582" s="225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>
        <f>COUNTA('All Details for ACID Pastor'!$AA582:$AB582)</f>
        <v>1</v>
      </c>
      <c r="AV582" s="121"/>
      <c r="AW582" s="163"/>
      <c r="AX582" s="163"/>
      <c r="AZ582" s="121" t="s">
        <v>49</v>
      </c>
      <c r="BA582" s="163"/>
      <c r="BB582" s="163"/>
      <c r="BC582" s="163"/>
      <c r="BF582" s="163">
        <v>2</v>
      </c>
    </row>
    <row r="583" spans="1:58" ht="70.150000000000006" customHeight="1">
      <c r="A583" s="107">
        <v>579</v>
      </c>
      <c r="B583" s="124" t="s">
        <v>3364</v>
      </c>
      <c r="C583" s="90" t="s">
        <v>3365</v>
      </c>
      <c r="D583" s="95" t="s">
        <v>53</v>
      </c>
      <c r="E583" s="88" t="s">
        <v>68</v>
      </c>
      <c r="F583" s="88"/>
      <c r="G583" s="88"/>
      <c r="H583" s="88"/>
      <c r="I583" s="88"/>
      <c r="J583" s="86" t="s">
        <v>3366</v>
      </c>
      <c r="K583" s="259" t="s">
        <v>3367</v>
      </c>
      <c r="L583" s="155" t="s">
        <v>4209</v>
      </c>
      <c r="M583" s="172"/>
      <c r="N583" s="93" t="s">
        <v>3368</v>
      </c>
      <c r="O583" s="92" t="s">
        <v>3083</v>
      </c>
      <c r="P583" s="88" t="s">
        <v>1002</v>
      </c>
      <c r="Q583" s="88" t="s">
        <v>48</v>
      </c>
      <c r="R583" s="86">
        <v>8072149182</v>
      </c>
      <c r="S583" s="88" t="s">
        <v>3266</v>
      </c>
      <c r="T583" s="129"/>
      <c r="U583" s="129"/>
      <c r="V583" s="129"/>
      <c r="W583" s="129"/>
      <c r="X583" s="129"/>
      <c r="Y583" s="129"/>
      <c r="Z583" s="130"/>
      <c r="AA583" s="127" t="s">
        <v>165</v>
      </c>
      <c r="AB583" s="127" t="s">
        <v>165</v>
      </c>
      <c r="AC583" s="127" t="s">
        <v>1005</v>
      </c>
      <c r="AD583" s="127" t="s">
        <v>1005</v>
      </c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>
        <f>COUNTA('All Details for ACID Pastor'!$AA583:$AB583)</f>
        <v>2</v>
      </c>
      <c r="AV583" s="121"/>
      <c r="AW583" s="163"/>
      <c r="AX583" s="163"/>
      <c r="AZ583" s="121" t="s">
        <v>49</v>
      </c>
      <c r="BA583" s="163"/>
      <c r="BB583" s="163"/>
      <c r="BC583" s="163"/>
      <c r="BF583" s="163">
        <v>4</v>
      </c>
    </row>
    <row r="584" spans="1:58" ht="70.150000000000006" customHeight="1">
      <c r="A584" s="107">
        <v>580</v>
      </c>
      <c r="B584" s="124" t="s">
        <v>3369</v>
      </c>
      <c r="C584" s="90" t="s">
        <v>3370</v>
      </c>
      <c r="D584" s="95" t="s">
        <v>53</v>
      </c>
      <c r="E584" s="88" t="s">
        <v>54</v>
      </c>
      <c r="F584" s="88"/>
      <c r="G584" s="88"/>
      <c r="H584" s="88"/>
      <c r="I584" s="88"/>
      <c r="J584" s="86" t="s">
        <v>3269</v>
      </c>
      <c r="K584" s="259" t="s">
        <v>3371</v>
      </c>
      <c r="L584" s="155" t="s">
        <v>4209</v>
      </c>
      <c r="M584" s="172" t="s">
        <v>3372</v>
      </c>
      <c r="N584" s="93" t="s">
        <v>3373</v>
      </c>
      <c r="O584" s="92" t="s">
        <v>3374</v>
      </c>
      <c r="P584" s="88" t="s">
        <v>3230</v>
      </c>
      <c r="Q584" s="88" t="s">
        <v>48</v>
      </c>
      <c r="R584" s="86">
        <v>9840639227</v>
      </c>
      <c r="S584" s="88" t="s">
        <v>3276</v>
      </c>
      <c r="T584" s="129"/>
      <c r="U584" s="129"/>
      <c r="V584" s="129"/>
      <c r="W584" s="129"/>
      <c r="X584" s="129"/>
      <c r="Y584" s="129"/>
      <c r="Z584" s="130"/>
      <c r="AA584" s="130"/>
      <c r="AB584" s="130"/>
      <c r="AC584" s="130"/>
      <c r="AD584" s="225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>
        <f>COUNTA('All Details for ACID Pastor'!$AB584)</f>
        <v>0</v>
      </c>
      <c r="AW584" s="163"/>
      <c r="AX584" s="163"/>
      <c r="AZ584" s="121" t="s">
        <v>49</v>
      </c>
      <c r="BA584" s="163"/>
      <c r="BB584" s="163"/>
      <c r="BC584" s="163"/>
      <c r="BF584" s="163">
        <f>COUNTA('All Details for ACID Pastor'!$T584:$AB584)</f>
        <v>0</v>
      </c>
    </row>
    <row r="585" spans="1:58" ht="70.150000000000006" customHeight="1">
      <c r="A585" s="107">
        <v>581</v>
      </c>
      <c r="B585" s="124" t="s">
        <v>3375</v>
      </c>
      <c r="C585" s="90" t="s">
        <v>3376</v>
      </c>
      <c r="D585" s="95" t="s">
        <v>53</v>
      </c>
      <c r="E585" s="88" t="s">
        <v>54</v>
      </c>
      <c r="F585" s="88"/>
      <c r="G585" s="88"/>
      <c r="H585" s="88"/>
      <c r="I585" s="88"/>
      <c r="J585" s="86" t="s">
        <v>3269</v>
      </c>
      <c r="K585" s="259" t="s">
        <v>3377</v>
      </c>
      <c r="L585" s="155" t="s">
        <v>4209</v>
      </c>
      <c r="M585" s="172" t="s">
        <v>3378</v>
      </c>
      <c r="N585" s="93" t="s">
        <v>3379</v>
      </c>
      <c r="O585" s="92" t="s">
        <v>3380</v>
      </c>
      <c r="P585" s="88" t="s">
        <v>3230</v>
      </c>
      <c r="Q585" s="88" t="s">
        <v>48</v>
      </c>
      <c r="R585" s="86">
        <v>6383133974</v>
      </c>
      <c r="S585" s="88" t="s">
        <v>3276</v>
      </c>
      <c r="T585" s="129"/>
      <c r="U585" s="129"/>
      <c r="V585" s="129"/>
      <c r="W585" s="129"/>
      <c r="X585" s="129"/>
      <c r="Y585" s="129"/>
      <c r="Z585" s="130"/>
      <c r="AA585" s="130"/>
      <c r="AB585" s="130"/>
      <c r="AC585" s="130"/>
      <c r="AD585" s="225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>
        <f>COUNTA('All Details for ACID Pastor'!$AB585)</f>
        <v>0</v>
      </c>
      <c r="AW585" s="163"/>
      <c r="AX585" s="163"/>
      <c r="AZ585" s="121" t="s">
        <v>49</v>
      </c>
      <c r="BA585" s="163"/>
      <c r="BB585" s="163"/>
      <c r="BC585" s="163"/>
      <c r="BF585" s="163">
        <f>COUNTA('All Details for ACID Pastor'!$T585:$AB585)</f>
        <v>0</v>
      </c>
    </row>
    <row r="586" spans="1:58" ht="70.150000000000006" customHeight="1">
      <c r="A586" s="107">
        <v>582</v>
      </c>
      <c r="B586" s="124" t="s">
        <v>3381</v>
      </c>
      <c r="C586" s="90" t="s">
        <v>3382</v>
      </c>
      <c r="D586" s="95" t="s">
        <v>53</v>
      </c>
      <c r="E586" s="88" t="s">
        <v>68</v>
      </c>
      <c r="F586" s="88"/>
      <c r="G586" s="88"/>
      <c r="H586" s="88"/>
      <c r="I586" s="88"/>
      <c r="J586" s="86" t="s">
        <v>3269</v>
      </c>
      <c r="K586" s="259" t="s">
        <v>3383</v>
      </c>
      <c r="L586" s="155"/>
      <c r="M586" s="172"/>
      <c r="N586" s="93" t="s">
        <v>3384</v>
      </c>
      <c r="O586" s="92" t="s">
        <v>3385</v>
      </c>
      <c r="P586" s="88" t="s">
        <v>1002</v>
      </c>
      <c r="Q586" s="88" t="s">
        <v>48</v>
      </c>
      <c r="R586" s="86">
        <v>9677651318</v>
      </c>
      <c r="S586" s="88" t="s">
        <v>3276</v>
      </c>
      <c r="T586" s="129"/>
      <c r="U586" s="129"/>
      <c r="V586" s="129"/>
      <c r="W586" s="129"/>
      <c r="X586" s="129"/>
      <c r="Y586" s="129"/>
      <c r="Z586" s="130"/>
      <c r="AA586" s="130"/>
      <c r="AB586" s="127" t="s">
        <v>3386</v>
      </c>
      <c r="AC586" s="127" t="s">
        <v>1005</v>
      </c>
      <c r="AD586" s="127" t="s">
        <v>1005</v>
      </c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>
        <f>COUNTA('All Details for ACID Pastor'!$AB586)</f>
        <v>1</v>
      </c>
      <c r="AW586" s="163"/>
      <c r="AX586" s="163"/>
      <c r="AZ586" s="121" t="s">
        <v>49</v>
      </c>
      <c r="BA586" s="163"/>
      <c r="BB586" s="163"/>
      <c r="BC586" s="163"/>
      <c r="BF586" s="163">
        <v>3</v>
      </c>
    </row>
    <row r="587" spans="1:58" ht="70.150000000000006" customHeight="1">
      <c r="A587" s="107">
        <v>583</v>
      </c>
      <c r="B587" s="124" t="s">
        <v>3387</v>
      </c>
      <c r="C587" s="90" t="s">
        <v>3388</v>
      </c>
      <c r="D587" s="95" t="s">
        <v>53</v>
      </c>
      <c r="E587" s="88" t="s">
        <v>54</v>
      </c>
      <c r="F587" s="88"/>
      <c r="G587" s="88"/>
      <c r="H587" s="88"/>
      <c r="I587" s="88"/>
      <c r="J587" s="86" t="s">
        <v>3269</v>
      </c>
      <c r="K587" s="259" t="s">
        <v>3389</v>
      </c>
      <c r="L587" s="155" t="s">
        <v>4209</v>
      </c>
      <c r="M587" s="172"/>
      <c r="N587" s="93" t="s">
        <v>3390</v>
      </c>
      <c r="O587" s="92" t="s">
        <v>3028</v>
      </c>
      <c r="P587" s="88" t="s">
        <v>3230</v>
      </c>
      <c r="Q587" s="88" t="s">
        <v>48</v>
      </c>
      <c r="R587" s="86">
        <v>9543644911</v>
      </c>
      <c r="S587" s="88" t="s">
        <v>3276</v>
      </c>
      <c r="T587" s="129"/>
      <c r="U587" s="129"/>
      <c r="V587" s="129"/>
      <c r="W587" s="129"/>
      <c r="X587" s="129"/>
      <c r="Y587" s="129"/>
      <c r="Z587" s="130"/>
      <c r="AA587" s="130"/>
      <c r="AB587" s="130"/>
      <c r="AC587" s="130"/>
      <c r="AD587" s="225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>
        <f>COUNTA('All Details for ACID Pastor'!$AB587)</f>
        <v>0</v>
      </c>
      <c r="AW587" s="163"/>
      <c r="AX587" s="163"/>
      <c r="AZ587" s="121" t="s">
        <v>49</v>
      </c>
      <c r="BA587" s="163"/>
      <c r="BB587" s="163"/>
      <c r="BC587" s="163"/>
      <c r="BF587" s="163">
        <f>COUNTA('All Details for ACID Pastor'!$T587:$AB587)</f>
        <v>0</v>
      </c>
    </row>
    <row r="588" spans="1:58" ht="70.150000000000006" customHeight="1">
      <c r="A588" s="107">
        <v>584</v>
      </c>
      <c r="B588" s="124" t="s">
        <v>3391</v>
      </c>
      <c r="C588" s="90" t="s">
        <v>3392</v>
      </c>
      <c r="D588" s="95" t="s">
        <v>53</v>
      </c>
      <c r="E588" s="88" t="s">
        <v>68</v>
      </c>
      <c r="F588" s="88"/>
      <c r="G588" s="88"/>
      <c r="H588" s="88"/>
      <c r="I588" s="88"/>
      <c r="J588" s="86" t="s">
        <v>3269</v>
      </c>
      <c r="K588" s="259" t="s">
        <v>3393</v>
      </c>
      <c r="L588" s="155" t="s">
        <v>4209</v>
      </c>
      <c r="M588" s="172"/>
      <c r="N588" s="93" t="s">
        <v>3394</v>
      </c>
      <c r="O588" s="92" t="s">
        <v>3395</v>
      </c>
      <c r="P588" s="88" t="s">
        <v>3230</v>
      </c>
      <c r="Q588" s="88" t="s">
        <v>48</v>
      </c>
      <c r="R588" s="86">
        <v>8270134949</v>
      </c>
      <c r="S588" s="88" t="s">
        <v>3276</v>
      </c>
      <c r="T588" s="129"/>
      <c r="U588" s="129"/>
      <c r="V588" s="129"/>
      <c r="W588" s="129"/>
      <c r="X588" s="129"/>
      <c r="Y588" s="129"/>
      <c r="Z588" s="130"/>
      <c r="AA588" s="130"/>
      <c r="AB588" s="130"/>
      <c r="AC588" s="130"/>
      <c r="AD588" s="225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>
        <f>COUNTA('All Details for ACID Pastor'!$AB588)</f>
        <v>0</v>
      </c>
      <c r="AW588" s="163"/>
      <c r="AX588" s="163"/>
      <c r="AZ588" s="121" t="s">
        <v>49</v>
      </c>
      <c r="BA588" s="163"/>
      <c r="BB588" s="163"/>
      <c r="BC588" s="163"/>
      <c r="BF588" s="163">
        <f>COUNTA('All Details for ACID Pastor'!$T588:$AB588)</f>
        <v>0</v>
      </c>
    </row>
    <row r="589" spans="1:58" ht="70.150000000000006" customHeight="1">
      <c r="A589" s="107">
        <v>585</v>
      </c>
      <c r="B589" s="124" t="s">
        <v>3396</v>
      </c>
      <c r="C589" s="90" t="s">
        <v>3397</v>
      </c>
      <c r="D589" s="95" t="s">
        <v>53</v>
      </c>
      <c r="E589" s="88" t="s">
        <v>54</v>
      </c>
      <c r="F589" s="88"/>
      <c r="G589" s="88"/>
      <c r="H589" s="88"/>
      <c r="I589" s="88"/>
      <c r="J589" s="86" t="s">
        <v>3269</v>
      </c>
      <c r="K589" s="259" t="s">
        <v>3398</v>
      </c>
      <c r="L589" s="155" t="s">
        <v>4209</v>
      </c>
      <c r="M589" s="172"/>
      <c r="N589" s="93" t="s">
        <v>3399</v>
      </c>
      <c r="O589" s="92" t="s">
        <v>3400</v>
      </c>
      <c r="P589" s="88" t="s">
        <v>3230</v>
      </c>
      <c r="Q589" s="88" t="s">
        <v>48</v>
      </c>
      <c r="R589" s="86">
        <v>9047579697</v>
      </c>
      <c r="S589" s="88" t="s">
        <v>3276</v>
      </c>
      <c r="T589" s="129"/>
      <c r="U589" s="129"/>
      <c r="V589" s="129"/>
      <c r="W589" s="129"/>
      <c r="X589" s="129"/>
      <c r="Y589" s="129"/>
      <c r="Z589" s="130"/>
      <c r="AA589" s="130"/>
      <c r="AB589" s="130"/>
      <c r="AC589" s="130"/>
      <c r="AD589" s="225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>
        <f>COUNTA('All Details for ACID Pastor'!$AB589)</f>
        <v>0</v>
      </c>
      <c r="AW589" s="163"/>
      <c r="AX589" s="163"/>
      <c r="AZ589" s="121" t="s">
        <v>49</v>
      </c>
      <c r="BA589" s="163"/>
      <c r="BB589" s="163"/>
      <c r="BC589" s="163"/>
      <c r="BF589" s="163">
        <f>COUNTA('All Details for ACID Pastor'!$T589:$AB589)</f>
        <v>0</v>
      </c>
    </row>
    <row r="590" spans="1:58" ht="70.150000000000006" customHeight="1">
      <c r="A590" s="107">
        <v>586</v>
      </c>
      <c r="B590" s="124" t="s">
        <v>3401</v>
      </c>
      <c r="C590" s="90" t="s">
        <v>3402</v>
      </c>
      <c r="D590" s="95" t="s">
        <v>53</v>
      </c>
      <c r="E590" s="88" t="s">
        <v>54</v>
      </c>
      <c r="F590" s="88"/>
      <c r="G590" s="88"/>
      <c r="H590" s="88"/>
      <c r="I590" s="88"/>
      <c r="J590" s="86" t="s">
        <v>3269</v>
      </c>
      <c r="K590" s="259" t="s">
        <v>3403</v>
      </c>
      <c r="L590" s="155" t="s">
        <v>4209</v>
      </c>
      <c r="M590" s="172"/>
      <c r="N590" s="93" t="s">
        <v>3404</v>
      </c>
      <c r="O590" s="92" t="s">
        <v>3400</v>
      </c>
      <c r="P590" s="88" t="s">
        <v>3230</v>
      </c>
      <c r="Q590" s="88" t="s">
        <v>48</v>
      </c>
      <c r="R590" s="86">
        <v>9944176332</v>
      </c>
      <c r="S590" s="88" t="s">
        <v>3276</v>
      </c>
      <c r="T590" s="129"/>
      <c r="U590" s="129"/>
      <c r="V590" s="129"/>
      <c r="W590" s="129"/>
      <c r="X590" s="129"/>
      <c r="Y590" s="129"/>
      <c r="Z590" s="130"/>
      <c r="AA590" s="130"/>
      <c r="AB590" s="130"/>
      <c r="AC590" s="130" t="s">
        <v>4220</v>
      </c>
      <c r="AD590" s="225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  <c r="AQ590" s="121"/>
      <c r="AR590" s="121"/>
      <c r="AS590" s="121"/>
      <c r="AT590" s="121"/>
      <c r="AU590" s="121"/>
      <c r="AV590" s="121">
        <f>COUNTA('All Details for ACID Pastor'!$AB590)</f>
        <v>0</v>
      </c>
      <c r="AW590" s="163"/>
      <c r="AX590" s="163"/>
      <c r="AZ590" s="121" t="s">
        <v>49</v>
      </c>
      <c r="BA590" s="163"/>
      <c r="BB590" s="163"/>
      <c r="BC590" s="163"/>
      <c r="BF590" s="163">
        <v>1</v>
      </c>
    </row>
    <row r="591" spans="1:58" ht="70.150000000000006" customHeight="1">
      <c r="A591" s="107">
        <v>587</v>
      </c>
      <c r="B591" s="124" t="s">
        <v>3405</v>
      </c>
      <c r="C591" s="90" t="s">
        <v>3406</v>
      </c>
      <c r="D591" s="95" t="s">
        <v>53</v>
      </c>
      <c r="E591" s="88" t="s">
        <v>54</v>
      </c>
      <c r="F591" s="88"/>
      <c r="G591" s="88"/>
      <c r="H591" s="88"/>
      <c r="I591" s="88"/>
      <c r="J591" s="86" t="s">
        <v>3330</v>
      </c>
      <c r="K591" s="259" t="s">
        <v>3407</v>
      </c>
      <c r="L591" s="155" t="s">
        <v>4209</v>
      </c>
      <c r="M591" s="172" t="s">
        <v>3408</v>
      </c>
      <c r="N591" s="93" t="s">
        <v>3409</v>
      </c>
      <c r="O591" s="92" t="s">
        <v>1124</v>
      </c>
      <c r="P591" s="88" t="s">
        <v>1102</v>
      </c>
      <c r="Q591" s="88" t="s">
        <v>48</v>
      </c>
      <c r="R591" s="86">
        <v>9865019591</v>
      </c>
      <c r="S591" s="88" t="s">
        <v>3276</v>
      </c>
      <c r="T591" s="129"/>
      <c r="U591" s="129"/>
      <c r="V591" s="129"/>
      <c r="W591" s="129"/>
      <c r="X591" s="129"/>
      <c r="Y591" s="129"/>
      <c r="Z591" s="130"/>
      <c r="AA591" s="130"/>
      <c r="AB591" s="127" t="s">
        <v>165</v>
      </c>
      <c r="AC591" s="127" t="s">
        <v>1236</v>
      </c>
      <c r="AD591" s="127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  <c r="AQ591" s="121"/>
      <c r="AR591" s="121"/>
      <c r="AS591" s="121"/>
      <c r="AT591" s="121"/>
      <c r="AU591" s="121"/>
      <c r="AV591" s="121">
        <f>COUNTA('All Details for ACID Pastor'!$AB591)</f>
        <v>1</v>
      </c>
      <c r="AW591" s="163"/>
      <c r="AX591" s="163"/>
      <c r="AZ591" s="121" t="s">
        <v>49</v>
      </c>
      <c r="BA591" s="163"/>
      <c r="BB591" s="163"/>
      <c r="BC591" s="163"/>
      <c r="BF591" s="163">
        <v>2</v>
      </c>
    </row>
    <row r="592" spans="1:58" ht="70.150000000000006" customHeight="1">
      <c r="A592" s="107">
        <v>588</v>
      </c>
      <c r="B592" s="124" t="s">
        <v>3410</v>
      </c>
      <c r="C592" s="90" t="s">
        <v>3411</v>
      </c>
      <c r="D592" s="95" t="s">
        <v>53</v>
      </c>
      <c r="E592" s="88" t="s">
        <v>160</v>
      </c>
      <c r="F592" s="88"/>
      <c r="G592" s="88"/>
      <c r="H592" s="88"/>
      <c r="I592" s="88"/>
      <c r="J592" s="86" t="s">
        <v>3330</v>
      </c>
      <c r="K592" s="259" t="s">
        <v>2100</v>
      </c>
      <c r="L592" s="121" t="s">
        <v>4201</v>
      </c>
      <c r="M592" s="172" t="s">
        <v>3408</v>
      </c>
      <c r="N592" s="93" t="s">
        <v>3409</v>
      </c>
      <c r="O592" s="92" t="s">
        <v>1124</v>
      </c>
      <c r="P592" s="88" t="s">
        <v>1102</v>
      </c>
      <c r="Q592" s="88" t="s">
        <v>48</v>
      </c>
      <c r="R592" s="86">
        <v>9942185381</v>
      </c>
      <c r="S592" s="88" t="s">
        <v>3276</v>
      </c>
      <c r="T592" s="129"/>
      <c r="U592" s="129"/>
      <c r="V592" s="129"/>
      <c r="W592" s="129"/>
      <c r="X592" s="129"/>
      <c r="Y592" s="129"/>
      <c r="Z592" s="130"/>
      <c r="AA592" s="130"/>
      <c r="AB592" s="127" t="s">
        <v>165</v>
      </c>
      <c r="AC592" s="127" t="s">
        <v>1236</v>
      </c>
      <c r="AD592" s="127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>
        <f>COUNTA('All Details for ACID Pastor'!$AB592)</f>
        <v>1</v>
      </c>
      <c r="AW592" s="163"/>
      <c r="AX592" s="163"/>
      <c r="AZ592" s="121" t="s">
        <v>49</v>
      </c>
      <c r="BA592" s="163"/>
      <c r="BB592" s="163"/>
      <c r="BC592" s="163"/>
      <c r="BF592" s="163">
        <v>2</v>
      </c>
    </row>
    <row r="593" spans="1:58" ht="70.150000000000006" customHeight="1">
      <c r="A593" s="107">
        <v>589</v>
      </c>
      <c r="B593" s="124" t="s">
        <v>3412</v>
      </c>
      <c r="C593" s="90" t="s">
        <v>3413</v>
      </c>
      <c r="D593" s="95" t="s">
        <v>53</v>
      </c>
      <c r="E593" s="95" t="s">
        <v>54</v>
      </c>
      <c r="F593" s="95"/>
      <c r="G593" s="95"/>
      <c r="H593" s="95"/>
      <c r="I593" s="95"/>
      <c r="J593" s="115" t="s">
        <v>3414</v>
      </c>
      <c r="K593" s="193" t="s">
        <v>3415</v>
      </c>
      <c r="L593" s="121" t="s">
        <v>4201</v>
      </c>
      <c r="M593" s="172" t="s">
        <v>3416</v>
      </c>
      <c r="N593" s="93" t="s">
        <v>3417</v>
      </c>
      <c r="O593" s="92" t="s">
        <v>908</v>
      </c>
      <c r="P593" s="88" t="s">
        <v>1479</v>
      </c>
      <c r="Q593" s="88" t="s">
        <v>517</v>
      </c>
      <c r="R593" s="86">
        <v>9544975464</v>
      </c>
      <c r="S593" s="88" t="s">
        <v>3276</v>
      </c>
      <c r="T593" s="129"/>
      <c r="U593" s="151"/>
      <c r="V593" s="151"/>
      <c r="W593" s="151"/>
      <c r="X593" s="151"/>
      <c r="Y593" s="147"/>
      <c r="Z593" s="147"/>
      <c r="AA593" s="147"/>
      <c r="AB593" s="147"/>
      <c r="AC593" s="147" t="s">
        <v>4220</v>
      </c>
      <c r="AD593" s="147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  <c r="AQ593" s="121"/>
      <c r="AR593" s="121"/>
      <c r="AS593" s="121"/>
      <c r="AT593" s="121"/>
      <c r="AU593" s="121"/>
      <c r="AV593" s="121">
        <f>COUNTA('All Details for ACID Pastor'!$AB593)</f>
        <v>0</v>
      </c>
      <c r="AW593" s="163"/>
      <c r="AX593" s="163"/>
      <c r="AZ593" s="121" t="s">
        <v>49</v>
      </c>
      <c r="BA593" s="163"/>
      <c r="BB593" s="163"/>
      <c r="BC593" s="163">
        <v>1</v>
      </c>
      <c r="BF593" s="163">
        <v>1</v>
      </c>
    </row>
    <row r="594" spans="1:58" ht="70.150000000000006" customHeight="1">
      <c r="A594" s="107">
        <v>590</v>
      </c>
      <c r="B594" s="124" t="s">
        <v>3418</v>
      </c>
      <c r="C594" s="90" t="s">
        <v>3419</v>
      </c>
      <c r="D594" s="95" t="s">
        <v>53</v>
      </c>
      <c r="E594" s="95" t="s">
        <v>54</v>
      </c>
      <c r="F594" s="95"/>
      <c r="G594" s="95"/>
      <c r="H594" s="95"/>
      <c r="I594" s="95"/>
      <c r="J594" s="115" t="s">
        <v>3414</v>
      </c>
      <c r="K594" s="193" t="s">
        <v>3420</v>
      </c>
      <c r="L594" s="155" t="s">
        <v>4209</v>
      </c>
      <c r="M594" s="172" t="s">
        <v>3421</v>
      </c>
      <c r="N594" s="93" t="s">
        <v>3422</v>
      </c>
      <c r="O594" s="92" t="s">
        <v>3423</v>
      </c>
      <c r="P594" s="88" t="s">
        <v>94</v>
      </c>
      <c r="Q594" s="88" t="s">
        <v>48</v>
      </c>
      <c r="R594" s="86">
        <v>8675614833</v>
      </c>
      <c r="S594" s="88" t="s">
        <v>3276</v>
      </c>
      <c r="T594" s="129"/>
      <c r="U594" s="151"/>
      <c r="V594" s="151"/>
      <c r="W594" s="151"/>
      <c r="X594" s="151"/>
      <c r="Y594" s="147"/>
      <c r="Z594" s="147"/>
      <c r="AA594" s="147"/>
      <c r="AB594" s="126" t="s">
        <v>165</v>
      </c>
      <c r="AC594" s="141" t="s">
        <v>4220</v>
      </c>
      <c r="AD594" s="14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  <c r="AQ594" s="121"/>
      <c r="AR594" s="121"/>
      <c r="AS594" s="121"/>
      <c r="AT594" s="121"/>
      <c r="AU594" s="121"/>
      <c r="AV594" s="121"/>
      <c r="AW594" s="163"/>
      <c r="AX594" s="163"/>
      <c r="AZ594" s="121" t="s">
        <v>3424</v>
      </c>
      <c r="BA594" s="163"/>
      <c r="BB594" s="163">
        <v>1</v>
      </c>
      <c r="BC594" s="163">
        <v>1</v>
      </c>
      <c r="BF594" s="163">
        <v>2</v>
      </c>
    </row>
    <row r="595" spans="1:58" ht="70.150000000000006" customHeight="1">
      <c r="A595" s="107">
        <v>591</v>
      </c>
      <c r="B595" s="124" t="s">
        <v>3425</v>
      </c>
      <c r="C595" s="90" t="s">
        <v>3426</v>
      </c>
      <c r="D595" s="95" t="s">
        <v>53</v>
      </c>
      <c r="E595" s="95" t="s">
        <v>54</v>
      </c>
      <c r="F595" s="95"/>
      <c r="G595" s="95"/>
      <c r="H595" s="95"/>
      <c r="I595" s="95"/>
      <c r="J595" s="115" t="s">
        <v>3269</v>
      </c>
      <c r="K595" s="193" t="s">
        <v>3427</v>
      </c>
      <c r="L595" s="155" t="s">
        <v>4209</v>
      </c>
      <c r="M595" s="172"/>
      <c r="N595" s="93" t="s">
        <v>3428</v>
      </c>
      <c r="O595" s="92" t="s">
        <v>3429</v>
      </c>
      <c r="P595" s="88" t="s">
        <v>1002</v>
      </c>
      <c r="Q595" s="88" t="s">
        <v>48</v>
      </c>
      <c r="R595" s="86">
        <v>9655142537</v>
      </c>
      <c r="S595" s="88" t="s">
        <v>3276</v>
      </c>
      <c r="T595" s="129"/>
      <c r="U595" s="151"/>
      <c r="V595" s="151"/>
      <c r="W595" s="151"/>
      <c r="X595" s="151"/>
      <c r="Y595" s="147"/>
      <c r="Z595" s="147"/>
      <c r="AA595" s="147"/>
      <c r="AB595" s="126" t="s">
        <v>1005</v>
      </c>
      <c r="AC595" s="126" t="s">
        <v>1005</v>
      </c>
      <c r="AD595" s="14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  <c r="AQ595" s="121"/>
      <c r="AR595" s="121"/>
      <c r="AS595" s="121"/>
      <c r="AT595" s="121"/>
      <c r="AU595" s="121"/>
      <c r="AV595" s="121">
        <v>2</v>
      </c>
      <c r="AW595" s="163"/>
      <c r="AX595" s="163"/>
      <c r="AZ595" s="121" t="s">
        <v>49</v>
      </c>
      <c r="BA595" s="163"/>
      <c r="BB595" s="163"/>
      <c r="BC595" s="163"/>
      <c r="BF595" s="163">
        <v>3</v>
      </c>
    </row>
    <row r="596" spans="1:58" ht="70.150000000000006" customHeight="1">
      <c r="A596" s="107">
        <v>592</v>
      </c>
      <c r="B596" s="124" t="s">
        <v>3430</v>
      </c>
      <c r="C596" s="90" t="s">
        <v>3431</v>
      </c>
      <c r="D596" s="95" t="s">
        <v>53</v>
      </c>
      <c r="E596" s="95" t="s">
        <v>68</v>
      </c>
      <c r="F596" s="95"/>
      <c r="G596" s="95"/>
      <c r="H596" s="95"/>
      <c r="I596" s="95"/>
      <c r="J596" s="115" t="s">
        <v>3269</v>
      </c>
      <c r="K596" s="193" t="s">
        <v>3432</v>
      </c>
      <c r="L596" s="155"/>
      <c r="M596" s="172"/>
      <c r="N596" s="93" t="s">
        <v>3433</v>
      </c>
      <c r="O596" s="92" t="s">
        <v>3374</v>
      </c>
      <c r="P596" s="88" t="s">
        <v>3230</v>
      </c>
      <c r="Q596" s="88" t="s">
        <v>48</v>
      </c>
      <c r="R596" s="86">
        <v>9786869147</v>
      </c>
      <c r="S596" s="88" t="s">
        <v>3276</v>
      </c>
      <c r="T596" s="129"/>
      <c r="U596" s="151"/>
      <c r="V596" s="151"/>
      <c r="W596" s="151"/>
      <c r="X596" s="151"/>
      <c r="Y596" s="147"/>
      <c r="Z596" s="147"/>
      <c r="AA596" s="147"/>
      <c r="AB596" s="147"/>
      <c r="AC596" s="147"/>
      <c r="AD596" s="147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  <c r="AQ596" s="121"/>
      <c r="AR596" s="121"/>
      <c r="AS596" s="121"/>
      <c r="AT596" s="121"/>
      <c r="AU596" s="121"/>
      <c r="AV596" s="121">
        <f>COUNTA('All Details for ACID Pastor'!$AB596)</f>
        <v>0</v>
      </c>
      <c r="AW596" s="163"/>
      <c r="AX596" s="163"/>
      <c r="AZ596" s="121" t="s">
        <v>49</v>
      </c>
      <c r="BA596" s="163"/>
      <c r="BB596" s="163"/>
      <c r="BC596" s="163"/>
      <c r="BF596" s="163">
        <f>COUNTA('All Details for ACID Pastor'!$T596:$AB596)</f>
        <v>0</v>
      </c>
    </row>
    <row r="597" spans="1:58" ht="78.75" customHeight="1">
      <c r="A597" s="107">
        <v>593</v>
      </c>
      <c r="B597" s="124" t="s">
        <v>3434</v>
      </c>
      <c r="C597" s="90" t="s">
        <v>3435</v>
      </c>
      <c r="D597" s="95" t="s">
        <v>53</v>
      </c>
      <c r="E597" s="95" t="s">
        <v>54</v>
      </c>
      <c r="F597" s="95"/>
      <c r="G597" s="95"/>
      <c r="H597" s="95"/>
      <c r="I597" s="95"/>
      <c r="J597" s="115" t="s">
        <v>3436</v>
      </c>
      <c r="K597" s="193" t="s">
        <v>3437</v>
      </c>
      <c r="L597" s="155" t="s">
        <v>4209</v>
      </c>
      <c r="M597" s="172"/>
      <c r="N597" s="93" t="s">
        <v>3438</v>
      </c>
      <c r="O597" s="92" t="s">
        <v>2318</v>
      </c>
      <c r="P597" s="88" t="s">
        <v>3439</v>
      </c>
      <c r="Q597" s="88" t="s">
        <v>48</v>
      </c>
      <c r="R597" s="86">
        <v>9962944508</v>
      </c>
      <c r="S597" s="88" t="s">
        <v>3276</v>
      </c>
      <c r="T597" s="129"/>
      <c r="U597" s="151"/>
      <c r="V597" s="151"/>
      <c r="W597" s="151"/>
      <c r="X597" s="151"/>
      <c r="Y597" s="147"/>
      <c r="Z597" s="147"/>
      <c r="AA597" s="147"/>
      <c r="AB597" s="126" t="s">
        <v>165</v>
      </c>
      <c r="AC597" s="141" t="s">
        <v>129</v>
      </c>
      <c r="AD597" s="14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  <c r="AQ597" s="121"/>
      <c r="AR597" s="121"/>
      <c r="AS597" s="121"/>
      <c r="AT597" s="121"/>
      <c r="AU597" s="121"/>
      <c r="AV597" s="121">
        <f>COUNTA('All Details for ACID Pastor'!$AB597)</f>
        <v>1</v>
      </c>
      <c r="AW597" s="163"/>
      <c r="AX597" s="163"/>
      <c r="AZ597" s="121" t="s">
        <v>49</v>
      </c>
      <c r="BA597" s="163"/>
      <c r="BB597" s="163">
        <v>2</v>
      </c>
      <c r="BC597" s="163"/>
      <c r="BF597" s="163">
        <v>3</v>
      </c>
    </row>
    <row r="598" spans="1:58" ht="78.75" customHeight="1">
      <c r="A598" s="107">
        <v>594</v>
      </c>
      <c r="B598" s="124" t="s">
        <v>3440</v>
      </c>
      <c r="C598" s="90" t="s">
        <v>3441</v>
      </c>
      <c r="D598" s="95" t="s">
        <v>53</v>
      </c>
      <c r="E598" s="95" t="s">
        <v>160</v>
      </c>
      <c r="F598" s="95"/>
      <c r="G598" s="95"/>
      <c r="H598" s="95"/>
      <c r="I598" s="95"/>
      <c r="J598" s="115" t="s">
        <v>3436</v>
      </c>
      <c r="K598" s="193" t="s">
        <v>3442</v>
      </c>
      <c r="L598" s="121"/>
      <c r="M598" s="172" t="s">
        <v>3443</v>
      </c>
      <c r="N598" s="93" t="s">
        <v>3444</v>
      </c>
      <c r="O598" s="92" t="s">
        <v>2318</v>
      </c>
      <c r="P598" s="88" t="s">
        <v>3439</v>
      </c>
      <c r="Q598" s="88" t="s">
        <v>48</v>
      </c>
      <c r="R598" s="86">
        <v>9962689699</v>
      </c>
      <c r="S598" s="88" t="s">
        <v>3276</v>
      </c>
      <c r="T598" s="129"/>
      <c r="U598" s="151"/>
      <c r="V598" s="151"/>
      <c r="W598" s="151"/>
      <c r="X598" s="151"/>
      <c r="Y598" s="147"/>
      <c r="Z598" s="147"/>
      <c r="AA598" s="147"/>
      <c r="AB598" s="126" t="s">
        <v>165</v>
      </c>
      <c r="AC598" s="141" t="s">
        <v>129</v>
      </c>
      <c r="AD598" s="141" t="s">
        <v>129</v>
      </c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  <c r="AQ598" s="121"/>
      <c r="AR598" s="121"/>
      <c r="AS598" s="121"/>
      <c r="AT598" s="121"/>
      <c r="AU598" s="121"/>
      <c r="AV598" s="121">
        <f>COUNTA('All Details for ACID Pastor'!$AB598)</f>
        <v>1</v>
      </c>
      <c r="AW598" s="163"/>
      <c r="AX598" s="163"/>
      <c r="AZ598" s="121" t="s">
        <v>49</v>
      </c>
      <c r="BA598" s="163"/>
      <c r="BB598" s="163">
        <v>2</v>
      </c>
      <c r="BC598" s="163"/>
      <c r="BF598" s="163">
        <v>3</v>
      </c>
    </row>
    <row r="599" spans="1:58" ht="70.150000000000006" customHeight="1">
      <c r="A599" s="107">
        <v>595</v>
      </c>
      <c r="B599" s="124" t="s">
        <v>3445</v>
      </c>
      <c r="C599" s="90" t="s">
        <v>3446</v>
      </c>
      <c r="D599" s="95" t="s">
        <v>53</v>
      </c>
      <c r="E599" s="95" t="s">
        <v>54</v>
      </c>
      <c r="F599" s="95"/>
      <c r="G599" s="95"/>
      <c r="H599" s="95"/>
      <c r="I599" s="95"/>
      <c r="J599" s="115" t="s">
        <v>3269</v>
      </c>
      <c r="K599" s="193" t="s">
        <v>3447</v>
      </c>
      <c r="L599" s="155" t="s">
        <v>4209</v>
      </c>
      <c r="M599" s="172" t="s">
        <v>3448</v>
      </c>
      <c r="N599" s="93" t="s">
        <v>3449</v>
      </c>
      <c r="O599" s="92" t="s">
        <v>3450</v>
      </c>
      <c r="P599" s="88" t="s">
        <v>3230</v>
      </c>
      <c r="Q599" s="88" t="s">
        <v>48</v>
      </c>
      <c r="R599" s="86">
        <v>9080195215</v>
      </c>
      <c r="S599" s="88" t="s">
        <v>3276</v>
      </c>
      <c r="T599" s="129"/>
      <c r="U599" s="151"/>
      <c r="V599" s="151"/>
      <c r="W599" s="151"/>
      <c r="X599" s="151"/>
      <c r="Y599" s="147"/>
      <c r="Z599" s="147"/>
      <c r="AA599" s="147"/>
      <c r="AB599" s="147"/>
      <c r="AC599" s="147"/>
      <c r="AD599" s="147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  <c r="AQ599" s="121"/>
      <c r="AR599" s="121"/>
      <c r="AS599" s="121"/>
      <c r="AT599" s="121"/>
      <c r="AU599" s="121"/>
      <c r="AV599" s="121">
        <f>COUNTA('All Details for ACID Pastor'!$AB599)</f>
        <v>0</v>
      </c>
      <c r="AW599" s="163"/>
      <c r="AX599" s="163"/>
      <c r="AZ599" s="121" t="s">
        <v>49</v>
      </c>
      <c r="BA599" s="163"/>
      <c r="BB599" s="163"/>
      <c r="BC599" s="163"/>
      <c r="BF599" s="163">
        <f>COUNTA('All Details for ACID Pastor'!$T599:$AB599)</f>
        <v>0</v>
      </c>
    </row>
    <row r="600" spans="1:58" ht="70.150000000000006" customHeight="1">
      <c r="A600" s="107">
        <v>596</v>
      </c>
      <c r="B600" s="124" t="s">
        <v>3451</v>
      </c>
      <c r="C600" s="90" t="s">
        <v>3452</v>
      </c>
      <c r="D600" s="95" t="s">
        <v>53</v>
      </c>
      <c r="E600" s="95" t="s">
        <v>54</v>
      </c>
      <c r="F600" s="95"/>
      <c r="G600" s="95"/>
      <c r="H600" s="95"/>
      <c r="I600" s="95"/>
      <c r="J600" s="115" t="s">
        <v>3269</v>
      </c>
      <c r="K600" s="193" t="s">
        <v>3453</v>
      </c>
      <c r="L600" s="155" t="s">
        <v>4209</v>
      </c>
      <c r="M600" s="172"/>
      <c r="N600" s="93" t="s">
        <v>3454</v>
      </c>
      <c r="O600" s="92" t="s">
        <v>1429</v>
      </c>
      <c r="P600" s="88" t="s">
        <v>73</v>
      </c>
      <c r="Q600" s="88" t="s">
        <v>48</v>
      </c>
      <c r="R600" s="86">
        <v>9514283008</v>
      </c>
      <c r="S600" s="88" t="s">
        <v>3276</v>
      </c>
      <c r="T600" s="129"/>
      <c r="U600" s="151"/>
      <c r="V600" s="151"/>
      <c r="W600" s="151"/>
      <c r="X600" s="151"/>
      <c r="Y600" s="147"/>
      <c r="Z600" s="147"/>
      <c r="AA600" s="147"/>
      <c r="AB600" s="126" t="s">
        <v>165</v>
      </c>
      <c r="AC600" s="141" t="s">
        <v>129</v>
      </c>
      <c r="AD600" s="14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  <c r="AQ600" s="121"/>
      <c r="AR600" s="121"/>
      <c r="AS600" s="121"/>
      <c r="AT600" s="121"/>
      <c r="AU600" s="121"/>
      <c r="AV600" s="121">
        <f>COUNTA('All Details for ACID Pastor'!$AB600)</f>
        <v>1</v>
      </c>
      <c r="AW600" s="163"/>
      <c r="AX600" s="163"/>
      <c r="AZ600" s="121" t="s">
        <v>49</v>
      </c>
      <c r="BA600" s="163"/>
      <c r="BB600" s="163">
        <v>1</v>
      </c>
      <c r="BC600" s="163"/>
      <c r="BF600" s="163">
        <v>2</v>
      </c>
    </row>
    <row r="601" spans="1:58" ht="70.150000000000006" customHeight="1">
      <c r="A601" s="107">
        <v>597</v>
      </c>
      <c r="B601" s="124" t="s">
        <v>3455</v>
      </c>
      <c r="C601" s="90" t="s">
        <v>3456</v>
      </c>
      <c r="D601" s="95" t="s">
        <v>53</v>
      </c>
      <c r="E601" s="95" t="s">
        <v>54</v>
      </c>
      <c r="F601" s="95"/>
      <c r="G601" s="95"/>
      <c r="H601" s="95"/>
      <c r="I601" s="95"/>
      <c r="J601" s="115" t="s">
        <v>3457</v>
      </c>
      <c r="K601" s="193" t="s">
        <v>3458</v>
      </c>
      <c r="L601" s="155" t="s">
        <v>4209</v>
      </c>
      <c r="M601" s="172"/>
      <c r="N601" s="93" t="s">
        <v>3459</v>
      </c>
      <c r="O601" s="92" t="s">
        <v>3460</v>
      </c>
      <c r="P601" s="88" t="s">
        <v>47</v>
      </c>
      <c r="Q601" s="88" t="s">
        <v>48</v>
      </c>
      <c r="R601" s="86">
        <v>8870755758</v>
      </c>
      <c r="S601" s="88" t="s">
        <v>3276</v>
      </c>
      <c r="T601" s="129"/>
      <c r="U601" s="151"/>
      <c r="V601" s="151"/>
      <c r="W601" s="151"/>
      <c r="X601" s="151"/>
      <c r="Y601" s="147"/>
      <c r="Z601" s="147"/>
      <c r="AA601" s="147"/>
      <c r="AB601" s="147"/>
      <c r="AC601" s="147"/>
      <c r="AD601" s="147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  <c r="AQ601" s="121"/>
      <c r="AR601" s="121"/>
      <c r="AS601" s="121"/>
      <c r="AT601" s="121"/>
      <c r="AU601" s="121"/>
      <c r="AV601" s="121">
        <f>COUNTA('All Details for ACID Pastor'!$AB601)</f>
        <v>0</v>
      </c>
      <c r="AW601" s="163"/>
      <c r="AX601" s="163"/>
      <c r="AZ601" s="121" t="s">
        <v>49</v>
      </c>
      <c r="BA601" s="163"/>
      <c r="BB601" s="163"/>
      <c r="BC601" s="163"/>
      <c r="BF601" s="163">
        <f>COUNTA('All Details for ACID Pastor'!$T601:$AB601)</f>
        <v>0</v>
      </c>
    </row>
    <row r="602" spans="1:58" ht="70.150000000000006" customHeight="1">
      <c r="A602" s="107">
        <v>598</v>
      </c>
      <c r="B602" s="124" t="s">
        <v>3461</v>
      </c>
      <c r="C602" s="90" t="s">
        <v>3462</v>
      </c>
      <c r="D602" s="95" t="s">
        <v>53</v>
      </c>
      <c r="E602" s="95" t="s">
        <v>160</v>
      </c>
      <c r="F602" s="95"/>
      <c r="G602" s="95"/>
      <c r="H602" s="95"/>
      <c r="I602" s="95"/>
      <c r="J602" s="115" t="s">
        <v>3457</v>
      </c>
      <c r="K602" s="193" t="s">
        <v>2268</v>
      </c>
      <c r="L602" s="121"/>
      <c r="M602" s="172"/>
      <c r="N602" s="93" t="s">
        <v>3459</v>
      </c>
      <c r="O602" s="92" t="s">
        <v>3460</v>
      </c>
      <c r="P602" s="88" t="s">
        <v>47</v>
      </c>
      <c r="Q602" s="88" t="s">
        <v>48</v>
      </c>
      <c r="R602" s="86">
        <v>9962465460</v>
      </c>
      <c r="S602" s="88" t="s">
        <v>3276</v>
      </c>
      <c r="T602" s="129"/>
      <c r="U602" s="151"/>
      <c r="V602" s="151"/>
      <c r="W602" s="151"/>
      <c r="X602" s="151"/>
      <c r="Y602" s="147"/>
      <c r="Z602" s="147"/>
      <c r="AA602" s="147"/>
      <c r="AB602" s="147"/>
      <c r="AC602" s="147"/>
      <c r="AD602" s="147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  <c r="AQ602" s="121"/>
      <c r="AR602" s="121"/>
      <c r="AS602" s="121"/>
      <c r="AT602" s="121"/>
      <c r="AU602" s="121"/>
      <c r="AV602" s="121">
        <f>COUNTA('All Details for ACID Pastor'!$AB602)</f>
        <v>0</v>
      </c>
      <c r="AW602" s="163"/>
      <c r="AX602" s="163"/>
      <c r="AZ602" s="121" t="s">
        <v>49</v>
      </c>
      <c r="BA602" s="163"/>
      <c r="BB602" s="163"/>
      <c r="BC602" s="163"/>
      <c r="BF602" s="163">
        <f>COUNTA('All Details for ACID Pastor'!$T602:$AB602)</f>
        <v>0</v>
      </c>
    </row>
    <row r="603" spans="1:58" ht="70.150000000000006" customHeight="1">
      <c r="A603" s="107">
        <v>599</v>
      </c>
      <c r="B603" s="124" t="s">
        <v>3463</v>
      </c>
      <c r="C603" s="90" t="s">
        <v>3464</v>
      </c>
      <c r="D603" s="95" t="s">
        <v>53</v>
      </c>
      <c r="E603" s="95" t="s">
        <v>54</v>
      </c>
      <c r="F603" s="95"/>
      <c r="G603" s="95"/>
      <c r="H603" s="95"/>
      <c r="I603" s="95"/>
      <c r="J603" s="115" t="s">
        <v>3269</v>
      </c>
      <c r="K603" s="193" t="s">
        <v>3465</v>
      </c>
      <c r="L603" s="155" t="s">
        <v>4209</v>
      </c>
      <c r="M603" s="172"/>
      <c r="N603" s="93" t="s">
        <v>3466</v>
      </c>
      <c r="O603" s="92" t="s">
        <v>3467</v>
      </c>
      <c r="P603" s="88" t="s">
        <v>1002</v>
      </c>
      <c r="Q603" s="88" t="s">
        <v>48</v>
      </c>
      <c r="R603" s="86">
        <v>9965339343</v>
      </c>
      <c r="S603" s="88" t="s">
        <v>3276</v>
      </c>
      <c r="T603" s="129"/>
      <c r="U603" s="151"/>
      <c r="V603" s="151"/>
      <c r="W603" s="151"/>
      <c r="X603" s="151"/>
      <c r="Y603" s="147"/>
      <c r="Z603" s="147"/>
      <c r="AA603" s="147"/>
      <c r="AB603" s="126" t="s">
        <v>165</v>
      </c>
      <c r="AC603" s="126" t="s">
        <v>1005</v>
      </c>
      <c r="AD603" s="141" t="s">
        <v>4222</v>
      </c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  <c r="AQ603" s="121"/>
      <c r="AR603" s="121"/>
      <c r="AS603" s="121"/>
      <c r="AT603" s="121"/>
      <c r="AU603" s="121"/>
      <c r="AV603" s="121">
        <f>COUNTA('All Details for ACID Pastor'!$AB603)</f>
        <v>1</v>
      </c>
      <c r="AW603" s="163"/>
      <c r="AX603" s="163"/>
      <c r="AZ603" s="121" t="s">
        <v>49</v>
      </c>
      <c r="BA603" s="163"/>
      <c r="BB603" s="163"/>
      <c r="BC603" s="163"/>
      <c r="BE603" s="283">
        <v>1</v>
      </c>
      <c r="BF603" s="163">
        <v>5</v>
      </c>
    </row>
    <row r="604" spans="1:58" ht="70.150000000000006" customHeight="1">
      <c r="A604" s="107">
        <v>600</v>
      </c>
      <c r="B604" s="124" t="s">
        <v>3468</v>
      </c>
      <c r="C604" s="90" t="s">
        <v>3469</v>
      </c>
      <c r="D604" s="95" t="s">
        <v>53</v>
      </c>
      <c r="E604" s="95" t="s">
        <v>54</v>
      </c>
      <c r="F604" s="95"/>
      <c r="G604" s="95"/>
      <c r="H604" s="95"/>
      <c r="I604" s="95"/>
      <c r="J604" s="115" t="s">
        <v>3414</v>
      </c>
      <c r="K604" s="193" t="s">
        <v>3470</v>
      </c>
      <c r="L604" s="155" t="s">
        <v>4209</v>
      </c>
      <c r="M604" s="172" t="s">
        <v>3471</v>
      </c>
      <c r="N604" s="93" t="s">
        <v>3472</v>
      </c>
      <c r="O604" s="116" t="s">
        <v>3473</v>
      </c>
      <c r="P604" s="88" t="s">
        <v>1010</v>
      </c>
      <c r="Q604" s="88" t="s">
        <v>48</v>
      </c>
      <c r="R604" s="86">
        <v>9942260958</v>
      </c>
      <c r="S604" s="88" t="s">
        <v>3276</v>
      </c>
      <c r="T604" s="129"/>
      <c r="U604" s="151"/>
      <c r="V604" s="151"/>
      <c r="W604" s="151"/>
      <c r="X604" s="151"/>
      <c r="Y604" s="147"/>
      <c r="Z604" s="147"/>
      <c r="AA604" s="147"/>
      <c r="AB604" s="147"/>
      <c r="AC604" s="147"/>
      <c r="AD604" s="147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  <c r="AQ604" s="121"/>
      <c r="AR604" s="121"/>
      <c r="AS604" s="121"/>
      <c r="AT604" s="121"/>
      <c r="AU604" s="121"/>
      <c r="AV604" s="121">
        <f>COUNTA('All Details for ACID Pastor'!$AB604)</f>
        <v>0</v>
      </c>
      <c r="AW604" s="163"/>
      <c r="AX604" s="163"/>
      <c r="AZ604" s="121" t="s">
        <v>49</v>
      </c>
      <c r="BA604" s="163"/>
      <c r="BB604" s="163"/>
      <c r="BC604" s="163"/>
      <c r="BF604" s="163">
        <f>COUNTA('All Details for ACID Pastor'!$T604:$AB604)</f>
        <v>0</v>
      </c>
    </row>
    <row r="605" spans="1:58" ht="70.150000000000006" customHeight="1">
      <c r="A605" s="107">
        <v>601</v>
      </c>
      <c r="B605" s="124" t="s">
        <v>3474</v>
      </c>
      <c r="C605" s="90" t="s">
        <v>3475</v>
      </c>
      <c r="D605" s="95" t="s">
        <v>53</v>
      </c>
      <c r="E605" s="95" t="s">
        <v>54</v>
      </c>
      <c r="F605" s="95"/>
      <c r="G605" s="95"/>
      <c r="H605" s="95"/>
      <c r="I605" s="95"/>
      <c r="J605" s="115" t="s">
        <v>3286</v>
      </c>
      <c r="K605" s="193" t="s">
        <v>3476</v>
      </c>
      <c r="L605" s="155" t="s">
        <v>4209</v>
      </c>
      <c r="M605" s="172"/>
      <c r="N605" s="93" t="s">
        <v>3477</v>
      </c>
      <c r="O605" s="92" t="s">
        <v>3478</v>
      </c>
      <c r="P605" s="88" t="s">
        <v>198</v>
      </c>
      <c r="Q605" s="88" t="s">
        <v>48</v>
      </c>
      <c r="R605" s="86">
        <v>9629908067</v>
      </c>
      <c r="S605" s="88" t="s">
        <v>3276</v>
      </c>
      <c r="T605" s="129"/>
      <c r="U605" s="151"/>
      <c r="V605" s="151"/>
      <c r="W605" s="151"/>
      <c r="X605" s="151"/>
      <c r="Y605" s="147"/>
      <c r="Z605" s="147"/>
      <c r="AA605" s="147"/>
      <c r="AB605" s="126" t="s">
        <v>3479</v>
      </c>
      <c r="AC605" s="147" t="s">
        <v>4222</v>
      </c>
      <c r="AD605" s="147" t="s">
        <v>4222</v>
      </c>
      <c r="AE605" s="276" t="s">
        <v>4391</v>
      </c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  <c r="AQ605" s="121"/>
      <c r="AR605" s="121"/>
      <c r="AS605" s="121"/>
      <c r="AT605" s="121"/>
      <c r="AU605" s="121"/>
      <c r="AV605" s="121">
        <f>COUNTA('All Details for ACID Pastor'!$AB605)</f>
        <v>1</v>
      </c>
      <c r="AW605" s="163"/>
      <c r="AX605" s="163"/>
      <c r="AZ605" s="121" t="s">
        <v>49</v>
      </c>
      <c r="BA605" s="163"/>
      <c r="BB605" s="163"/>
      <c r="BC605" s="163"/>
      <c r="BE605" s="285">
        <v>3</v>
      </c>
      <c r="BF605" s="163">
        <v>7</v>
      </c>
    </row>
    <row r="606" spans="1:58" ht="70.150000000000006" customHeight="1">
      <c r="A606" s="107">
        <v>602</v>
      </c>
      <c r="B606" s="124" t="s">
        <v>3480</v>
      </c>
      <c r="C606" s="90" t="s">
        <v>3481</v>
      </c>
      <c r="D606" s="95" t="s">
        <v>53</v>
      </c>
      <c r="E606" s="95" t="s">
        <v>54</v>
      </c>
      <c r="F606" s="95"/>
      <c r="G606" s="95"/>
      <c r="H606" s="95"/>
      <c r="I606" s="95"/>
      <c r="J606" s="115" t="s">
        <v>3414</v>
      </c>
      <c r="K606" s="193" t="s">
        <v>3482</v>
      </c>
      <c r="L606" s="155" t="s">
        <v>4209</v>
      </c>
      <c r="M606" s="172"/>
      <c r="N606" s="93" t="s">
        <v>3483</v>
      </c>
      <c r="O606" s="92" t="s">
        <v>3484</v>
      </c>
      <c r="P606" s="88" t="s">
        <v>1479</v>
      </c>
      <c r="Q606" s="88" t="s">
        <v>517</v>
      </c>
      <c r="R606" s="86">
        <v>8590573489</v>
      </c>
      <c r="S606" s="88" t="s">
        <v>3276</v>
      </c>
      <c r="T606" s="129"/>
      <c r="U606" s="151"/>
      <c r="V606" s="151"/>
      <c r="W606" s="151"/>
      <c r="X606" s="151"/>
      <c r="Y606" s="147"/>
      <c r="Z606" s="147"/>
      <c r="AA606" s="147"/>
      <c r="AB606" s="126" t="s">
        <v>165</v>
      </c>
      <c r="AC606" s="141" t="s">
        <v>129</v>
      </c>
      <c r="AD606" s="14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  <c r="AQ606" s="121"/>
      <c r="AR606" s="121"/>
      <c r="AS606" s="121"/>
      <c r="AT606" s="121"/>
      <c r="AU606" s="121"/>
      <c r="AV606" s="121">
        <f>COUNTA('All Details for ACID Pastor'!$AB606)</f>
        <v>1</v>
      </c>
      <c r="AW606" s="163"/>
      <c r="AX606" s="163"/>
      <c r="AZ606" s="121" t="s">
        <v>49</v>
      </c>
      <c r="BA606" s="163"/>
      <c r="BB606" s="163">
        <v>1</v>
      </c>
      <c r="BC606" s="163"/>
      <c r="BF606" s="163">
        <v>2</v>
      </c>
    </row>
    <row r="607" spans="1:58" ht="70.150000000000006" customHeight="1">
      <c r="A607" s="107">
        <v>603</v>
      </c>
      <c r="B607" s="124" t="s">
        <v>3485</v>
      </c>
      <c r="C607" s="90" t="s">
        <v>3486</v>
      </c>
      <c r="D607" s="95" t="s">
        <v>53</v>
      </c>
      <c r="E607" s="95" t="s">
        <v>54</v>
      </c>
      <c r="F607" s="95"/>
      <c r="G607" s="95"/>
      <c r="H607" s="95"/>
      <c r="I607" s="95"/>
      <c r="J607" s="115" t="s">
        <v>3359</v>
      </c>
      <c r="K607" s="193" t="s">
        <v>3487</v>
      </c>
      <c r="L607" s="155" t="s">
        <v>4209</v>
      </c>
      <c r="M607" s="172" t="s">
        <v>3488</v>
      </c>
      <c r="N607" s="93" t="s">
        <v>3489</v>
      </c>
      <c r="O607" s="92" t="s">
        <v>2603</v>
      </c>
      <c r="P607" s="88" t="s">
        <v>1102</v>
      </c>
      <c r="Q607" s="88" t="s">
        <v>48</v>
      </c>
      <c r="R607" s="86">
        <v>9677636957</v>
      </c>
      <c r="S607" s="88" t="s">
        <v>3276</v>
      </c>
      <c r="T607" s="129"/>
      <c r="U607" s="151"/>
      <c r="V607" s="151"/>
      <c r="W607" s="151"/>
      <c r="X607" s="151"/>
      <c r="Y607" s="147"/>
      <c r="Z607" s="147"/>
      <c r="AA607" s="147"/>
      <c r="AB607" s="147"/>
      <c r="AC607" s="126" t="s">
        <v>1236</v>
      </c>
      <c r="AD607" s="141" t="s">
        <v>4222</v>
      </c>
      <c r="AE607" s="276" t="s">
        <v>4222</v>
      </c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  <c r="AQ607" s="121"/>
      <c r="AR607" s="121"/>
      <c r="AS607" s="121"/>
      <c r="AT607" s="121"/>
      <c r="AU607" s="121"/>
      <c r="AV607" s="121">
        <f>COUNTA('All Details for ACID Pastor'!$AB607)</f>
        <v>0</v>
      </c>
      <c r="AW607" s="163"/>
      <c r="AX607" s="163"/>
      <c r="AY607" s="276" t="s">
        <v>4222</v>
      </c>
      <c r="AZ607" s="121" t="s">
        <v>49</v>
      </c>
      <c r="BA607" s="163"/>
      <c r="BB607" s="163"/>
      <c r="BC607" s="163"/>
      <c r="BE607" s="281">
        <v>3</v>
      </c>
      <c r="BF607" s="163">
        <v>7</v>
      </c>
    </row>
    <row r="608" spans="1:58" ht="70.150000000000006" customHeight="1">
      <c r="A608" s="107">
        <v>604</v>
      </c>
      <c r="B608" s="124" t="s">
        <v>3490</v>
      </c>
      <c r="C608" s="90" t="s">
        <v>3491</v>
      </c>
      <c r="D608" s="95" t="s">
        <v>53</v>
      </c>
      <c r="E608" s="95" t="s">
        <v>54</v>
      </c>
      <c r="F608" s="95"/>
      <c r="G608" s="95"/>
      <c r="H608" s="95"/>
      <c r="I608" s="95"/>
      <c r="J608" s="115" t="s">
        <v>3359</v>
      </c>
      <c r="K608" s="193" t="s">
        <v>3492</v>
      </c>
      <c r="L608" s="155" t="s">
        <v>4209</v>
      </c>
      <c r="M608" s="172"/>
      <c r="N608" s="93" t="s">
        <v>3493</v>
      </c>
      <c r="O608" s="92" t="s">
        <v>2603</v>
      </c>
      <c r="P608" s="88" t="s">
        <v>1102</v>
      </c>
      <c r="Q608" s="88" t="s">
        <v>48</v>
      </c>
      <c r="R608" s="86">
        <v>7373016106</v>
      </c>
      <c r="S608" s="88" t="s">
        <v>3276</v>
      </c>
      <c r="T608" s="129"/>
      <c r="U608" s="151"/>
      <c r="V608" s="151"/>
      <c r="W608" s="151"/>
      <c r="X608" s="151"/>
      <c r="Y608" s="147"/>
      <c r="Z608" s="147"/>
      <c r="AA608" s="147"/>
      <c r="AB608" s="147"/>
      <c r="AC608" s="126" t="s">
        <v>1236</v>
      </c>
      <c r="AD608" s="14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>
        <f>COUNTA('All Details for ACID Pastor'!$AB608)</f>
        <v>0</v>
      </c>
      <c r="AW608" s="163"/>
      <c r="AX608" s="163"/>
      <c r="AZ608" s="121" t="s">
        <v>49</v>
      </c>
      <c r="BA608" s="163"/>
      <c r="BB608" s="163"/>
      <c r="BC608" s="163"/>
      <c r="BF608" s="163">
        <v>1</v>
      </c>
    </row>
    <row r="609" spans="1:58" ht="70.150000000000006" customHeight="1">
      <c r="A609" s="107">
        <v>605</v>
      </c>
      <c r="B609" s="124" t="s">
        <v>3494</v>
      </c>
      <c r="C609" s="90" t="s">
        <v>3495</v>
      </c>
      <c r="D609" s="95" t="s">
        <v>53</v>
      </c>
      <c r="E609" s="95" t="s">
        <v>54</v>
      </c>
      <c r="F609" s="95"/>
      <c r="G609" s="95"/>
      <c r="H609" s="95"/>
      <c r="I609" s="95"/>
      <c r="J609" s="115" t="s">
        <v>3359</v>
      </c>
      <c r="K609" s="193" t="s">
        <v>3496</v>
      </c>
      <c r="L609" s="155" t="s">
        <v>4209</v>
      </c>
      <c r="M609" s="172"/>
      <c r="N609" s="93" t="s">
        <v>3497</v>
      </c>
      <c r="O609" s="92" t="s">
        <v>2603</v>
      </c>
      <c r="P609" s="88" t="s">
        <v>1102</v>
      </c>
      <c r="Q609" s="88" t="s">
        <v>48</v>
      </c>
      <c r="R609" s="86">
        <v>7373016106</v>
      </c>
      <c r="S609" s="88" t="s">
        <v>3276</v>
      </c>
      <c r="T609" s="129"/>
      <c r="U609" s="151"/>
      <c r="V609" s="151"/>
      <c r="W609" s="151"/>
      <c r="X609" s="151"/>
      <c r="Y609" s="147"/>
      <c r="Z609" s="147"/>
      <c r="AA609" s="147"/>
      <c r="AB609" s="126" t="s">
        <v>1236</v>
      </c>
      <c r="AC609" s="126" t="s">
        <v>1236</v>
      </c>
      <c r="AD609" s="14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  <c r="AQ609" s="121"/>
      <c r="AR609" s="121"/>
      <c r="AS609" s="121"/>
      <c r="AT609" s="121"/>
      <c r="AU609" s="121"/>
      <c r="AV609" s="121">
        <f>COUNTA('All Details for ACID Pastor'!$AB609)</f>
        <v>1</v>
      </c>
      <c r="AW609" s="163"/>
      <c r="AX609" s="163"/>
      <c r="AZ609" s="121" t="s">
        <v>49</v>
      </c>
      <c r="BA609" s="163"/>
      <c r="BB609" s="163"/>
      <c r="BC609" s="163"/>
      <c r="BF609" s="163">
        <v>2</v>
      </c>
    </row>
    <row r="610" spans="1:58" ht="70.150000000000006" customHeight="1">
      <c r="A610" s="107">
        <v>606</v>
      </c>
      <c r="B610" s="124" t="s">
        <v>3498</v>
      </c>
      <c r="C610" s="90" t="s">
        <v>3499</v>
      </c>
      <c r="D610" s="95" t="s">
        <v>53</v>
      </c>
      <c r="E610" s="95" t="s">
        <v>54</v>
      </c>
      <c r="F610" s="95"/>
      <c r="G610" s="95"/>
      <c r="H610" s="95"/>
      <c r="I610" s="95"/>
      <c r="J610" s="115" t="s">
        <v>3500</v>
      </c>
      <c r="K610" s="193" t="s">
        <v>3501</v>
      </c>
      <c r="L610" s="155" t="s">
        <v>4209</v>
      </c>
      <c r="M610" s="172" t="s">
        <v>3502</v>
      </c>
      <c r="N610" s="93" t="s">
        <v>3503</v>
      </c>
      <c r="O610" s="92" t="s">
        <v>3504</v>
      </c>
      <c r="P610" s="88" t="s">
        <v>1102</v>
      </c>
      <c r="Q610" s="88" t="s">
        <v>48</v>
      </c>
      <c r="R610" s="86">
        <v>9566678687</v>
      </c>
      <c r="S610" s="88" t="s">
        <v>3276</v>
      </c>
      <c r="T610" s="129"/>
      <c r="U610" s="151"/>
      <c r="V610" s="151"/>
      <c r="W610" s="151"/>
      <c r="X610" s="151"/>
      <c r="Y610" s="147"/>
      <c r="Z610" s="147"/>
      <c r="AA610" s="147"/>
      <c r="AB610" s="147"/>
      <c r="AC610" s="141" t="s">
        <v>129</v>
      </c>
      <c r="AD610" s="147" t="s">
        <v>4222</v>
      </c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  <c r="AQ610" s="121"/>
      <c r="AR610" s="121"/>
      <c r="AS610" s="121"/>
      <c r="AT610" s="121"/>
      <c r="AU610" s="121"/>
      <c r="AV610" s="121">
        <f>COUNTA('All Details for ACID Pastor'!$AB610)</f>
        <v>0</v>
      </c>
      <c r="AW610" s="163"/>
      <c r="AX610" s="163"/>
      <c r="AZ610" s="121" t="s">
        <v>49</v>
      </c>
      <c r="BA610" s="163"/>
      <c r="BB610" s="163">
        <v>1</v>
      </c>
      <c r="BC610" s="163"/>
      <c r="BE610" s="285">
        <v>1</v>
      </c>
      <c r="BF610" s="163">
        <v>4</v>
      </c>
    </row>
    <row r="611" spans="1:58" ht="70.150000000000006" customHeight="1">
      <c r="A611" s="107">
        <v>607</v>
      </c>
      <c r="B611" s="124" t="s">
        <v>3505</v>
      </c>
      <c r="C611" s="90" t="s">
        <v>3506</v>
      </c>
      <c r="D611" s="95" t="s">
        <v>53</v>
      </c>
      <c r="E611" s="95" t="s">
        <v>54</v>
      </c>
      <c r="F611" s="95"/>
      <c r="G611" s="95"/>
      <c r="H611" s="95"/>
      <c r="I611" s="95"/>
      <c r="J611" s="115" t="s">
        <v>3507</v>
      </c>
      <c r="K611" s="193" t="s">
        <v>3508</v>
      </c>
      <c r="L611" s="155" t="s">
        <v>4209</v>
      </c>
      <c r="M611" s="172" t="s">
        <v>3509</v>
      </c>
      <c r="N611" s="93" t="s">
        <v>3510</v>
      </c>
      <c r="O611" s="117" t="s">
        <v>4195</v>
      </c>
      <c r="P611" s="88" t="s">
        <v>3511</v>
      </c>
      <c r="Q611" s="88" t="s">
        <v>48</v>
      </c>
      <c r="R611" s="86">
        <v>9942532313</v>
      </c>
      <c r="S611" s="88" t="s">
        <v>3276</v>
      </c>
      <c r="T611" s="129"/>
      <c r="U611" s="151"/>
      <c r="V611" s="151"/>
      <c r="W611" s="151"/>
      <c r="X611" s="151"/>
      <c r="Y611" s="147"/>
      <c r="Z611" s="147"/>
      <c r="AA611" s="147"/>
      <c r="AB611" s="147" t="s">
        <v>129</v>
      </c>
      <c r="AC611" s="147" t="s">
        <v>129</v>
      </c>
      <c r="AD611" s="147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  <c r="AQ611" s="121"/>
      <c r="AR611" s="121"/>
      <c r="AS611" s="121"/>
      <c r="AT611" s="121"/>
      <c r="AU611" s="121"/>
      <c r="AV611" s="121">
        <v>0</v>
      </c>
      <c r="AW611" s="163"/>
      <c r="AX611" s="163"/>
      <c r="AZ611" s="121" t="s">
        <v>49</v>
      </c>
      <c r="BA611" s="163"/>
      <c r="BB611" s="163">
        <v>2</v>
      </c>
      <c r="BC611" s="163"/>
      <c r="BF611" s="163">
        <v>2</v>
      </c>
    </row>
    <row r="612" spans="1:58" ht="70.150000000000006" customHeight="1">
      <c r="A612" s="107">
        <v>608</v>
      </c>
      <c r="B612" s="124" t="s">
        <v>3512</v>
      </c>
      <c r="C612" s="90" t="s">
        <v>3513</v>
      </c>
      <c r="D612" s="95" t="s">
        <v>53</v>
      </c>
      <c r="E612" s="95" t="s">
        <v>54</v>
      </c>
      <c r="F612" s="95"/>
      <c r="G612" s="95"/>
      <c r="H612" s="95"/>
      <c r="I612" s="95"/>
      <c r="J612" s="115" t="s">
        <v>3507</v>
      </c>
      <c r="K612" s="193" t="s">
        <v>3514</v>
      </c>
      <c r="L612" s="155" t="s">
        <v>4209</v>
      </c>
      <c r="M612" s="172" t="s">
        <v>3515</v>
      </c>
      <c r="N612" s="93" t="s">
        <v>4393</v>
      </c>
      <c r="O612" s="117" t="s">
        <v>4196</v>
      </c>
      <c r="P612" s="88" t="s">
        <v>3511</v>
      </c>
      <c r="Q612" s="88" t="s">
        <v>48</v>
      </c>
      <c r="R612" s="86">
        <v>9629437495</v>
      </c>
      <c r="S612" s="88" t="s">
        <v>3276</v>
      </c>
      <c r="T612" s="129"/>
      <c r="U612" s="151"/>
      <c r="V612" s="151"/>
      <c r="W612" s="151"/>
      <c r="X612" s="151"/>
      <c r="Y612" s="147"/>
      <c r="Z612" s="147"/>
      <c r="AA612" s="147"/>
      <c r="AB612" s="147" t="s">
        <v>129</v>
      </c>
      <c r="AC612" s="147" t="s">
        <v>129</v>
      </c>
      <c r="AD612" s="147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  <c r="AQ612" s="121"/>
      <c r="AR612" s="121"/>
      <c r="AS612" s="121"/>
      <c r="AT612" s="121"/>
      <c r="AU612" s="121"/>
      <c r="AV612" s="121">
        <v>0</v>
      </c>
      <c r="AW612" s="163"/>
      <c r="AX612" s="163"/>
      <c r="AZ612" s="121" t="s">
        <v>49</v>
      </c>
      <c r="BA612" s="163"/>
      <c r="BB612" s="163">
        <v>2</v>
      </c>
      <c r="BC612" s="163"/>
      <c r="BF612" s="163">
        <v>2</v>
      </c>
    </row>
    <row r="613" spans="1:58" ht="70.150000000000006" customHeight="1">
      <c r="A613" s="107">
        <v>609</v>
      </c>
      <c r="B613" s="124" t="s">
        <v>3516</v>
      </c>
      <c r="C613" s="90" t="s">
        <v>3517</v>
      </c>
      <c r="D613" s="95" t="s">
        <v>53</v>
      </c>
      <c r="E613" s="95" t="s">
        <v>54</v>
      </c>
      <c r="F613" s="95"/>
      <c r="G613" s="95"/>
      <c r="H613" s="95"/>
      <c r="I613" s="95"/>
      <c r="J613" s="115" t="s">
        <v>3507</v>
      </c>
      <c r="K613" s="193" t="s">
        <v>3518</v>
      </c>
      <c r="L613" s="155" t="s">
        <v>4209</v>
      </c>
      <c r="M613" s="172"/>
      <c r="N613" s="93" t="s">
        <v>3519</v>
      </c>
      <c r="O613" s="117" t="s">
        <v>4197</v>
      </c>
      <c r="P613" s="88" t="s">
        <v>3511</v>
      </c>
      <c r="Q613" s="88" t="s">
        <v>48</v>
      </c>
      <c r="R613" s="86">
        <v>9384267634</v>
      </c>
      <c r="S613" s="88" t="s">
        <v>3276</v>
      </c>
      <c r="T613" s="129"/>
      <c r="U613" s="151"/>
      <c r="V613" s="151"/>
      <c r="W613" s="151"/>
      <c r="X613" s="151"/>
      <c r="Y613" s="147"/>
      <c r="Z613" s="147"/>
      <c r="AA613" s="147"/>
      <c r="AB613" s="147" t="s">
        <v>129</v>
      </c>
      <c r="AC613" s="147" t="s">
        <v>129</v>
      </c>
      <c r="AD613" s="147" t="s">
        <v>4222</v>
      </c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  <c r="AQ613" s="121"/>
      <c r="AR613" s="121"/>
      <c r="AS613" s="121"/>
      <c r="AT613" s="121"/>
      <c r="AU613" s="121"/>
      <c r="AV613" s="121">
        <v>0</v>
      </c>
      <c r="AW613" s="163"/>
      <c r="AX613" s="163"/>
      <c r="AZ613" s="121" t="s">
        <v>49</v>
      </c>
      <c r="BA613" s="163"/>
      <c r="BB613" s="163">
        <v>2</v>
      </c>
      <c r="BC613" s="163"/>
      <c r="BE613" s="283">
        <v>1</v>
      </c>
      <c r="BF613" s="163">
        <v>3</v>
      </c>
    </row>
    <row r="614" spans="1:58" ht="70.150000000000006" customHeight="1">
      <c r="A614" s="107">
        <v>610</v>
      </c>
      <c r="B614" s="124" t="s">
        <v>3520</v>
      </c>
      <c r="C614" s="90" t="s">
        <v>3521</v>
      </c>
      <c r="D614" s="95" t="s">
        <v>53</v>
      </c>
      <c r="E614" s="95" t="s">
        <v>54</v>
      </c>
      <c r="F614" s="95"/>
      <c r="G614" s="95"/>
      <c r="H614" s="95"/>
      <c r="I614" s="95"/>
      <c r="J614" s="115" t="s">
        <v>3269</v>
      </c>
      <c r="K614" s="193" t="s">
        <v>3522</v>
      </c>
      <c r="L614" s="155" t="s">
        <v>4209</v>
      </c>
      <c r="M614" s="172"/>
      <c r="N614" s="93" t="s">
        <v>3523</v>
      </c>
      <c r="O614" s="117" t="s">
        <v>3524</v>
      </c>
      <c r="P614" s="88" t="s">
        <v>3230</v>
      </c>
      <c r="Q614" s="88" t="s">
        <v>48</v>
      </c>
      <c r="R614" s="86">
        <v>9940922410</v>
      </c>
      <c r="S614" s="88" t="s">
        <v>3276</v>
      </c>
      <c r="T614" s="129"/>
      <c r="U614" s="151"/>
      <c r="V614" s="151"/>
      <c r="W614" s="151"/>
      <c r="X614" s="151"/>
      <c r="Y614" s="147"/>
      <c r="Z614" s="147"/>
      <c r="AA614" s="147"/>
      <c r="AB614" s="126" t="s">
        <v>165</v>
      </c>
      <c r="AC614" s="141"/>
      <c r="AD614" s="14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>
        <f>COUNTA('All Details for ACID Pastor'!$AB614)</f>
        <v>1</v>
      </c>
      <c r="AW614" s="163"/>
      <c r="AX614" s="163"/>
      <c r="AZ614" s="121" t="s">
        <v>49</v>
      </c>
      <c r="BA614" s="163"/>
      <c r="BB614" s="163"/>
      <c r="BC614" s="163"/>
      <c r="BF614" s="163">
        <f>COUNTA('All Details for ACID Pastor'!$T614:$AB614)</f>
        <v>1</v>
      </c>
    </row>
    <row r="615" spans="1:58" ht="70.150000000000006" customHeight="1">
      <c r="A615" s="107">
        <v>611</v>
      </c>
      <c r="B615" s="124" t="s">
        <v>3525</v>
      </c>
      <c r="C615" s="90" t="s">
        <v>3526</v>
      </c>
      <c r="D615" s="95" t="s">
        <v>53</v>
      </c>
      <c r="E615" s="95" t="s">
        <v>54</v>
      </c>
      <c r="F615" s="95"/>
      <c r="G615" s="95"/>
      <c r="H615" s="95"/>
      <c r="I615" s="95"/>
      <c r="J615" s="115" t="s">
        <v>3527</v>
      </c>
      <c r="K615" s="193" t="s">
        <v>3528</v>
      </c>
      <c r="L615" s="155" t="s">
        <v>4209</v>
      </c>
      <c r="M615" s="172" t="s">
        <v>3529</v>
      </c>
      <c r="N615" s="93" t="s">
        <v>3530</v>
      </c>
      <c r="O615" s="117" t="s">
        <v>3531</v>
      </c>
      <c r="P615" s="88" t="s">
        <v>1102</v>
      </c>
      <c r="Q615" s="88" t="s">
        <v>48</v>
      </c>
      <c r="R615" s="86">
        <v>9629349243</v>
      </c>
      <c r="S615" s="88" t="s">
        <v>3532</v>
      </c>
      <c r="T615" s="129"/>
      <c r="U615" s="151"/>
      <c r="V615" s="151"/>
      <c r="W615" s="151"/>
      <c r="X615" s="151"/>
      <c r="Y615" s="147"/>
      <c r="Z615" s="147"/>
      <c r="AA615" s="147"/>
      <c r="AB615" s="141"/>
      <c r="AC615" s="126" t="s">
        <v>1236</v>
      </c>
      <c r="AD615" s="14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63"/>
      <c r="AX615" s="163"/>
      <c r="AZ615" s="121" t="s">
        <v>49</v>
      </c>
      <c r="BA615" s="163"/>
      <c r="BB615" s="163"/>
      <c r="BC615" s="163"/>
      <c r="BF615" s="163">
        <v>1</v>
      </c>
    </row>
    <row r="616" spans="1:58" ht="70.150000000000006" customHeight="1">
      <c r="A616" s="107">
        <v>612</v>
      </c>
      <c r="B616" s="124" t="s">
        <v>3533</v>
      </c>
      <c r="C616" s="90" t="s">
        <v>3534</v>
      </c>
      <c r="D616" s="95" t="s">
        <v>53</v>
      </c>
      <c r="E616" s="95" t="s">
        <v>54</v>
      </c>
      <c r="F616" s="95"/>
      <c r="G616" s="95"/>
      <c r="H616" s="95"/>
      <c r="I616" s="95"/>
      <c r="J616" s="115" t="s">
        <v>3535</v>
      </c>
      <c r="K616" s="193" t="s">
        <v>3536</v>
      </c>
      <c r="L616" s="155" t="s">
        <v>4209</v>
      </c>
      <c r="M616" s="172" t="s">
        <v>3537</v>
      </c>
      <c r="N616" s="93" t="s">
        <v>3538</v>
      </c>
      <c r="O616" s="92" t="s">
        <v>3539</v>
      </c>
      <c r="P616" s="88" t="s">
        <v>3540</v>
      </c>
      <c r="Q616" s="88" t="s">
        <v>48</v>
      </c>
      <c r="R616" s="86">
        <v>9600700985</v>
      </c>
      <c r="S616" s="88" t="s">
        <v>3532</v>
      </c>
      <c r="T616" s="129"/>
      <c r="U616" s="151"/>
      <c r="V616" s="151"/>
      <c r="W616" s="151"/>
      <c r="X616" s="151"/>
      <c r="Y616" s="147"/>
      <c r="Z616" s="147"/>
      <c r="AA616" s="147"/>
      <c r="AB616" s="126"/>
      <c r="AC616" s="141"/>
      <c r="AD616" s="14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  <c r="AQ616" s="121"/>
      <c r="AR616" s="121"/>
      <c r="AS616" s="121"/>
      <c r="AT616" s="121"/>
      <c r="AU616" s="121"/>
      <c r="AV616" s="121"/>
      <c r="AW616" s="163"/>
      <c r="AX616" s="163"/>
      <c r="AZ616" s="121" t="s">
        <v>49</v>
      </c>
      <c r="BA616" s="163"/>
      <c r="BB616" s="163"/>
      <c r="BC616" s="163"/>
      <c r="BF616" s="163">
        <f>COUNTA('All Details for ACID Pastor'!$T616:$AB616)</f>
        <v>0</v>
      </c>
    </row>
    <row r="617" spans="1:58" ht="70.150000000000006" customHeight="1">
      <c r="A617" s="107">
        <v>613</v>
      </c>
      <c r="B617" s="124" t="s">
        <v>3541</v>
      </c>
      <c r="C617" s="90" t="s">
        <v>3542</v>
      </c>
      <c r="D617" s="95" t="s">
        <v>53</v>
      </c>
      <c r="E617" s="95" t="s">
        <v>54</v>
      </c>
      <c r="F617" s="95"/>
      <c r="G617" s="95"/>
      <c r="H617" s="95"/>
      <c r="I617" s="95"/>
      <c r="J617" s="115" t="s">
        <v>3543</v>
      </c>
      <c r="K617" s="193" t="s">
        <v>3544</v>
      </c>
      <c r="L617" s="155" t="s">
        <v>4209</v>
      </c>
      <c r="M617" s="172" t="s">
        <v>3545</v>
      </c>
      <c r="N617" s="93" t="s">
        <v>3546</v>
      </c>
      <c r="O617" s="92" t="s">
        <v>3547</v>
      </c>
      <c r="P617" s="88" t="s">
        <v>60</v>
      </c>
      <c r="Q617" s="88" t="s">
        <v>48</v>
      </c>
      <c r="R617" s="86">
        <v>9789613128</v>
      </c>
      <c r="S617" s="88" t="s">
        <v>3532</v>
      </c>
      <c r="T617" s="129"/>
      <c r="U617" s="151"/>
      <c r="V617" s="151"/>
      <c r="W617" s="151"/>
      <c r="X617" s="151"/>
      <c r="Y617" s="147"/>
      <c r="Z617" s="147"/>
      <c r="AA617" s="147"/>
      <c r="AB617" s="126"/>
      <c r="AC617" s="141"/>
      <c r="AD617" s="14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  <c r="AQ617" s="121"/>
      <c r="AR617" s="121"/>
      <c r="AS617" s="121"/>
      <c r="AT617" s="121"/>
      <c r="AU617" s="121"/>
      <c r="AV617" s="121"/>
      <c r="AW617" s="163"/>
      <c r="AX617" s="163"/>
      <c r="AZ617" s="121" t="s">
        <v>49</v>
      </c>
      <c r="BA617" s="163"/>
      <c r="BB617" s="163"/>
      <c r="BC617" s="163"/>
      <c r="BF617" s="163">
        <f>COUNTA('All Details for ACID Pastor'!$T617:$AB617)</f>
        <v>0</v>
      </c>
    </row>
    <row r="618" spans="1:58" ht="70.150000000000006" customHeight="1">
      <c r="A618" s="107">
        <v>614</v>
      </c>
      <c r="B618" s="124" t="s">
        <v>3548</v>
      </c>
      <c r="C618" s="90" t="s">
        <v>3549</v>
      </c>
      <c r="D618" s="95" t="s">
        <v>53</v>
      </c>
      <c r="E618" s="95" t="s">
        <v>54</v>
      </c>
      <c r="F618" s="95"/>
      <c r="G618" s="95"/>
      <c r="H618" s="95"/>
      <c r="I618" s="95"/>
      <c r="J618" s="115" t="s">
        <v>3550</v>
      </c>
      <c r="K618" s="193" t="s">
        <v>3551</v>
      </c>
      <c r="L618" s="155" t="s">
        <v>4209</v>
      </c>
      <c r="M618" s="172" t="s">
        <v>3552</v>
      </c>
      <c r="N618" s="93" t="s">
        <v>3553</v>
      </c>
      <c r="O618" s="92" t="s">
        <v>3554</v>
      </c>
      <c r="P618" s="88" t="s">
        <v>94</v>
      </c>
      <c r="Q618" s="88" t="s">
        <v>48</v>
      </c>
      <c r="R618" s="86">
        <v>9600540042</v>
      </c>
      <c r="S618" s="88" t="s">
        <v>3532</v>
      </c>
      <c r="T618" s="129"/>
      <c r="U618" s="151"/>
      <c r="V618" s="151"/>
      <c r="W618" s="151"/>
      <c r="X618" s="151"/>
      <c r="Y618" s="147"/>
      <c r="Z618" s="147"/>
      <c r="AA618" s="147"/>
      <c r="AB618" s="126"/>
      <c r="AC618" s="141"/>
      <c r="AD618" s="14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63"/>
      <c r="AX618" s="163"/>
      <c r="AZ618" s="121" t="s">
        <v>49</v>
      </c>
      <c r="BA618" s="163"/>
      <c r="BB618" s="163"/>
      <c r="BC618" s="163"/>
      <c r="BF618" s="163">
        <f>COUNTA('All Details for ACID Pastor'!$T618:$AB618)</f>
        <v>0</v>
      </c>
    </row>
    <row r="619" spans="1:58" ht="70.150000000000006" customHeight="1">
      <c r="A619" s="107">
        <v>615</v>
      </c>
      <c r="B619" s="124" t="s">
        <v>3555</v>
      </c>
      <c r="C619" s="90" t="s">
        <v>3556</v>
      </c>
      <c r="D619" s="95" t="s">
        <v>53</v>
      </c>
      <c r="E619" s="95" t="s">
        <v>54</v>
      </c>
      <c r="F619" s="95"/>
      <c r="G619" s="95"/>
      <c r="H619" s="95"/>
      <c r="I619" s="95"/>
      <c r="J619" s="115" t="s">
        <v>3557</v>
      </c>
      <c r="K619" s="193" t="s">
        <v>3558</v>
      </c>
      <c r="L619" s="155" t="s">
        <v>4209</v>
      </c>
      <c r="M619" s="172"/>
      <c r="N619" s="93" t="s">
        <v>3559</v>
      </c>
      <c r="O619" s="92" t="s">
        <v>3560</v>
      </c>
      <c r="P619" s="88" t="s">
        <v>3561</v>
      </c>
      <c r="Q619" s="88" t="s">
        <v>48</v>
      </c>
      <c r="R619" s="86">
        <v>9448575896</v>
      </c>
      <c r="S619" s="88" t="s">
        <v>3532</v>
      </c>
      <c r="T619" s="129"/>
      <c r="U619" s="151"/>
      <c r="V619" s="151"/>
      <c r="W619" s="151"/>
      <c r="X619" s="151"/>
      <c r="Y619" s="147"/>
      <c r="Z619" s="147"/>
      <c r="AA619" s="147"/>
      <c r="AB619" s="126"/>
      <c r="AC619" s="141"/>
      <c r="AD619" s="14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63"/>
      <c r="AX619" s="163"/>
      <c r="AZ619" s="121" t="s">
        <v>49</v>
      </c>
      <c r="BA619" s="163"/>
      <c r="BB619" s="163"/>
      <c r="BC619" s="163"/>
      <c r="BF619" s="163">
        <f>COUNTA('All Details for ACID Pastor'!$T619:$AB619)</f>
        <v>0</v>
      </c>
    </row>
    <row r="620" spans="1:58" ht="70.150000000000006" customHeight="1">
      <c r="A620" s="107">
        <v>616</v>
      </c>
      <c r="B620" s="124" t="s">
        <v>3562</v>
      </c>
      <c r="C620" s="90" t="s">
        <v>3563</v>
      </c>
      <c r="D620" s="95" t="s">
        <v>53</v>
      </c>
      <c r="E620" s="95" t="s">
        <v>54</v>
      </c>
      <c r="F620" s="95"/>
      <c r="G620" s="95"/>
      <c r="H620" s="95"/>
      <c r="I620" s="95"/>
      <c r="J620" s="115" t="s">
        <v>3564</v>
      </c>
      <c r="K620" s="193" t="s">
        <v>3565</v>
      </c>
      <c r="L620" s="155" t="s">
        <v>4209</v>
      </c>
      <c r="M620" s="172" t="s">
        <v>3566</v>
      </c>
      <c r="N620" s="93" t="s">
        <v>3567</v>
      </c>
      <c r="O620" s="92" t="s">
        <v>3568</v>
      </c>
      <c r="P620" s="88" t="s">
        <v>666</v>
      </c>
      <c r="Q620" s="88" t="s">
        <v>667</v>
      </c>
      <c r="R620" s="86">
        <v>8892302902</v>
      </c>
      <c r="S620" s="88" t="s">
        <v>3532</v>
      </c>
      <c r="T620" s="129"/>
      <c r="U620" s="151"/>
      <c r="V620" s="151"/>
      <c r="W620" s="151"/>
      <c r="X620" s="151"/>
      <c r="Y620" s="147"/>
      <c r="Z620" s="147"/>
      <c r="AA620" s="147"/>
      <c r="AB620" s="126"/>
      <c r="AC620" s="141"/>
      <c r="AD620" s="14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63"/>
      <c r="AX620" s="163"/>
      <c r="AZ620" s="121" t="s">
        <v>49</v>
      </c>
      <c r="BA620" s="163"/>
      <c r="BB620" s="163"/>
      <c r="BC620" s="163"/>
      <c r="BF620" s="163">
        <f>COUNTA('All Details for ACID Pastor'!$T620:$AB620)</f>
        <v>0</v>
      </c>
    </row>
    <row r="621" spans="1:58" ht="70.150000000000006" customHeight="1">
      <c r="A621" s="107">
        <v>617</v>
      </c>
      <c r="B621" s="124" t="s">
        <v>3569</v>
      </c>
      <c r="C621" s="90" t="s">
        <v>3570</v>
      </c>
      <c r="D621" s="95" t="s">
        <v>53</v>
      </c>
      <c r="E621" s="95" t="s">
        <v>54</v>
      </c>
      <c r="F621" s="95"/>
      <c r="G621" s="95"/>
      <c r="H621" s="95"/>
      <c r="I621" s="95"/>
      <c r="J621" s="115" t="s">
        <v>3500</v>
      </c>
      <c r="K621" s="193" t="s">
        <v>3571</v>
      </c>
      <c r="L621" s="155" t="s">
        <v>4209</v>
      </c>
      <c r="M621" s="172"/>
      <c r="N621" s="93" t="s">
        <v>3572</v>
      </c>
      <c r="O621" s="92" t="s">
        <v>3573</v>
      </c>
      <c r="P621" s="88" t="s">
        <v>3574</v>
      </c>
      <c r="Q621" s="88" t="s">
        <v>3575</v>
      </c>
      <c r="R621" s="86">
        <v>760284999</v>
      </c>
      <c r="S621" s="88" t="s">
        <v>3532</v>
      </c>
      <c r="T621" s="129"/>
      <c r="U621" s="151"/>
      <c r="V621" s="151"/>
      <c r="W621" s="151"/>
      <c r="X621" s="151"/>
      <c r="Y621" s="147"/>
      <c r="Z621" s="147"/>
      <c r="AA621" s="147"/>
      <c r="AB621" s="126"/>
      <c r="AC621" s="141"/>
      <c r="AD621" s="14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63"/>
      <c r="AX621" s="163"/>
      <c r="AZ621" s="121" t="s">
        <v>49</v>
      </c>
      <c r="BA621" s="163"/>
      <c r="BB621" s="163"/>
      <c r="BC621" s="163"/>
      <c r="BF621" s="163">
        <f>COUNTA('All Details for ACID Pastor'!$T621:$AB621)</f>
        <v>0</v>
      </c>
    </row>
    <row r="622" spans="1:58" ht="70.150000000000006" customHeight="1">
      <c r="A622" s="107">
        <v>618</v>
      </c>
      <c r="B622" s="124" t="s">
        <v>3576</v>
      </c>
      <c r="C622" s="90" t="s">
        <v>3577</v>
      </c>
      <c r="D622" s="95" t="s">
        <v>53</v>
      </c>
      <c r="E622" s="95" t="s">
        <v>54</v>
      </c>
      <c r="F622" s="95"/>
      <c r="G622" s="95"/>
      <c r="H622" s="95"/>
      <c r="I622" s="95"/>
      <c r="J622" s="115" t="s">
        <v>3507</v>
      </c>
      <c r="K622" s="193" t="s">
        <v>3578</v>
      </c>
      <c r="L622" s="155" t="s">
        <v>4209</v>
      </c>
      <c r="M622" s="172" t="s">
        <v>3579</v>
      </c>
      <c r="N622" s="93" t="s">
        <v>3580</v>
      </c>
      <c r="O622" s="92" t="s">
        <v>743</v>
      </c>
      <c r="P622" s="88" t="s">
        <v>3511</v>
      </c>
      <c r="Q622" s="88" t="s">
        <v>48</v>
      </c>
      <c r="R622" s="86">
        <v>9791626111</v>
      </c>
      <c r="S622" s="88" t="s">
        <v>3532</v>
      </c>
      <c r="T622" s="129"/>
      <c r="U622" s="151"/>
      <c r="V622" s="151"/>
      <c r="W622" s="151"/>
      <c r="X622" s="151"/>
      <c r="Y622" s="147"/>
      <c r="Z622" s="147"/>
      <c r="AA622" s="147"/>
      <c r="AB622" s="126"/>
      <c r="AC622" s="141"/>
      <c r="AD622" s="14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63"/>
      <c r="AX622" s="163"/>
      <c r="AZ622" s="121" t="s">
        <v>49</v>
      </c>
      <c r="BA622" s="163"/>
      <c r="BB622" s="163"/>
      <c r="BC622" s="163"/>
      <c r="BF622" s="163">
        <f>COUNTA('All Details for ACID Pastor'!$T622:$AB622)</f>
        <v>0</v>
      </c>
    </row>
    <row r="623" spans="1:58" ht="70.150000000000006" customHeight="1">
      <c r="A623" s="107">
        <v>619</v>
      </c>
      <c r="B623" s="124" t="s">
        <v>3581</v>
      </c>
      <c r="C623" s="90" t="s">
        <v>3582</v>
      </c>
      <c r="D623" s="95" t="s">
        <v>53</v>
      </c>
      <c r="E623" s="95" t="s">
        <v>54</v>
      </c>
      <c r="F623" s="95"/>
      <c r="G623" s="95"/>
      <c r="H623" s="95"/>
      <c r="I623" s="95"/>
      <c r="J623" s="115" t="s">
        <v>3269</v>
      </c>
      <c r="K623" s="193" t="s">
        <v>3583</v>
      </c>
      <c r="L623" s="155" t="s">
        <v>4209</v>
      </c>
      <c r="M623" s="172" t="s">
        <v>3584</v>
      </c>
      <c r="N623" s="93" t="s">
        <v>3585</v>
      </c>
      <c r="O623" s="92" t="s">
        <v>3586</v>
      </c>
      <c r="P623" s="88" t="s">
        <v>1002</v>
      </c>
      <c r="Q623" s="88" t="s">
        <v>48</v>
      </c>
      <c r="R623" s="86">
        <v>7010481829</v>
      </c>
      <c r="S623" s="88" t="s">
        <v>3532</v>
      </c>
      <c r="T623" s="129"/>
      <c r="U623" s="151"/>
      <c r="V623" s="151"/>
      <c r="W623" s="151"/>
      <c r="X623" s="151"/>
      <c r="Y623" s="147"/>
      <c r="Z623" s="147"/>
      <c r="AA623" s="147"/>
      <c r="AB623" s="126" t="s">
        <v>129</v>
      </c>
      <c r="AC623" s="141" t="s">
        <v>129</v>
      </c>
      <c r="AD623" s="14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63"/>
      <c r="AX623" s="163"/>
      <c r="AZ623" s="121" t="s">
        <v>49</v>
      </c>
      <c r="BA623" s="163"/>
      <c r="BB623" s="163">
        <v>2</v>
      </c>
      <c r="BC623" s="163"/>
      <c r="BF623" s="163">
        <v>2</v>
      </c>
    </row>
    <row r="624" spans="1:58" ht="70.150000000000006" customHeight="1">
      <c r="A624" s="107">
        <v>620</v>
      </c>
      <c r="B624" s="124" t="s">
        <v>3587</v>
      </c>
      <c r="C624" s="90" t="s">
        <v>3588</v>
      </c>
      <c r="D624" s="95" t="s">
        <v>53</v>
      </c>
      <c r="E624" s="95" t="s">
        <v>54</v>
      </c>
      <c r="F624" s="95"/>
      <c r="G624" s="95"/>
      <c r="H624" s="95"/>
      <c r="I624" s="95"/>
      <c r="J624" s="115" t="s">
        <v>3269</v>
      </c>
      <c r="K624" s="193" t="s">
        <v>3589</v>
      </c>
      <c r="L624" s="155" t="s">
        <v>4209</v>
      </c>
      <c r="M624" s="172"/>
      <c r="N624" s="93" t="s">
        <v>3590</v>
      </c>
      <c r="O624" s="92" t="s">
        <v>306</v>
      </c>
      <c r="P624" s="88" t="s">
        <v>1002</v>
      </c>
      <c r="Q624" s="88" t="s">
        <v>48</v>
      </c>
      <c r="R624" s="86">
        <v>8940634442</v>
      </c>
      <c r="S624" s="88" t="s">
        <v>3532</v>
      </c>
      <c r="T624" s="129"/>
      <c r="U624" s="151"/>
      <c r="V624" s="151"/>
      <c r="W624" s="151"/>
      <c r="X624" s="151"/>
      <c r="Y624" s="147"/>
      <c r="Z624" s="147"/>
      <c r="AA624" s="147"/>
      <c r="AB624" s="126"/>
      <c r="AC624" s="141"/>
      <c r="AD624" s="14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63"/>
      <c r="AX624" s="163"/>
      <c r="AZ624" s="121" t="s">
        <v>49</v>
      </c>
      <c r="BA624" s="163"/>
      <c r="BB624" s="163"/>
      <c r="BC624" s="163"/>
      <c r="BF624" s="163">
        <f>COUNTA('All Details for ACID Pastor'!$T624:$AB624)</f>
        <v>0</v>
      </c>
    </row>
    <row r="625" spans="1:58" ht="70.150000000000006" customHeight="1">
      <c r="A625" s="107">
        <v>621</v>
      </c>
      <c r="B625" s="124" t="s">
        <v>3591</v>
      </c>
      <c r="C625" s="90" t="s">
        <v>3592</v>
      </c>
      <c r="D625" s="95" t="s">
        <v>53</v>
      </c>
      <c r="E625" s="95" t="s">
        <v>54</v>
      </c>
      <c r="F625" s="95"/>
      <c r="G625" s="95"/>
      <c r="H625" s="95"/>
      <c r="I625" s="95"/>
      <c r="J625" s="115" t="s">
        <v>3340</v>
      </c>
      <c r="K625" s="193" t="s">
        <v>1646</v>
      </c>
      <c r="L625" s="121"/>
      <c r="M625" s="172" t="s">
        <v>3593</v>
      </c>
      <c r="N625" s="93" t="s">
        <v>3594</v>
      </c>
      <c r="O625" s="92" t="s">
        <v>3595</v>
      </c>
      <c r="P625" s="88" t="s">
        <v>3596</v>
      </c>
      <c r="Q625" s="88" t="s">
        <v>48</v>
      </c>
      <c r="R625" s="86">
        <v>9442230707</v>
      </c>
      <c r="S625" s="88" t="s">
        <v>3532</v>
      </c>
      <c r="T625" s="129"/>
      <c r="U625" s="151"/>
      <c r="V625" s="151"/>
      <c r="W625" s="151"/>
      <c r="X625" s="151"/>
      <c r="Y625" s="147"/>
      <c r="Z625" s="147"/>
      <c r="AA625" s="147"/>
      <c r="AB625" s="126"/>
      <c r="AC625" s="141"/>
      <c r="AD625" s="14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63"/>
      <c r="AX625" s="163"/>
      <c r="AZ625" s="121" t="s">
        <v>49</v>
      </c>
      <c r="BA625" s="163"/>
      <c r="BB625" s="163"/>
      <c r="BC625" s="163"/>
      <c r="BF625" s="163">
        <f>COUNTA('All Details for ACID Pastor'!$T625:$AB625)</f>
        <v>0</v>
      </c>
    </row>
    <row r="626" spans="1:58" ht="70.150000000000006" customHeight="1">
      <c r="A626" s="107">
        <v>622</v>
      </c>
      <c r="B626" s="124" t="s">
        <v>3597</v>
      </c>
      <c r="C626" s="90" t="s">
        <v>3598</v>
      </c>
      <c r="D626" s="95" t="s">
        <v>53</v>
      </c>
      <c r="E626" s="95" t="s">
        <v>54</v>
      </c>
      <c r="F626" s="95"/>
      <c r="G626" s="95"/>
      <c r="H626" s="95"/>
      <c r="I626" s="95"/>
      <c r="J626" s="115" t="s">
        <v>3269</v>
      </c>
      <c r="K626" s="193" t="s">
        <v>3599</v>
      </c>
      <c r="L626" s="155" t="s">
        <v>4209</v>
      </c>
      <c r="M626" s="172"/>
      <c r="N626" s="93" t="s">
        <v>3600</v>
      </c>
      <c r="O626" s="92" t="s">
        <v>3601</v>
      </c>
      <c r="P626" s="88" t="s">
        <v>1075</v>
      </c>
      <c r="Q626" s="88" t="s">
        <v>48</v>
      </c>
      <c r="R626" s="86">
        <v>9865297508</v>
      </c>
      <c r="S626" s="88" t="s">
        <v>3602</v>
      </c>
      <c r="T626" s="129"/>
      <c r="U626" s="151"/>
      <c r="V626" s="151"/>
      <c r="W626" s="151"/>
      <c r="X626" s="151"/>
      <c r="Y626" s="147"/>
      <c r="Z626" s="147"/>
      <c r="AA626" s="147"/>
      <c r="AB626" s="141"/>
      <c r="AC626" s="141"/>
      <c r="AD626" s="14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63"/>
      <c r="AX626" s="163"/>
      <c r="AZ626" s="121" t="s">
        <v>49</v>
      </c>
      <c r="BA626" s="163"/>
      <c r="BB626" s="163"/>
      <c r="BC626" s="163"/>
      <c r="BF626" s="163">
        <f>COUNTA('All Details for ACID Pastor'!$T626:$AB626)</f>
        <v>0</v>
      </c>
    </row>
    <row r="627" spans="1:58" ht="70.150000000000006" customHeight="1">
      <c r="A627" s="107">
        <v>623</v>
      </c>
      <c r="B627" s="124" t="s">
        <v>3603</v>
      </c>
      <c r="C627" s="90" t="s">
        <v>3604</v>
      </c>
      <c r="D627" s="95" t="s">
        <v>53</v>
      </c>
      <c r="E627" s="95" t="s">
        <v>54</v>
      </c>
      <c r="F627" s="95"/>
      <c r="G627" s="95"/>
      <c r="H627" s="95"/>
      <c r="I627" s="95"/>
      <c r="J627" s="115" t="s">
        <v>3269</v>
      </c>
      <c r="K627" s="193" t="s">
        <v>3605</v>
      </c>
      <c r="L627" s="155" t="s">
        <v>4209</v>
      </c>
      <c r="M627" s="172"/>
      <c r="N627" s="93" t="s">
        <v>3606</v>
      </c>
      <c r="O627" s="92" t="s">
        <v>3607</v>
      </c>
      <c r="P627" s="88" t="s">
        <v>3230</v>
      </c>
      <c r="Q627" s="88" t="s">
        <v>48</v>
      </c>
      <c r="R627" s="86">
        <v>9047963383</v>
      </c>
      <c r="S627" s="88" t="s">
        <v>3602</v>
      </c>
      <c r="T627" s="129"/>
      <c r="U627" s="151"/>
      <c r="V627" s="151"/>
      <c r="W627" s="151"/>
      <c r="X627" s="151"/>
      <c r="Y627" s="147"/>
      <c r="Z627" s="147"/>
      <c r="AA627" s="147"/>
      <c r="AB627" s="141" t="s">
        <v>4220</v>
      </c>
      <c r="AC627" s="141" t="s">
        <v>4220</v>
      </c>
      <c r="AD627" s="14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63"/>
      <c r="AX627" s="163"/>
      <c r="AZ627" s="121" t="s">
        <v>49</v>
      </c>
      <c r="BA627" s="163"/>
      <c r="BB627" s="163"/>
      <c r="BC627" s="163">
        <v>2</v>
      </c>
      <c r="BF627" s="163">
        <v>2</v>
      </c>
    </row>
    <row r="628" spans="1:58" ht="70.150000000000006" customHeight="1">
      <c r="A628" s="107">
        <v>624</v>
      </c>
      <c r="B628" s="124" t="s">
        <v>3608</v>
      </c>
      <c r="C628" s="90" t="s">
        <v>3609</v>
      </c>
      <c r="D628" s="95" t="s">
        <v>53</v>
      </c>
      <c r="E628" s="95" t="s">
        <v>54</v>
      </c>
      <c r="F628" s="95"/>
      <c r="G628" s="95"/>
      <c r="H628" s="95"/>
      <c r="I628" s="95"/>
      <c r="J628" s="115" t="s">
        <v>3269</v>
      </c>
      <c r="K628" s="193" t="s">
        <v>3610</v>
      </c>
      <c r="L628" s="155" t="s">
        <v>4209</v>
      </c>
      <c r="M628" s="172"/>
      <c r="N628" s="93" t="s">
        <v>3611</v>
      </c>
      <c r="O628" s="92" t="s">
        <v>3612</v>
      </c>
      <c r="P628" s="88" t="s">
        <v>1002</v>
      </c>
      <c r="Q628" s="88" t="s">
        <v>48</v>
      </c>
      <c r="R628" s="86">
        <v>8012979257</v>
      </c>
      <c r="S628" s="88" t="s">
        <v>3602</v>
      </c>
      <c r="T628" s="129"/>
      <c r="U628" s="151"/>
      <c r="V628" s="151"/>
      <c r="W628" s="151"/>
      <c r="X628" s="151"/>
      <c r="Y628" s="147"/>
      <c r="Z628" s="147"/>
      <c r="AA628" s="147"/>
      <c r="AB628" s="141"/>
      <c r="AC628" s="126" t="s">
        <v>1005</v>
      </c>
      <c r="AD628" s="14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  <c r="AQ628" s="121"/>
      <c r="AR628" s="121"/>
      <c r="AS628" s="121"/>
      <c r="AT628" s="121"/>
      <c r="AU628" s="121"/>
      <c r="AV628" s="121"/>
      <c r="AW628" s="163"/>
      <c r="AX628" s="163"/>
      <c r="AZ628" s="121" t="s">
        <v>49</v>
      </c>
      <c r="BA628" s="163"/>
      <c r="BB628" s="163"/>
      <c r="BC628" s="163"/>
      <c r="BF628" s="163">
        <v>1</v>
      </c>
    </row>
    <row r="629" spans="1:58" ht="70.150000000000006" customHeight="1">
      <c r="A629" s="107">
        <v>625</v>
      </c>
      <c r="B629" s="124" t="s">
        <v>3613</v>
      </c>
      <c r="C629" s="90" t="s">
        <v>3614</v>
      </c>
      <c r="D629" s="95" t="s">
        <v>53</v>
      </c>
      <c r="E629" s="95" t="s">
        <v>54</v>
      </c>
      <c r="F629" s="95"/>
      <c r="G629" s="95"/>
      <c r="H629" s="95"/>
      <c r="I629" s="95"/>
      <c r="J629" s="115" t="s">
        <v>3269</v>
      </c>
      <c r="K629" s="193" t="s">
        <v>3615</v>
      </c>
      <c r="L629" s="155" t="s">
        <v>4209</v>
      </c>
      <c r="M629" s="172"/>
      <c r="N629" s="93" t="s">
        <v>3616</v>
      </c>
      <c r="O629" s="92" t="s">
        <v>3617</v>
      </c>
      <c r="P629" s="88" t="s">
        <v>1002</v>
      </c>
      <c r="Q629" s="88" t="s">
        <v>48</v>
      </c>
      <c r="R629" s="86">
        <v>9843429797</v>
      </c>
      <c r="S629" s="88" t="s">
        <v>3602</v>
      </c>
      <c r="T629" s="129"/>
      <c r="U629" s="151"/>
      <c r="V629" s="151"/>
      <c r="W629" s="151"/>
      <c r="X629" s="151"/>
      <c r="Y629" s="147"/>
      <c r="Z629" s="147"/>
      <c r="AA629" s="147"/>
      <c r="AB629" s="141"/>
      <c r="AC629" s="126" t="s">
        <v>1005</v>
      </c>
      <c r="AD629" s="14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  <c r="AQ629" s="121"/>
      <c r="AR629" s="121"/>
      <c r="AS629" s="121"/>
      <c r="AT629" s="121"/>
      <c r="AU629" s="121"/>
      <c r="AV629" s="121"/>
      <c r="AW629" s="163"/>
      <c r="AX629" s="163"/>
      <c r="AZ629" s="121" t="s">
        <v>49</v>
      </c>
      <c r="BA629" s="163"/>
      <c r="BB629" s="163"/>
      <c r="BC629" s="163"/>
      <c r="BF629" s="163">
        <v>1</v>
      </c>
    </row>
    <row r="630" spans="1:58" ht="70.150000000000006" customHeight="1">
      <c r="A630" s="107">
        <v>626</v>
      </c>
      <c r="B630" s="124" t="s">
        <v>3618</v>
      </c>
      <c r="C630" s="90" t="s">
        <v>3619</v>
      </c>
      <c r="D630" s="95" t="s">
        <v>53</v>
      </c>
      <c r="E630" s="95" t="s">
        <v>54</v>
      </c>
      <c r="F630" s="95"/>
      <c r="G630" s="95"/>
      <c r="H630" s="95"/>
      <c r="I630" s="95"/>
      <c r="J630" s="115" t="s">
        <v>3269</v>
      </c>
      <c r="K630" s="193" t="s">
        <v>3620</v>
      </c>
      <c r="L630" s="155" t="s">
        <v>4209</v>
      </c>
      <c r="M630" s="172"/>
      <c r="N630" s="93" t="s">
        <v>3616</v>
      </c>
      <c r="O630" s="92" t="s">
        <v>3617</v>
      </c>
      <c r="P630" s="88" t="s">
        <v>1002</v>
      </c>
      <c r="Q630" s="88" t="s">
        <v>48</v>
      </c>
      <c r="R630" s="86">
        <v>9843429797</v>
      </c>
      <c r="S630" s="88" t="s">
        <v>3602</v>
      </c>
      <c r="T630" s="129"/>
      <c r="U630" s="151"/>
      <c r="V630" s="151"/>
      <c r="W630" s="151"/>
      <c r="X630" s="151"/>
      <c r="Y630" s="147"/>
      <c r="Z630" s="147"/>
      <c r="AA630" s="147"/>
      <c r="AB630" s="141"/>
      <c r="AC630" s="126" t="s">
        <v>1005</v>
      </c>
      <c r="AD630" s="14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  <c r="AQ630" s="121"/>
      <c r="AR630" s="121"/>
      <c r="AS630" s="121"/>
      <c r="AT630" s="121"/>
      <c r="AU630" s="121"/>
      <c r="AV630" s="121"/>
      <c r="AW630" s="163"/>
      <c r="AX630" s="163"/>
      <c r="AZ630" s="121" t="s">
        <v>49</v>
      </c>
      <c r="BA630" s="163"/>
      <c r="BB630" s="163"/>
      <c r="BC630" s="163"/>
      <c r="BF630" s="163">
        <v>1</v>
      </c>
    </row>
    <row r="631" spans="1:58" ht="70.150000000000006" customHeight="1">
      <c r="A631" s="107">
        <v>627</v>
      </c>
      <c r="B631" s="124" t="s">
        <v>3621</v>
      </c>
      <c r="C631" s="90" t="s">
        <v>3622</v>
      </c>
      <c r="D631" s="95" t="s">
        <v>53</v>
      </c>
      <c r="E631" s="95" t="s">
        <v>54</v>
      </c>
      <c r="F631" s="95"/>
      <c r="G631" s="95"/>
      <c r="H631" s="95"/>
      <c r="I631" s="95"/>
      <c r="J631" s="115" t="s">
        <v>3269</v>
      </c>
      <c r="K631" s="193" t="s">
        <v>3623</v>
      </c>
      <c r="L631" s="155" t="s">
        <v>4209</v>
      </c>
      <c r="M631" s="172" t="s">
        <v>3624</v>
      </c>
      <c r="N631" s="93" t="s">
        <v>3625</v>
      </c>
      <c r="O631" s="92" t="s">
        <v>2016</v>
      </c>
      <c r="P631" s="88" t="s">
        <v>1002</v>
      </c>
      <c r="Q631" s="88" t="s">
        <v>48</v>
      </c>
      <c r="R631" s="86">
        <v>8220795910</v>
      </c>
      <c r="S631" s="88" t="s">
        <v>3602</v>
      </c>
      <c r="T631" s="129"/>
      <c r="U631" s="151"/>
      <c r="V631" s="151"/>
      <c r="W631" s="151"/>
      <c r="X631" s="151"/>
      <c r="Y631" s="147"/>
      <c r="Z631" s="147"/>
      <c r="AA631" s="147"/>
      <c r="AB631" s="141"/>
      <c r="AC631" s="126" t="s">
        <v>1005</v>
      </c>
      <c r="AD631" s="14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  <c r="AQ631" s="121"/>
      <c r="AR631" s="121"/>
      <c r="AS631" s="121"/>
      <c r="AT631" s="121"/>
      <c r="AU631" s="121"/>
      <c r="AV631" s="121"/>
      <c r="AW631" s="163"/>
      <c r="AX631" s="163"/>
      <c r="AZ631" s="121" t="s">
        <v>49</v>
      </c>
      <c r="BA631" s="163"/>
      <c r="BB631" s="163"/>
      <c r="BC631" s="163"/>
      <c r="BF631" s="163">
        <v>1</v>
      </c>
    </row>
    <row r="632" spans="1:58" ht="70.150000000000006" customHeight="1">
      <c r="A632" s="107">
        <v>628</v>
      </c>
      <c r="B632" s="124" t="s">
        <v>3626</v>
      </c>
      <c r="C632" s="90" t="s">
        <v>3627</v>
      </c>
      <c r="D632" s="95" t="s">
        <v>53</v>
      </c>
      <c r="E632" s="95" t="s">
        <v>54</v>
      </c>
      <c r="F632" s="95"/>
      <c r="G632" s="95"/>
      <c r="H632" s="95"/>
      <c r="I632" s="95"/>
      <c r="J632" s="115" t="s">
        <v>3628</v>
      </c>
      <c r="K632" s="193" t="s">
        <v>3629</v>
      </c>
      <c r="L632" s="155" t="s">
        <v>4209</v>
      </c>
      <c r="M632" s="172" t="s">
        <v>3630</v>
      </c>
      <c r="N632" s="93" t="s">
        <v>3631</v>
      </c>
      <c r="O632" s="92" t="s">
        <v>3632</v>
      </c>
      <c r="P632" s="88" t="s">
        <v>3633</v>
      </c>
      <c r="Q632" s="88" t="s">
        <v>2413</v>
      </c>
      <c r="R632" s="86">
        <v>9764223270</v>
      </c>
      <c r="S632" s="88" t="s">
        <v>3602</v>
      </c>
      <c r="T632" s="129"/>
      <c r="U632" s="151"/>
      <c r="V632" s="151"/>
      <c r="W632" s="151"/>
      <c r="X632" s="151"/>
      <c r="Y632" s="147"/>
      <c r="Z632" s="147"/>
      <c r="AA632" s="147"/>
      <c r="AB632" s="141"/>
      <c r="AC632" s="141"/>
      <c r="AD632" s="14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  <c r="AQ632" s="121"/>
      <c r="AR632" s="121"/>
      <c r="AS632" s="121"/>
      <c r="AT632" s="121"/>
      <c r="AU632" s="121"/>
      <c r="AV632" s="121"/>
      <c r="AW632" s="163"/>
      <c r="AX632" s="163"/>
      <c r="AZ632" s="121" t="s">
        <v>49</v>
      </c>
      <c r="BA632" s="163"/>
      <c r="BB632" s="163"/>
      <c r="BC632" s="163"/>
      <c r="BF632" s="163">
        <f>COUNTA('All Details for ACID Pastor'!$T632:$AB632)</f>
        <v>0</v>
      </c>
    </row>
    <row r="633" spans="1:58" ht="70.150000000000006" customHeight="1">
      <c r="A633" s="107">
        <v>629</v>
      </c>
      <c r="B633" s="124" t="s">
        <v>3634</v>
      </c>
      <c r="C633" s="90" t="s">
        <v>3635</v>
      </c>
      <c r="D633" s="95" t="s">
        <v>53</v>
      </c>
      <c r="E633" s="95" t="s">
        <v>54</v>
      </c>
      <c r="F633" s="95"/>
      <c r="G633" s="95"/>
      <c r="H633" s="95"/>
      <c r="I633" s="95"/>
      <c r="J633" s="115" t="s">
        <v>3628</v>
      </c>
      <c r="K633" s="193" t="s">
        <v>3636</v>
      </c>
      <c r="L633" s="155" t="s">
        <v>4209</v>
      </c>
      <c r="M633" s="172" t="s">
        <v>3637</v>
      </c>
      <c r="N633" s="93" t="s">
        <v>3638</v>
      </c>
      <c r="O633" s="92" t="s">
        <v>3639</v>
      </c>
      <c r="P633" s="88" t="s">
        <v>3640</v>
      </c>
      <c r="Q633" s="88" t="s">
        <v>48</v>
      </c>
      <c r="R633" s="86">
        <v>8939104997</v>
      </c>
      <c r="S633" s="88" t="s">
        <v>3602</v>
      </c>
      <c r="T633" s="129"/>
      <c r="U633" s="151"/>
      <c r="V633" s="151"/>
      <c r="W633" s="151"/>
      <c r="X633" s="151"/>
      <c r="Y633" s="147"/>
      <c r="Z633" s="147"/>
      <c r="AA633" s="147"/>
      <c r="AB633" s="141"/>
      <c r="AC633" s="141"/>
      <c r="AD633" s="14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  <c r="AQ633" s="121"/>
      <c r="AR633" s="121"/>
      <c r="AS633" s="121"/>
      <c r="AT633" s="121"/>
      <c r="AU633" s="121"/>
      <c r="AV633" s="121"/>
      <c r="AW633" s="163"/>
      <c r="AX633" s="163"/>
      <c r="AZ633" s="121" t="s">
        <v>49</v>
      </c>
      <c r="BA633" s="163"/>
      <c r="BB633" s="163"/>
      <c r="BC633" s="163"/>
      <c r="BF633" s="163">
        <f>COUNTA('All Details for ACID Pastor'!$T633:$AB633)</f>
        <v>0</v>
      </c>
    </row>
    <row r="634" spans="1:58" ht="70.150000000000006" customHeight="1">
      <c r="A634" s="107">
        <v>630</v>
      </c>
      <c r="B634" s="124" t="s">
        <v>3641</v>
      </c>
      <c r="C634" s="90" t="s">
        <v>3642</v>
      </c>
      <c r="D634" s="95" t="s">
        <v>53</v>
      </c>
      <c r="E634" s="95" t="s">
        <v>54</v>
      </c>
      <c r="F634" s="95"/>
      <c r="G634" s="95"/>
      <c r="H634" s="95"/>
      <c r="I634" s="95"/>
      <c r="J634" s="115" t="s">
        <v>3628</v>
      </c>
      <c r="K634" s="193" t="s">
        <v>3643</v>
      </c>
      <c r="L634" s="155" t="s">
        <v>4209</v>
      </c>
      <c r="M634" s="172"/>
      <c r="N634" s="93" t="s">
        <v>3644</v>
      </c>
      <c r="O634" s="92" t="s">
        <v>3639</v>
      </c>
      <c r="P634" s="88" t="s">
        <v>3640</v>
      </c>
      <c r="Q634" s="88" t="s">
        <v>48</v>
      </c>
      <c r="R634" s="86">
        <v>9840232121</v>
      </c>
      <c r="S634" s="88" t="s">
        <v>3602</v>
      </c>
      <c r="T634" s="129"/>
      <c r="U634" s="151"/>
      <c r="V634" s="151"/>
      <c r="W634" s="151"/>
      <c r="X634" s="151"/>
      <c r="Y634" s="147"/>
      <c r="Z634" s="147"/>
      <c r="AA634" s="147"/>
      <c r="AB634" s="141"/>
      <c r="AC634" s="141"/>
      <c r="AD634" s="14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  <c r="AQ634" s="121"/>
      <c r="AR634" s="121"/>
      <c r="AS634" s="121"/>
      <c r="AT634" s="121"/>
      <c r="AU634" s="121"/>
      <c r="AV634" s="121"/>
      <c r="AW634" s="163"/>
      <c r="AX634" s="163"/>
      <c r="AZ634" s="121" t="s">
        <v>49</v>
      </c>
      <c r="BA634" s="163"/>
      <c r="BB634" s="163"/>
      <c r="BC634" s="163"/>
      <c r="BF634" s="163">
        <f>COUNTA('All Details for ACID Pastor'!$T634:$AB634)</f>
        <v>0</v>
      </c>
    </row>
    <row r="635" spans="1:58" ht="70.150000000000006" customHeight="1">
      <c r="A635" s="107">
        <v>631</v>
      </c>
      <c r="B635" s="124" t="s">
        <v>3645</v>
      </c>
      <c r="C635" s="90" t="s">
        <v>3646</v>
      </c>
      <c r="D635" s="95" t="s">
        <v>53</v>
      </c>
      <c r="E635" s="95" t="s">
        <v>54</v>
      </c>
      <c r="F635" s="95"/>
      <c r="G635" s="95"/>
      <c r="H635" s="95"/>
      <c r="I635" s="95"/>
      <c r="J635" s="115" t="s">
        <v>3269</v>
      </c>
      <c r="K635" s="193" t="s">
        <v>3647</v>
      </c>
      <c r="L635" s="155" t="s">
        <v>4209</v>
      </c>
      <c r="M635" s="172" t="s">
        <v>3648</v>
      </c>
      <c r="N635" s="93" t="s">
        <v>3649</v>
      </c>
      <c r="O635" s="92" t="s">
        <v>3650</v>
      </c>
      <c r="P635" s="88" t="s">
        <v>73</v>
      </c>
      <c r="Q635" s="88" t="s">
        <v>48</v>
      </c>
      <c r="R635" s="86">
        <v>9842533087</v>
      </c>
      <c r="S635" s="88" t="s">
        <v>3602</v>
      </c>
      <c r="T635" s="129"/>
      <c r="U635" s="151"/>
      <c r="V635" s="151"/>
      <c r="W635" s="151"/>
      <c r="X635" s="151"/>
      <c r="Y635" s="147"/>
      <c r="Z635" s="147"/>
      <c r="AA635" s="147"/>
      <c r="AB635" s="141"/>
      <c r="AC635" s="141" t="s">
        <v>3651</v>
      </c>
      <c r="AD635" s="14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  <c r="AQ635" s="121"/>
      <c r="AR635" s="121"/>
      <c r="AS635" s="121"/>
      <c r="AT635" s="121"/>
      <c r="AU635" s="121"/>
      <c r="AV635" s="121"/>
      <c r="AW635" s="163"/>
      <c r="AX635" s="163"/>
      <c r="AZ635" s="121" t="s">
        <v>49</v>
      </c>
      <c r="BA635" s="163"/>
      <c r="BB635" s="163"/>
      <c r="BC635" s="163"/>
      <c r="BF635" s="163">
        <v>1</v>
      </c>
    </row>
    <row r="636" spans="1:58" ht="70.150000000000006" customHeight="1">
      <c r="A636" s="107">
        <v>632</v>
      </c>
      <c r="B636" s="124" t="s">
        <v>3652</v>
      </c>
      <c r="C636" s="90" t="s">
        <v>3653</v>
      </c>
      <c r="D636" s="95" t="s">
        <v>53</v>
      </c>
      <c r="E636" s="95" t="s">
        <v>54</v>
      </c>
      <c r="F636" s="95"/>
      <c r="G636" s="95"/>
      <c r="H636" s="95"/>
      <c r="I636" s="95"/>
      <c r="J636" s="115" t="s">
        <v>3564</v>
      </c>
      <c r="K636" s="193" t="s">
        <v>3654</v>
      </c>
      <c r="L636" s="155" t="s">
        <v>4209</v>
      </c>
      <c r="M636" s="172"/>
      <c r="N636" s="93" t="s">
        <v>3655</v>
      </c>
      <c r="O636" s="92" t="s">
        <v>3656</v>
      </c>
      <c r="P636" s="88" t="s">
        <v>73</v>
      </c>
      <c r="Q636" s="88" t="s">
        <v>48</v>
      </c>
      <c r="R636" s="86">
        <v>7708126275</v>
      </c>
      <c r="S636" s="88" t="s">
        <v>3602</v>
      </c>
      <c r="T636" s="129"/>
      <c r="U636" s="151"/>
      <c r="V636" s="151"/>
      <c r="W636" s="151"/>
      <c r="X636" s="151"/>
      <c r="Y636" s="147"/>
      <c r="Z636" s="147"/>
      <c r="AA636" s="147"/>
      <c r="AB636" s="141"/>
      <c r="AC636" s="141" t="s">
        <v>129</v>
      </c>
      <c r="AD636" s="14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  <c r="AQ636" s="121"/>
      <c r="AR636" s="121"/>
      <c r="AS636" s="121"/>
      <c r="AT636" s="121"/>
      <c r="AU636" s="121"/>
      <c r="AV636" s="121"/>
      <c r="AW636" s="163"/>
      <c r="AX636" s="163"/>
      <c r="AZ636" s="121" t="s">
        <v>49</v>
      </c>
      <c r="BA636" s="163"/>
      <c r="BB636" s="163">
        <v>1</v>
      </c>
      <c r="BC636" s="163"/>
      <c r="BF636" s="163">
        <v>1</v>
      </c>
    </row>
    <row r="637" spans="1:58" ht="78.75" customHeight="1">
      <c r="A637" s="107">
        <v>633</v>
      </c>
      <c r="B637" s="124" t="s">
        <v>3657</v>
      </c>
      <c r="C637" s="90" t="s">
        <v>3658</v>
      </c>
      <c r="D637" s="95" t="s">
        <v>53</v>
      </c>
      <c r="E637" s="95" t="s">
        <v>54</v>
      </c>
      <c r="F637" s="95"/>
      <c r="G637" s="95"/>
      <c r="H637" s="95"/>
      <c r="I637" s="95"/>
      <c r="J637" s="118"/>
      <c r="K637" s="193" t="s">
        <v>3659</v>
      </c>
      <c r="L637" s="155" t="s">
        <v>4209</v>
      </c>
      <c r="M637" s="172" t="s">
        <v>3660</v>
      </c>
      <c r="N637" s="93" t="s">
        <v>3661</v>
      </c>
      <c r="O637" s="92" t="s">
        <v>3662</v>
      </c>
      <c r="P637" s="88" t="s">
        <v>3663</v>
      </c>
      <c r="Q637" s="88" t="s">
        <v>48</v>
      </c>
      <c r="R637" s="86">
        <v>9841541871</v>
      </c>
      <c r="S637" s="88" t="s">
        <v>3602</v>
      </c>
      <c r="T637" s="129"/>
      <c r="U637" s="151"/>
      <c r="V637" s="151"/>
      <c r="W637" s="151"/>
      <c r="X637" s="151"/>
      <c r="Y637" s="147"/>
      <c r="Z637" s="147"/>
      <c r="AA637" s="147"/>
      <c r="AB637" s="141"/>
      <c r="AC637" s="141"/>
      <c r="AD637" s="14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  <c r="AQ637" s="121"/>
      <c r="AR637" s="121"/>
      <c r="AS637" s="121"/>
      <c r="AT637" s="121"/>
      <c r="AU637" s="121"/>
      <c r="AV637" s="121"/>
      <c r="AW637" s="163"/>
      <c r="AX637" s="163"/>
      <c r="AZ637" s="121" t="s">
        <v>49</v>
      </c>
      <c r="BA637" s="163"/>
      <c r="BB637" s="163"/>
      <c r="BC637" s="163"/>
      <c r="BF637" s="163">
        <f>COUNTA('All Details for ACID Pastor'!$T637:$AB637)</f>
        <v>0</v>
      </c>
    </row>
    <row r="638" spans="1:58" ht="78.75" customHeight="1">
      <c r="A638" s="107">
        <v>634</v>
      </c>
      <c r="B638" s="124" t="s">
        <v>3664</v>
      </c>
      <c r="C638" s="90" t="s">
        <v>3665</v>
      </c>
      <c r="D638" s="95" t="s">
        <v>53</v>
      </c>
      <c r="E638" s="95" t="s">
        <v>54</v>
      </c>
      <c r="F638" s="95"/>
      <c r="G638" s="95"/>
      <c r="H638" s="95"/>
      <c r="I638" s="95"/>
      <c r="J638" s="118"/>
      <c r="K638" s="193" t="s">
        <v>2170</v>
      </c>
      <c r="L638" s="121"/>
      <c r="M638" s="172"/>
      <c r="N638" s="93" t="s">
        <v>3666</v>
      </c>
      <c r="O638" s="92" t="s">
        <v>3667</v>
      </c>
      <c r="P638" s="88" t="s">
        <v>64</v>
      </c>
      <c r="Q638" s="88" t="s">
        <v>48</v>
      </c>
      <c r="R638" s="86">
        <v>9884051342</v>
      </c>
      <c r="S638" s="88" t="s">
        <v>3602</v>
      </c>
      <c r="T638" s="129"/>
      <c r="U638" s="151"/>
      <c r="V638" s="151"/>
      <c r="W638" s="151"/>
      <c r="X638" s="151"/>
      <c r="Y638" s="147"/>
      <c r="Z638" s="147"/>
      <c r="AA638" s="147"/>
      <c r="AB638" s="141"/>
      <c r="AC638" s="141"/>
      <c r="AD638" s="14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  <c r="AQ638" s="121"/>
      <c r="AR638" s="121"/>
      <c r="AS638" s="121"/>
      <c r="AT638" s="121"/>
      <c r="AU638" s="121"/>
      <c r="AV638" s="121"/>
      <c r="AW638" s="163"/>
      <c r="AX638" s="163"/>
      <c r="AZ638" s="121" t="s">
        <v>49</v>
      </c>
      <c r="BA638" s="163"/>
      <c r="BB638" s="163"/>
      <c r="BC638" s="163"/>
      <c r="BF638" s="163">
        <f>COUNTA('All Details for ACID Pastor'!$T638:$AB638)</f>
        <v>0</v>
      </c>
    </row>
    <row r="639" spans="1:58" ht="78.75" customHeight="1">
      <c r="A639" s="107">
        <v>635</v>
      </c>
      <c r="B639" s="124" t="s">
        <v>3668</v>
      </c>
      <c r="C639" s="90" t="s">
        <v>3669</v>
      </c>
      <c r="D639" s="95" t="s">
        <v>53</v>
      </c>
      <c r="E639" s="95" t="s">
        <v>54</v>
      </c>
      <c r="F639" s="95"/>
      <c r="G639" s="95"/>
      <c r="H639" s="95"/>
      <c r="I639" s="95"/>
      <c r="J639" s="118"/>
      <c r="K639" s="193" t="s">
        <v>3670</v>
      </c>
      <c r="L639" s="155" t="s">
        <v>4209</v>
      </c>
      <c r="M639" s="172" t="s">
        <v>3671</v>
      </c>
      <c r="N639" s="93" t="s">
        <v>3672</v>
      </c>
      <c r="O639" s="92" t="s">
        <v>3673</v>
      </c>
      <c r="P639" s="88" t="s">
        <v>3663</v>
      </c>
      <c r="Q639" s="88" t="s">
        <v>48</v>
      </c>
      <c r="R639" s="86">
        <v>9840512541</v>
      </c>
      <c r="S639" s="88" t="s">
        <v>3602</v>
      </c>
      <c r="T639" s="129"/>
      <c r="U639" s="151"/>
      <c r="V639" s="151"/>
      <c r="W639" s="151"/>
      <c r="X639" s="151"/>
      <c r="Y639" s="147"/>
      <c r="Z639" s="147"/>
      <c r="AA639" s="147"/>
      <c r="AB639" s="141"/>
      <c r="AC639" s="141" t="s">
        <v>129</v>
      </c>
      <c r="AD639" s="14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  <c r="AQ639" s="121"/>
      <c r="AR639" s="121"/>
      <c r="AS639" s="121"/>
      <c r="AT639" s="121"/>
      <c r="AU639" s="121"/>
      <c r="AV639" s="121"/>
      <c r="AW639" s="163"/>
      <c r="AX639" s="163"/>
      <c r="AZ639" s="121" t="s">
        <v>49</v>
      </c>
      <c r="BA639" s="163"/>
      <c r="BB639" s="163">
        <v>1</v>
      </c>
      <c r="BC639" s="163"/>
      <c r="BF639" s="163">
        <v>1</v>
      </c>
    </row>
    <row r="640" spans="1:58" ht="78.75" customHeight="1">
      <c r="A640" s="107">
        <v>636</v>
      </c>
      <c r="B640" s="124" t="s">
        <v>3674</v>
      </c>
      <c r="C640" s="90" t="s">
        <v>3675</v>
      </c>
      <c r="D640" s="95" t="s">
        <v>53</v>
      </c>
      <c r="E640" s="95" t="s">
        <v>54</v>
      </c>
      <c r="F640" s="95"/>
      <c r="G640" s="95"/>
      <c r="H640" s="95"/>
      <c r="I640" s="95"/>
      <c r="J640" s="118"/>
      <c r="K640" s="193" t="s">
        <v>3676</v>
      </c>
      <c r="L640" s="121" t="s">
        <v>4209</v>
      </c>
      <c r="M640" s="172" t="s">
        <v>3677</v>
      </c>
      <c r="N640" s="93" t="s">
        <v>3678</v>
      </c>
      <c r="O640" s="92" t="s">
        <v>3667</v>
      </c>
      <c r="P640" s="88" t="s">
        <v>64</v>
      </c>
      <c r="Q640" s="88" t="s">
        <v>48</v>
      </c>
      <c r="R640" s="86">
        <v>9841751342</v>
      </c>
      <c r="S640" s="88" t="s">
        <v>3602</v>
      </c>
      <c r="T640" s="129"/>
      <c r="U640" s="151"/>
      <c r="V640" s="151"/>
      <c r="W640" s="151"/>
      <c r="X640" s="151"/>
      <c r="Y640" s="147"/>
      <c r="Z640" s="147"/>
      <c r="AA640" s="147"/>
      <c r="AB640" s="141"/>
      <c r="AC640" s="141"/>
      <c r="AD640" s="14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  <c r="AQ640" s="121"/>
      <c r="AR640" s="121"/>
      <c r="AS640" s="121"/>
      <c r="AT640" s="121"/>
      <c r="AU640" s="121"/>
      <c r="AV640" s="121"/>
      <c r="AW640" s="163"/>
      <c r="AX640" s="163"/>
      <c r="AZ640" s="121" t="s">
        <v>49</v>
      </c>
      <c r="BA640" s="163"/>
      <c r="BB640" s="163"/>
      <c r="BC640" s="163"/>
      <c r="BF640" s="163">
        <f>COUNTA('All Details for ACID Pastor'!$T640:$AB640)</f>
        <v>0</v>
      </c>
    </row>
    <row r="641" spans="1:58" ht="78.75" customHeight="1">
      <c r="A641" s="107">
        <v>637</v>
      </c>
      <c r="B641" s="124" t="s">
        <v>3679</v>
      </c>
      <c r="C641" s="90" t="s">
        <v>3680</v>
      </c>
      <c r="D641" s="95" t="s">
        <v>53</v>
      </c>
      <c r="E641" s="95" t="s">
        <v>54</v>
      </c>
      <c r="F641" s="95"/>
      <c r="G641" s="95"/>
      <c r="H641" s="95"/>
      <c r="I641" s="95"/>
      <c r="J641" s="118"/>
      <c r="K641" s="193" t="s">
        <v>3681</v>
      </c>
      <c r="L641" s="121" t="s">
        <v>4209</v>
      </c>
      <c r="M641" s="172"/>
      <c r="N641" s="93" t="s">
        <v>3682</v>
      </c>
      <c r="O641" s="92" t="s">
        <v>3673</v>
      </c>
      <c r="P641" s="88" t="s">
        <v>3439</v>
      </c>
      <c r="Q641" s="88" t="s">
        <v>48</v>
      </c>
      <c r="R641" s="86">
        <v>9003229625</v>
      </c>
      <c r="S641" s="88" t="s">
        <v>3602</v>
      </c>
      <c r="T641" s="129"/>
      <c r="U641" s="151"/>
      <c r="V641" s="151"/>
      <c r="W641" s="151"/>
      <c r="X641" s="151"/>
      <c r="Y641" s="147"/>
      <c r="Z641" s="147"/>
      <c r="AA641" s="147"/>
      <c r="AB641" s="141"/>
      <c r="AC641" s="141" t="s">
        <v>129</v>
      </c>
      <c r="AD641" s="14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  <c r="AQ641" s="121"/>
      <c r="AR641" s="121"/>
      <c r="AS641" s="121"/>
      <c r="AT641" s="121"/>
      <c r="AU641" s="121"/>
      <c r="AV641" s="121"/>
      <c r="AW641" s="163"/>
      <c r="AX641" s="163"/>
      <c r="AZ641" s="121" t="s">
        <v>49</v>
      </c>
      <c r="BA641" s="163"/>
      <c r="BB641" s="163">
        <v>1</v>
      </c>
      <c r="BC641" s="163"/>
      <c r="BF641" s="163">
        <v>1</v>
      </c>
    </row>
    <row r="642" spans="1:58" ht="70.150000000000006" customHeight="1">
      <c r="A642" s="107">
        <v>638</v>
      </c>
      <c r="B642" s="124" t="s">
        <v>3683</v>
      </c>
      <c r="C642" s="90" t="s">
        <v>3684</v>
      </c>
      <c r="D642" s="95" t="s">
        <v>41</v>
      </c>
      <c r="E642" s="95" t="s">
        <v>54</v>
      </c>
      <c r="F642" s="95"/>
      <c r="G642" s="95"/>
      <c r="H642" s="95"/>
      <c r="I642" s="95"/>
      <c r="J642" s="115" t="s">
        <v>3685</v>
      </c>
      <c r="K642" s="193" t="s">
        <v>3686</v>
      </c>
      <c r="L642" s="121" t="s">
        <v>4209</v>
      </c>
      <c r="M642" s="172"/>
      <c r="N642" s="93" t="s">
        <v>3687</v>
      </c>
      <c r="O642" s="92" t="s">
        <v>72</v>
      </c>
      <c r="P642" s="88" t="s">
        <v>3688</v>
      </c>
      <c r="Q642" s="88" t="s">
        <v>48</v>
      </c>
      <c r="R642" s="86">
        <v>9994747045</v>
      </c>
      <c r="S642" s="88" t="s">
        <v>3602</v>
      </c>
      <c r="T642" s="129"/>
      <c r="U642" s="151"/>
      <c r="V642" s="151"/>
      <c r="W642" s="151"/>
      <c r="X642" s="151"/>
      <c r="Y642" s="147"/>
      <c r="Z642" s="147"/>
      <c r="AA642" s="147"/>
      <c r="AB642" s="141"/>
      <c r="AC642" s="141" t="s">
        <v>129</v>
      </c>
      <c r="AD642" s="141" t="s">
        <v>4222</v>
      </c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  <c r="AQ642" s="121"/>
      <c r="AR642" s="121"/>
      <c r="AS642" s="121"/>
      <c r="AT642" s="121"/>
      <c r="AU642" s="121"/>
      <c r="AV642" s="121"/>
      <c r="AW642" s="163"/>
      <c r="AX642" s="163"/>
      <c r="AZ642" s="121" t="s">
        <v>49</v>
      </c>
      <c r="BA642" s="163"/>
      <c r="BB642" s="163">
        <v>1</v>
      </c>
      <c r="BC642" s="163"/>
      <c r="BE642" s="283">
        <v>1</v>
      </c>
      <c r="BF642" s="163">
        <v>2</v>
      </c>
    </row>
    <row r="643" spans="1:58" ht="70.150000000000006" customHeight="1">
      <c r="A643" s="107">
        <v>639</v>
      </c>
      <c r="B643" s="124" t="s">
        <v>3689</v>
      </c>
      <c r="C643" s="90" t="s">
        <v>3690</v>
      </c>
      <c r="D643" s="95" t="s">
        <v>53</v>
      </c>
      <c r="E643" s="95" t="s">
        <v>54</v>
      </c>
      <c r="F643" s="95"/>
      <c r="G643" s="95"/>
      <c r="H643" s="95"/>
      <c r="I643" s="95"/>
      <c r="J643" s="115" t="s">
        <v>3685</v>
      </c>
      <c r="K643" s="193" t="s">
        <v>3691</v>
      </c>
      <c r="L643" s="121"/>
      <c r="M643" s="172"/>
      <c r="N643" s="93" t="s">
        <v>3687</v>
      </c>
      <c r="O643" s="92" t="s">
        <v>72</v>
      </c>
      <c r="P643" s="88" t="s">
        <v>73</v>
      </c>
      <c r="Q643" s="88" t="s">
        <v>48</v>
      </c>
      <c r="R643" s="86">
        <v>8883871148</v>
      </c>
      <c r="S643" s="88" t="s">
        <v>3602</v>
      </c>
      <c r="T643" s="129"/>
      <c r="U643" s="151"/>
      <c r="V643" s="151"/>
      <c r="W643" s="151"/>
      <c r="X643" s="151"/>
      <c r="Y643" s="147"/>
      <c r="Z643" s="147"/>
      <c r="AA643" s="147"/>
      <c r="AB643" s="141"/>
      <c r="AC643" s="141" t="s">
        <v>129</v>
      </c>
      <c r="AD643" s="14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  <c r="AQ643" s="121"/>
      <c r="AR643" s="121"/>
      <c r="AS643" s="121"/>
      <c r="AT643" s="121"/>
      <c r="AU643" s="121"/>
      <c r="AV643" s="121"/>
      <c r="AW643" s="163"/>
      <c r="AX643" s="163"/>
      <c r="AZ643" s="121" t="s">
        <v>49</v>
      </c>
      <c r="BA643" s="163"/>
      <c r="BB643" s="163">
        <v>1</v>
      </c>
      <c r="BC643" s="163"/>
      <c r="BF643" s="163">
        <v>1</v>
      </c>
    </row>
    <row r="644" spans="1:58" ht="70.150000000000006" customHeight="1">
      <c r="A644" s="107">
        <v>640</v>
      </c>
      <c r="B644" s="124" t="s">
        <v>3692</v>
      </c>
      <c r="C644" s="90" t="s">
        <v>3693</v>
      </c>
      <c r="D644" s="95" t="s">
        <v>53</v>
      </c>
      <c r="E644" s="95" t="s">
        <v>54</v>
      </c>
      <c r="F644" s="95"/>
      <c r="G644" s="95"/>
      <c r="H644" s="95"/>
      <c r="I644" s="95"/>
      <c r="J644" s="115" t="s">
        <v>3269</v>
      </c>
      <c r="K644" s="193" t="s">
        <v>3694</v>
      </c>
      <c r="L644" s="121" t="s">
        <v>4209</v>
      </c>
      <c r="M644" s="172"/>
      <c r="N644" s="93" t="s">
        <v>3695</v>
      </c>
      <c r="O644" s="92" t="s">
        <v>3696</v>
      </c>
      <c r="P644" s="88" t="s">
        <v>1002</v>
      </c>
      <c r="Q644" s="88" t="s">
        <v>48</v>
      </c>
      <c r="R644" s="86">
        <v>9566417609</v>
      </c>
      <c r="S644" s="88" t="s">
        <v>3602</v>
      </c>
      <c r="T644" s="129"/>
      <c r="U644" s="151"/>
      <c r="V644" s="151"/>
      <c r="W644" s="151"/>
      <c r="X644" s="151"/>
      <c r="Y644" s="147"/>
      <c r="Z644" s="147"/>
      <c r="AA644" s="147"/>
      <c r="AB644" s="141"/>
      <c r="AC644" s="126" t="s">
        <v>1005</v>
      </c>
      <c r="AD644" s="14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  <c r="AQ644" s="121"/>
      <c r="AR644" s="121"/>
      <c r="AS644" s="121"/>
      <c r="AT644" s="121"/>
      <c r="AU644" s="121"/>
      <c r="AV644" s="121"/>
      <c r="AW644" s="163"/>
      <c r="AX644" s="163"/>
      <c r="AZ644" s="121" t="s">
        <v>49</v>
      </c>
      <c r="BA644" s="163"/>
      <c r="BB644" s="163"/>
      <c r="BC644" s="163"/>
      <c r="BF644" s="163">
        <v>1</v>
      </c>
    </row>
    <row r="645" spans="1:58" ht="70.150000000000006" customHeight="1">
      <c r="A645" s="107">
        <v>641</v>
      </c>
      <c r="B645" s="124" t="s">
        <v>3697</v>
      </c>
      <c r="C645" s="90" t="s">
        <v>3698</v>
      </c>
      <c r="D645" s="95" t="s">
        <v>53</v>
      </c>
      <c r="E645" s="95" t="s">
        <v>54</v>
      </c>
      <c r="F645" s="95"/>
      <c r="G645" s="95"/>
      <c r="H645" s="95"/>
      <c r="I645" s="95"/>
      <c r="J645" s="115" t="s">
        <v>3699</v>
      </c>
      <c r="K645" s="193" t="s">
        <v>3700</v>
      </c>
      <c r="L645" s="121" t="s">
        <v>4209</v>
      </c>
      <c r="M645" s="172" t="s">
        <v>3701</v>
      </c>
      <c r="N645" s="93" t="s">
        <v>3702</v>
      </c>
      <c r="O645" s="92" t="s">
        <v>3703</v>
      </c>
      <c r="P645" s="88" t="s">
        <v>3511</v>
      </c>
      <c r="Q645" s="88" t="s">
        <v>48</v>
      </c>
      <c r="R645" s="86">
        <v>9677506860</v>
      </c>
      <c r="S645" s="88" t="s">
        <v>3602</v>
      </c>
      <c r="T645" s="129"/>
      <c r="U645" s="151"/>
      <c r="V645" s="151"/>
      <c r="W645" s="151"/>
      <c r="X645" s="151"/>
      <c r="Y645" s="147"/>
      <c r="Z645" s="147"/>
      <c r="AA645" s="147"/>
      <c r="AB645" s="141"/>
      <c r="AC645" s="141" t="s">
        <v>129</v>
      </c>
      <c r="AD645" s="141" t="s">
        <v>4222</v>
      </c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  <c r="AQ645" s="121"/>
      <c r="AR645" s="121"/>
      <c r="AS645" s="121"/>
      <c r="AT645" s="121"/>
      <c r="AU645" s="121"/>
      <c r="AV645" s="121"/>
      <c r="AW645" s="163"/>
      <c r="AX645" s="163"/>
      <c r="AZ645" s="121" t="s">
        <v>49</v>
      </c>
      <c r="BA645" s="163"/>
      <c r="BB645" s="163">
        <v>1</v>
      </c>
      <c r="BC645" s="163"/>
      <c r="BE645" s="285">
        <v>1</v>
      </c>
      <c r="BF645" s="163">
        <v>2</v>
      </c>
    </row>
    <row r="646" spans="1:58" ht="70.150000000000006" customHeight="1">
      <c r="A646" s="107">
        <v>642</v>
      </c>
      <c r="B646" s="124" t="s">
        <v>3704</v>
      </c>
      <c r="C646" s="90" t="s">
        <v>3705</v>
      </c>
      <c r="D646" s="95" t="s">
        <v>53</v>
      </c>
      <c r="E646" s="95" t="s">
        <v>54</v>
      </c>
      <c r="F646" s="95"/>
      <c r="G646" s="95"/>
      <c r="H646" s="95"/>
      <c r="I646" s="95"/>
      <c r="J646" s="115" t="s">
        <v>3706</v>
      </c>
      <c r="K646" s="193" t="s">
        <v>3707</v>
      </c>
      <c r="L646" s="121" t="s">
        <v>4209</v>
      </c>
      <c r="M646" s="172"/>
      <c r="N646" s="93" t="s">
        <v>3708</v>
      </c>
      <c r="O646" s="92" t="s">
        <v>3709</v>
      </c>
      <c r="P646" s="88" t="s">
        <v>3511</v>
      </c>
      <c r="Q646" s="88" t="s">
        <v>48</v>
      </c>
      <c r="R646" s="86">
        <v>8248366241</v>
      </c>
      <c r="S646" s="88" t="s">
        <v>3602</v>
      </c>
      <c r="T646" s="129"/>
      <c r="U646" s="151"/>
      <c r="V646" s="151"/>
      <c r="W646" s="151"/>
      <c r="X646" s="151"/>
      <c r="Y646" s="147"/>
      <c r="Z646" s="147"/>
      <c r="AA646" s="147"/>
      <c r="AB646" s="141"/>
      <c r="AC646" s="141"/>
      <c r="AD646" s="14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  <c r="AQ646" s="121"/>
      <c r="AR646" s="121"/>
      <c r="AS646" s="121"/>
      <c r="AT646" s="121"/>
      <c r="AU646" s="121"/>
      <c r="AV646" s="121"/>
      <c r="AW646" s="163"/>
      <c r="AX646" s="163"/>
      <c r="AZ646" s="121" t="s">
        <v>49</v>
      </c>
      <c r="BA646" s="163"/>
      <c r="BB646" s="163"/>
      <c r="BC646" s="163"/>
      <c r="BF646" s="163">
        <f>COUNTA('All Details for ACID Pastor'!$T646:$AB646)</f>
        <v>0</v>
      </c>
    </row>
    <row r="647" spans="1:58" ht="70.150000000000006" customHeight="1">
      <c r="A647" s="107">
        <v>643</v>
      </c>
      <c r="B647" s="124" t="s">
        <v>3710</v>
      </c>
      <c r="C647" s="90" t="s">
        <v>3711</v>
      </c>
      <c r="D647" s="95" t="s">
        <v>53</v>
      </c>
      <c r="E647" s="95" t="s">
        <v>54</v>
      </c>
      <c r="F647" s="95"/>
      <c r="G647" s="95"/>
      <c r="H647" s="95"/>
      <c r="I647" s="95"/>
      <c r="J647" s="115" t="s">
        <v>3507</v>
      </c>
      <c r="K647" s="193" t="s">
        <v>3712</v>
      </c>
      <c r="L647" s="121" t="s">
        <v>4209</v>
      </c>
      <c r="M647" s="172"/>
      <c r="N647" s="93" t="s">
        <v>3713</v>
      </c>
      <c r="O647" s="92" t="s">
        <v>3714</v>
      </c>
      <c r="P647" s="88" t="s">
        <v>3540</v>
      </c>
      <c r="Q647" s="88" t="s">
        <v>48</v>
      </c>
      <c r="R647" s="86">
        <v>9994566004</v>
      </c>
      <c r="S647" s="88" t="s">
        <v>3602</v>
      </c>
      <c r="T647" s="129"/>
      <c r="U647" s="151"/>
      <c r="V647" s="151"/>
      <c r="W647" s="151"/>
      <c r="X647" s="151"/>
      <c r="Y647" s="147"/>
      <c r="Z647" s="147"/>
      <c r="AA647" s="147"/>
      <c r="AB647" s="141"/>
      <c r="AC647" s="141"/>
      <c r="AD647" s="14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  <c r="AQ647" s="121"/>
      <c r="AR647" s="121"/>
      <c r="AS647" s="121"/>
      <c r="AT647" s="121"/>
      <c r="AU647" s="121"/>
      <c r="AV647" s="121"/>
      <c r="AW647" s="163"/>
      <c r="AX647" s="163"/>
      <c r="AZ647" s="121" t="s">
        <v>49</v>
      </c>
      <c r="BA647" s="163"/>
      <c r="BB647" s="163"/>
      <c r="BC647" s="163"/>
      <c r="BF647" s="163">
        <f>COUNTA('All Details for ACID Pastor'!$T647:$AB647)</f>
        <v>0</v>
      </c>
    </row>
    <row r="648" spans="1:58" ht="70.150000000000006" customHeight="1">
      <c r="A648" s="107">
        <v>644</v>
      </c>
      <c r="B648" s="124" t="s">
        <v>3715</v>
      </c>
      <c r="C648" s="90" t="s">
        <v>3716</v>
      </c>
      <c r="D648" s="95" t="s">
        <v>53</v>
      </c>
      <c r="E648" s="95" t="s">
        <v>54</v>
      </c>
      <c r="F648" s="95"/>
      <c r="G648" s="95"/>
      <c r="H648" s="95"/>
      <c r="I648" s="95"/>
      <c r="J648" s="115" t="s">
        <v>3507</v>
      </c>
      <c r="K648" s="193" t="s">
        <v>257</v>
      </c>
      <c r="L648" s="121" t="s">
        <v>4209</v>
      </c>
      <c r="M648" s="172"/>
      <c r="N648" s="93" t="s">
        <v>3717</v>
      </c>
      <c r="O648" s="92" t="s">
        <v>3718</v>
      </c>
      <c r="P648" s="88" t="s">
        <v>3511</v>
      </c>
      <c r="Q648" s="88" t="s">
        <v>48</v>
      </c>
      <c r="R648" s="86">
        <v>9487254538</v>
      </c>
      <c r="S648" s="88" t="s">
        <v>3602</v>
      </c>
      <c r="T648" s="129"/>
      <c r="U648" s="151"/>
      <c r="V648" s="151"/>
      <c r="W648" s="151"/>
      <c r="X648" s="151"/>
      <c r="Y648" s="147"/>
      <c r="Z648" s="147"/>
      <c r="AA648" s="147"/>
      <c r="AB648" s="141"/>
      <c r="AC648" s="141"/>
      <c r="AD648" s="14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  <c r="AQ648" s="121"/>
      <c r="AR648" s="121"/>
      <c r="AS648" s="121"/>
      <c r="AT648" s="121"/>
      <c r="AU648" s="121"/>
      <c r="AV648" s="121"/>
      <c r="AW648" s="163"/>
      <c r="AX648" s="163"/>
      <c r="AZ648" s="121" t="s">
        <v>49</v>
      </c>
      <c r="BA648" s="163"/>
      <c r="BB648" s="163"/>
      <c r="BC648" s="163"/>
      <c r="BF648" s="163">
        <f>COUNTA('All Details for ACID Pastor'!$T648:$AB648)</f>
        <v>0</v>
      </c>
    </row>
    <row r="649" spans="1:58" ht="78.75" customHeight="1">
      <c r="A649" s="107">
        <v>645</v>
      </c>
      <c r="B649" s="124" t="s">
        <v>3719</v>
      </c>
      <c r="C649" s="90" t="s">
        <v>3720</v>
      </c>
      <c r="D649" s="95" t="s">
        <v>53</v>
      </c>
      <c r="E649" s="95" t="s">
        <v>54</v>
      </c>
      <c r="F649" s="95"/>
      <c r="G649" s="95"/>
      <c r="H649" s="95"/>
      <c r="I649" s="95"/>
      <c r="J649" s="115" t="s">
        <v>3721</v>
      </c>
      <c r="K649" s="193" t="s">
        <v>3722</v>
      </c>
      <c r="L649" s="121" t="s">
        <v>4209</v>
      </c>
      <c r="M649" s="172"/>
      <c r="N649" s="93" t="s">
        <v>3723</v>
      </c>
      <c r="O649" s="92" t="s">
        <v>3724</v>
      </c>
      <c r="P649" s="88" t="s">
        <v>769</v>
      </c>
      <c r="Q649" s="88" t="s">
        <v>48</v>
      </c>
      <c r="R649" s="86">
        <v>7708094411</v>
      </c>
      <c r="S649" s="88" t="s">
        <v>3602</v>
      </c>
      <c r="T649" s="129"/>
      <c r="U649" s="151"/>
      <c r="V649" s="151"/>
      <c r="W649" s="151"/>
      <c r="X649" s="151"/>
      <c r="Y649" s="147"/>
      <c r="Z649" s="147"/>
      <c r="AA649" s="147"/>
      <c r="AB649" s="141"/>
      <c r="AC649" s="141"/>
      <c r="AD649" s="14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  <c r="AQ649" s="121"/>
      <c r="AR649" s="121"/>
      <c r="AS649" s="121"/>
      <c r="AT649" s="121"/>
      <c r="AU649" s="121"/>
      <c r="AV649" s="121"/>
      <c r="AW649" s="163"/>
      <c r="AX649" s="163"/>
      <c r="AZ649" s="121" t="s">
        <v>49</v>
      </c>
      <c r="BA649" s="163"/>
      <c r="BB649" s="163"/>
      <c r="BC649" s="163"/>
      <c r="BF649" s="163">
        <f>COUNTA('All Details for ACID Pastor'!$T649:$AB649)</f>
        <v>0</v>
      </c>
    </row>
    <row r="650" spans="1:58" ht="78.75" customHeight="1">
      <c r="A650" s="107">
        <v>646</v>
      </c>
      <c r="B650" s="124" t="s">
        <v>3725</v>
      </c>
      <c r="C650" s="90" t="s">
        <v>3726</v>
      </c>
      <c r="D650" s="95" t="s">
        <v>53</v>
      </c>
      <c r="E650" s="95" t="s">
        <v>54</v>
      </c>
      <c r="F650" s="95"/>
      <c r="G650" s="95"/>
      <c r="H650" s="95"/>
      <c r="I650" s="95"/>
      <c r="J650" s="115" t="s">
        <v>3721</v>
      </c>
      <c r="K650" s="193" t="s">
        <v>3727</v>
      </c>
      <c r="L650" s="121" t="s">
        <v>4209</v>
      </c>
      <c r="M650" s="172"/>
      <c r="N650" s="93" t="s">
        <v>3728</v>
      </c>
      <c r="O650" s="92" t="s">
        <v>3724</v>
      </c>
      <c r="P650" s="88" t="s">
        <v>769</v>
      </c>
      <c r="Q650" s="88" t="s">
        <v>48</v>
      </c>
      <c r="R650" s="86">
        <v>9655367806</v>
      </c>
      <c r="S650" s="88" t="s">
        <v>3602</v>
      </c>
      <c r="T650" s="129"/>
      <c r="U650" s="151"/>
      <c r="V650" s="151"/>
      <c r="W650" s="151"/>
      <c r="X650" s="151"/>
      <c r="Y650" s="147"/>
      <c r="Z650" s="147"/>
      <c r="AA650" s="147"/>
      <c r="AB650" s="141"/>
      <c r="AC650" s="141"/>
      <c r="AD650" s="14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  <c r="AQ650" s="121"/>
      <c r="AR650" s="121"/>
      <c r="AS650" s="121"/>
      <c r="AT650" s="121"/>
      <c r="AU650" s="121"/>
      <c r="AV650" s="121"/>
      <c r="AW650" s="163"/>
      <c r="AX650" s="163"/>
      <c r="AZ650" s="121" t="s">
        <v>49</v>
      </c>
      <c r="BA650" s="163"/>
      <c r="BB650" s="163"/>
      <c r="BC650" s="163"/>
      <c r="BF650" s="163">
        <f>COUNTA('All Details for ACID Pastor'!$T650:$AB650)</f>
        <v>0</v>
      </c>
    </row>
    <row r="651" spans="1:58" ht="70.150000000000006" customHeight="1">
      <c r="A651" s="107">
        <v>647</v>
      </c>
      <c r="B651" s="124" t="s">
        <v>3729</v>
      </c>
      <c r="C651" s="90" t="s">
        <v>3730</v>
      </c>
      <c r="D651" s="95" t="s">
        <v>53</v>
      </c>
      <c r="E651" s="95" t="s">
        <v>54</v>
      </c>
      <c r="F651" s="95"/>
      <c r="G651" s="95"/>
      <c r="H651" s="95"/>
      <c r="I651" s="95"/>
      <c r="J651" s="115" t="s">
        <v>3269</v>
      </c>
      <c r="K651" s="193" t="s">
        <v>3731</v>
      </c>
      <c r="L651" s="121" t="s">
        <v>4209</v>
      </c>
      <c r="M651" s="172"/>
      <c r="N651" s="93" t="s">
        <v>3732</v>
      </c>
      <c r="O651" s="92" t="s">
        <v>3733</v>
      </c>
      <c r="P651" s="88" t="s">
        <v>1002</v>
      </c>
      <c r="Q651" s="88" t="s">
        <v>48</v>
      </c>
      <c r="R651" s="86">
        <v>9566632657</v>
      </c>
      <c r="S651" s="88" t="s">
        <v>3602</v>
      </c>
      <c r="T651" s="129"/>
      <c r="U651" s="151"/>
      <c r="V651" s="151"/>
      <c r="W651" s="151"/>
      <c r="X651" s="151"/>
      <c r="Y651" s="147"/>
      <c r="Z651" s="147"/>
      <c r="AA651" s="147"/>
      <c r="AB651" s="141"/>
      <c r="AC651" s="126" t="s">
        <v>1005</v>
      </c>
      <c r="AD651" s="14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  <c r="AQ651" s="121"/>
      <c r="AR651" s="121"/>
      <c r="AS651" s="121"/>
      <c r="AT651" s="121"/>
      <c r="AU651" s="121"/>
      <c r="AV651" s="121"/>
      <c r="AW651" s="163"/>
      <c r="AX651" s="163"/>
      <c r="AZ651" s="121" t="s">
        <v>49</v>
      </c>
      <c r="BA651" s="163"/>
      <c r="BB651" s="163"/>
      <c r="BC651" s="163"/>
      <c r="BF651" s="163">
        <v>1</v>
      </c>
    </row>
    <row r="652" spans="1:58" ht="70.150000000000006" customHeight="1">
      <c r="A652" s="107">
        <v>648</v>
      </c>
      <c r="B652" s="124" t="s">
        <v>3734</v>
      </c>
      <c r="C652" s="90" t="s">
        <v>3735</v>
      </c>
      <c r="D652" s="95" t="s">
        <v>53</v>
      </c>
      <c r="E652" s="95" t="s">
        <v>54</v>
      </c>
      <c r="F652" s="95"/>
      <c r="G652" s="95"/>
      <c r="H652" s="95"/>
      <c r="I652" s="95"/>
      <c r="J652" s="118"/>
      <c r="K652" s="193" t="s">
        <v>3736</v>
      </c>
      <c r="L652" s="121" t="s">
        <v>4209</v>
      </c>
      <c r="M652" s="172"/>
      <c r="N652" s="93" t="s">
        <v>3737</v>
      </c>
      <c r="O652" s="93"/>
      <c r="P652" s="88" t="s">
        <v>2971</v>
      </c>
      <c r="Q652" s="88" t="s">
        <v>48</v>
      </c>
      <c r="R652" s="86">
        <v>9092457171</v>
      </c>
      <c r="S652" s="88" t="s">
        <v>3602</v>
      </c>
      <c r="T652" s="129"/>
      <c r="U652" s="151"/>
      <c r="V652" s="151"/>
      <c r="W652" s="151"/>
      <c r="X652" s="151"/>
      <c r="Y652" s="147"/>
      <c r="Z652" s="147"/>
      <c r="AA652" s="147"/>
      <c r="AB652" s="141"/>
      <c r="AC652" s="141" t="s">
        <v>3651</v>
      </c>
      <c r="AD652" s="14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63"/>
      <c r="AX652" s="163"/>
      <c r="AZ652" s="121" t="s">
        <v>49</v>
      </c>
      <c r="BA652" s="163"/>
      <c r="BB652" s="163"/>
      <c r="BC652" s="163"/>
      <c r="BF652" s="163">
        <v>1</v>
      </c>
    </row>
    <row r="653" spans="1:58" ht="70.150000000000006" customHeight="1">
      <c r="A653" s="107">
        <v>649</v>
      </c>
      <c r="B653" s="124" t="s">
        <v>3738</v>
      </c>
      <c r="C653" s="90" t="s">
        <v>3739</v>
      </c>
      <c r="D653" s="95" t="s">
        <v>53</v>
      </c>
      <c r="E653" s="95" t="s">
        <v>54</v>
      </c>
      <c r="F653" s="95" t="s">
        <v>3740</v>
      </c>
      <c r="G653" s="95" t="s">
        <v>3742</v>
      </c>
      <c r="H653" s="95" t="s">
        <v>3743</v>
      </c>
      <c r="I653" s="95" t="s">
        <v>3744</v>
      </c>
      <c r="J653" s="115" t="s">
        <v>3745</v>
      </c>
      <c r="K653" s="193" t="s">
        <v>3741</v>
      </c>
      <c r="L653" s="121" t="s">
        <v>4209</v>
      </c>
      <c r="M653" s="172"/>
      <c r="N653" s="93" t="s">
        <v>3746</v>
      </c>
      <c r="O653" s="92" t="s">
        <v>3747</v>
      </c>
      <c r="P653" s="88" t="s">
        <v>3748</v>
      </c>
      <c r="Q653" s="88" t="s">
        <v>3748</v>
      </c>
      <c r="R653" s="86">
        <v>9783259632</v>
      </c>
      <c r="S653" s="88" t="s">
        <v>3749</v>
      </c>
      <c r="T653" s="129"/>
      <c r="U653" s="151"/>
      <c r="V653" s="151"/>
      <c r="W653" s="151"/>
      <c r="X653" s="151"/>
      <c r="Y653" s="147"/>
      <c r="Z653" s="147"/>
      <c r="AA653" s="147"/>
      <c r="AB653" s="141"/>
      <c r="AC653" s="141"/>
      <c r="AD653" s="14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63"/>
      <c r="AX653" s="163"/>
      <c r="AZ653" s="121" t="s">
        <v>49</v>
      </c>
      <c r="BA653" s="163"/>
      <c r="BB653" s="163"/>
      <c r="BC653" s="163"/>
      <c r="BF653" s="163">
        <f>COUNTA('All Details for ACID Pastor'!$T653:$AB653)</f>
        <v>0</v>
      </c>
    </row>
    <row r="654" spans="1:58" ht="70.150000000000006" customHeight="1">
      <c r="A654" s="107">
        <v>650</v>
      </c>
      <c r="B654" s="124" t="s">
        <v>3750</v>
      </c>
      <c r="C654" s="90" t="s">
        <v>3751</v>
      </c>
      <c r="D654" s="95" t="s">
        <v>53</v>
      </c>
      <c r="E654" s="95" t="s">
        <v>54</v>
      </c>
      <c r="F654" s="95"/>
      <c r="G654" s="95" t="s">
        <v>3742</v>
      </c>
      <c r="H654" s="95" t="s">
        <v>3752</v>
      </c>
      <c r="I654" s="95" t="s">
        <v>3744</v>
      </c>
      <c r="J654" s="115" t="s">
        <v>3753</v>
      </c>
      <c r="K654" s="193" t="s">
        <v>3754</v>
      </c>
      <c r="L654" s="121" t="s">
        <v>4209</v>
      </c>
      <c r="M654" s="172"/>
      <c r="N654" s="93" t="s">
        <v>3755</v>
      </c>
      <c r="O654" s="92" t="s">
        <v>3756</v>
      </c>
      <c r="P654" s="88" t="s">
        <v>94</v>
      </c>
      <c r="Q654" s="88" t="s">
        <v>48</v>
      </c>
      <c r="R654" s="86">
        <v>6379707837</v>
      </c>
      <c r="S654" s="88" t="s">
        <v>3749</v>
      </c>
      <c r="T654" s="129"/>
      <c r="U654" s="151"/>
      <c r="V654" s="151"/>
      <c r="W654" s="151"/>
      <c r="X654" s="151"/>
      <c r="Y654" s="147"/>
      <c r="Z654" s="147"/>
      <c r="AA654" s="147"/>
      <c r="AB654" s="141"/>
      <c r="AC654" s="141" t="s">
        <v>4220</v>
      </c>
      <c r="AD654" s="14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  <c r="AQ654" s="121"/>
      <c r="AR654" s="121"/>
      <c r="AS654" s="121"/>
      <c r="AT654" s="121"/>
      <c r="AU654" s="121"/>
      <c r="AV654" s="121"/>
      <c r="AW654" s="163"/>
      <c r="AX654" s="163"/>
      <c r="AZ654" s="121" t="s">
        <v>49</v>
      </c>
      <c r="BA654" s="163"/>
      <c r="BB654" s="163"/>
      <c r="BC654" s="163">
        <v>1</v>
      </c>
      <c r="BF654" s="163">
        <v>1</v>
      </c>
    </row>
    <row r="655" spans="1:58" ht="70.150000000000006" customHeight="1">
      <c r="A655" s="107">
        <v>651</v>
      </c>
      <c r="B655" s="124" t="s">
        <v>3757</v>
      </c>
      <c r="C655" s="90" t="s">
        <v>3758</v>
      </c>
      <c r="D655" s="95" t="s">
        <v>53</v>
      </c>
      <c r="E655" s="95" t="s">
        <v>54</v>
      </c>
      <c r="F655" s="95"/>
      <c r="G655" s="95" t="s">
        <v>3760</v>
      </c>
      <c r="H655" s="95" t="s">
        <v>50</v>
      </c>
      <c r="I655" s="95" t="s">
        <v>3744</v>
      </c>
      <c r="J655" s="115" t="s">
        <v>3414</v>
      </c>
      <c r="K655" s="193" t="s">
        <v>3759</v>
      </c>
      <c r="L655" s="121" t="s">
        <v>4209</v>
      </c>
      <c r="M655" s="172"/>
      <c r="N655" s="93" t="s">
        <v>3761</v>
      </c>
      <c r="O655" s="92" t="s">
        <v>3762</v>
      </c>
      <c r="P655" s="88" t="s">
        <v>198</v>
      </c>
      <c r="Q655" s="88" t="s">
        <v>48</v>
      </c>
      <c r="R655" s="86">
        <v>7708925022</v>
      </c>
      <c r="S655" s="88" t="s">
        <v>3749</v>
      </c>
      <c r="T655" s="129"/>
      <c r="U655" s="151"/>
      <c r="V655" s="151"/>
      <c r="W655" s="151"/>
      <c r="X655" s="151"/>
      <c r="Y655" s="147"/>
      <c r="Z655" s="147"/>
      <c r="AA655" s="147"/>
      <c r="AB655" s="141"/>
      <c r="AC655" s="141" t="s">
        <v>4220</v>
      </c>
      <c r="AD655" s="14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  <c r="AQ655" s="121"/>
      <c r="AR655" s="121"/>
      <c r="AS655" s="121"/>
      <c r="AT655" s="121"/>
      <c r="AU655" s="121"/>
      <c r="AV655" s="121"/>
      <c r="AW655" s="163"/>
      <c r="AX655" s="163"/>
      <c r="AZ655" s="121" t="s">
        <v>49</v>
      </c>
      <c r="BA655" s="163"/>
      <c r="BB655" s="163"/>
      <c r="BC655" s="163">
        <v>1</v>
      </c>
      <c r="BF655" s="163">
        <v>1</v>
      </c>
    </row>
    <row r="656" spans="1:58" ht="70.150000000000006" customHeight="1">
      <c r="A656" s="107">
        <v>652</v>
      </c>
      <c r="B656" s="124" t="s">
        <v>3763</v>
      </c>
      <c r="C656" s="90" t="s">
        <v>3764</v>
      </c>
      <c r="D656" s="95" t="s">
        <v>53</v>
      </c>
      <c r="E656" s="95" t="s">
        <v>68</v>
      </c>
      <c r="F656" s="95"/>
      <c r="G656" s="95" t="s">
        <v>3742</v>
      </c>
      <c r="H656" s="95" t="s">
        <v>3766</v>
      </c>
      <c r="I656" s="95" t="s">
        <v>3744</v>
      </c>
      <c r="J656" s="115" t="s">
        <v>3414</v>
      </c>
      <c r="K656" s="193" t="s">
        <v>3765</v>
      </c>
      <c r="L656" s="121" t="s">
        <v>4209</v>
      </c>
      <c r="M656" s="172" t="s">
        <v>3767</v>
      </c>
      <c r="N656" s="93" t="s">
        <v>3768</v>
      </c>
      <c r="O656" s="92" t="s">
        <v>3769</v>
      </c>
      <c r="P656" s="88" t="s">
        <v>198</v>
      </c>
      <c r="Q656" s="88" t="s">
        <v>48</v>
      </c>
      <c r="R656" s="86">
        <v>9786183293</v>
      </c>
      <c r="S656" s="88" t="s">
        <v>3749</v>
      </c>
      <c r="T656" s="129"/>
      <c r="U656" s="151"/>
      <c r="V656" s="151"/>
      <c r="W656" s="151"/>
      <c r="X656" s="151"/>
      <c r="Y656" s="147"/>
      <c r="Z656" s="147"/>
      <c r="AA656" s="147"/>
      <c r="AB656" s="141"/>
      <c r="AC656" s="141" t="s">
        <v>4220</v>
      </c>
      <c r="AD656" s="14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63"/>
      <c r="AX656" s="163"/>
      <c r="AZ656" s="121" t="s">
        <v>49</v>
      </c>
      <c r="BA656" s="163"/>
      <c r="BB656" s="163"/>
      <c r="BC656" s="163">
        <v>1</v>
      </c>
      <c r="BF656" s="163">
        <v>1</v>
      </c>
    </row>
    <row r="657" spans="1:58" ht="70.150000000000006" customHeight="1">
      <c r="A657" s="107">
        <v>653</v>
      </c>
      <c r="B657" s="124" t="s">
        <v>3770</v>
      </c>
      <c r="C657" s="90" t="s">
        <v>3771</v>
      </c>
      <c r="D657" s="95" t="s">
        <v>53</v>
      </c>
      <c r="E657" s="95" t="s">
        <v>68</v>
      </c>
      <c r="F657" s="95"/>
      <c r="G657" s="95" t="s">
        <v>3742</v>
      </c>
      <c r="H657" s="95" t="s">
        <v>3773</v>
      </c>
      <c r="I657" s="95" t="s">
        <v>3744</v>
      </c>
      <c r="J657" s="115" t="s">
        <v>3414</v>
      </c>
      <c r="K657" s="193" t="s">
        <v>3772</v>
      </c>
      <c r="L657" s="121" t="s">
        <v>4209</v>
      </c>
      <c r="M657" s="172" t="s">
        <v>3767</v>
      </c>
      <c r="N657" s="93" t="s">
        <v>3774</v>
      </c>
      <c r="O657" s="92" t="s">
        <v>3769</v>
      </c>
      <c r="P657" s="88" t="s">
        <v>198</v>
      </c>
      <c r="Q657" s="88" t="s">
        <v>48</v>
      </c>
      <c r="R657" s="86">
        <v>9786922575</v>
      </c>
      <c r="S657" s="88" t="s">
        <v>3749</v>
      </c>
      <c r="T657" s="129"/>
      <c r="U657" s="151"/>
      <c r="V657" s="151"/>
      <c r="W657" s="151"/>
      <c r="X657" s="151"/>
      <c r="Y657" s="147"/>
      <c r="Z657" s="147"/>
      <c r="AA657" s="147"/>
      <c r="AB657" s="141"/>
      <c r="AC657" s="141" t="s">
        <v>4220</v>
      </c>
      <c r="AD657" s="14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63"/>
      <c r="AX657" s="163"/>
      <c r="AZ657" s="121" t="s">
        <v>49</v>
      </c>
      <c r="BA657" s="163"/>
      <c r="BB657" s="163"/>
      <c r="BC657" s="163">
        <v>1</v>
      </c>
      <c r="BF657" s="163">
        <v>1</v>
      </c>
    </row>
    <row r="658" spans="1:58" ht="70.150000000000006" customHeight="1">
      <c r="A658" s="107">
        <v>654</v>
      </c>
      <c r="B658" s="124" t="s">
        <v>3775</v>
      </c>
      <c r="C658" s="90" t="s">
        <v>3776</v>
      </c>
      <c r="D658" s="95" t="s">
        <v>53</v>
      </c>
      <c r="E658" s="95" t="s">
        <v>68</v>
      </c>
      <c r="F658" s="95"/>
      <c r="G658" s="95" t="s">
        <v>3760</v>
      </c>
      <c r="H658" s="95" t="s">
        <v>50</v>
      </c>
      <c r="I658" s="95" t="s">
        <v>3744</v>
      </c>
      <c r="J658" s="115" t="s">
        <v>3414</v>
      </c>
      <c r="K658" s="193" t="s">
        <v>3777</v>
      </c>
      <c r="L658" s="121" t="s">
        <v>4209</v>
      </c>
      <c r="M658" s="172" t="s">
        <v>3767</v>
      </c>
      <c r="N658" s="93" t="s">
        <v>3778</v>
      </c>
      <c r="O658" s="92" t="s">
        <v>3769</v>
      </c>
      <c r="P658" s="88" t="s">
        <v>198</v>
      </c>
      <c r="Q658" s="88" t="s">
        <v>48</v>
      </c>
      <c r="R658" s="86">
        <v>9655813363</v>
      </c>
      <c r="S658" s="88" t="s">
        <v>3749</v>
      </c>
      <c r="T658" s="129"/>
      <c r="U658" s="151"/>
      <c r="V658" s="151"/>
      <c r="W658" s="151"/>
      <c r="X658" s="151"/>
      <c r="Y658" s="147"/>
      <c r="Z658" s="147"/>
      <c r="AA658" s="147"/>
      <c r="AB658" s="141"/>
      <c r="AC658" s="141" t="s">
        <v>4220</v>
      </c>
      <c r="AD658" s="14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63"/>
      <c r="AX658" s="163"/>
      <c r="AZ658" s="121" t="s">
        <v>49</v>
      </c>
      <c r="BA658" s="163"/>
      <c r="BB658" s="163"/>
      <c r="BC658" s="163">
        <v>1</v>
      </c>
      <c r="BF658" s="163">
        <v>1</v>
      </c>
    </row>
    <row r="659" spans="1:58" ht="70.150000000000006" customHeight="1">
      <c r="A659" s="107">
        <v>655</v>
      </c>
      <c r="B659" s="124" t="s">
        <v>3779</v>
      </c>
      <c r="C659" s="90" t="s">
        <v>3780</v>
      </c>
      <c r="D659" s="95" t="s">
        <v>53</v>
      </c>
      <c r="E659" s="95" t="s">
        <v>68</v>
      </c>
      <c r="F659" s="95"/>
      <c r="G659" s="95" t="s">
        <v>3742</v>
      </c>
      <c r="H659" s="95" t="s">
        <v>3782</v>
      </c>
      <c r="I659" s="95" t="s">
        <v>3744</v>
      </c>
      <c r="J659" s="115" t="s">
        <v>3414</v>
      </c>
      <c r="K659" s="193" t="s">
        <v>3781</v>
      </c>
      <c r="L659" s="121" t="s">
        <v>4209</v>
      </c>
      <c r="M659" s="172" t="s">
        <v>3767</v>
      </c>
      <c r="N659" s="93" t="s">
        <v>3783</v>
      </c>
      <c r="O659" s="92" t="s">
        <v>3769</v>
      </c>
      <c r="P659" s="88" t="s">
        <v>198</v>
      </c>
      <c r="Q659" s="88" t="s">
        <v>48</v>
      </c>
      <c r="R659" s="86">
        <v>9786183494</v>
      </c>
      <c r="S659" s="88" t="s">
        <v>3749</v>
      </c>
      <c r="T659" s="129"/>
      <c r="U659" s="151"/>
      <c r="V659" s="151"/>
      <c r="W659" s="151"/>
      <c r="X659" s="151"/>
      <c r="Y659" s="147"/>
      <c r="Z659" s="147"/>
      <c r="AA659" s="147"/>
      <c r="AB659" s="141"/>
      <c r="AC659" s="141" t="s">
        <v>4220</v>
      </c>
      <c r="AD659" s="14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63"/>
      <c r="AX659" s="163"/>
      <c r="AZ659" s="121" t="s">
        <v>49</v>
      </c>
      <c r="BA659" s="163"/>
      <c r="BB659" s="163"/>
      <c r="BC659" s="163">
        <v>1</v>
      </c>
      <c r="BF659" s="163">
        <v>1</v>
      </c>
    </row>
    <row r="660" spans="1:58" ht="70.150000000000006" customHeight="1">
      <c r="A660" s="107">
        <v>656</v>
      </c>
      <c r="B660" s="124" t="s">
        <v>3784</v>
      </c>
      <c r="C660" s="90" t="s">
        <v>3785</v>
      </c>
      <c r="D660" s="95" t="s">
        <v>53</v>
      </c>
      <c r="E660" s="95" t="s">
        <v>68</v>
      </c>
      <c r="F660" s="95"/>
      <c r="G660" s="95" t="s">
        <v>3742</v>
      </c>
      <c r="H660" s="95" t="s">
        <v>3787</v>
      </c>
      <c r="I660" s="95" t="s">
        <v>3744</v>
      </c>
      <c r="J660" s="115" t="s">
        <v>3414</v>
      </c>
      <c r="K660" s="193" t="s">
        <v>3786</v>
      </c>
      <c r="L660" s="121" t="s">
        <v>4209</v>
      </c>
      <c r="M660" s="172" t="s">
        <v>3767</v>
      </c>
      <c r="N660" s="93" t="s">
        <v>3788</v>
      </c>
      <c r="O660" s="92" t="s">
        <v>3769</v>
      </c>
      <c r="P660" s="88" t="s">
        <v>198</v>
      </c>
      <c r="Q660" s="88" t="s">
        <v>48</v>
      </c>
      <c r="R660" s="86">
        <v>7373138059</v>
      </c>
      <c r="S660" s="88" t="s">
        <v>3749</v>
      </c>
      <c r="T660" s="129"/>
      <c r="U660" s="151"/>
      <c r="V660" s="151"/>
      <c r="W660" s="151"/>
      <c r="X660" s="151"/>
      <c r="Y660" s="147"/>
      <c r="Z660" s="147"/>
      <c r="AA660" s="147"/>
      <c r="AB660" s="141"/>
      <c r="AC660" s="141" t="s">
        <v>4220</v>
      </c>
      <c r="AD660" s="14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63"/>
      <c r="AX660" s="163"/>
      <c r="AZ660" s="121" t="s">
        <v>49</v>
      </c>
      <c r="BA660" s="163"/>
      <c r="BB660" s="163"/>
      <c r="BC660" s="163">
        <v>1</v>
      </c>
      <c r="BF660" s="163">
        <v>1</v>
      </c>
    </row>
    <row r="661" spans="1:58" ht="70.150000000000006" customHeight="1">
      <c r="A661" s="107">
        <v>657</v>
      </c>
      <c r="B661" s="124" t="s">
        <v>3789</v>
      </c>
      <c r="C661" s="90" t="s">
        <v>3790</v>
      </c>
      <c r="D661" s="95" t="s">
        <v>53</v>
      </c>
      <c r="E661" s="95" t="s">
        <v>54</v>
      </c>
      <c r="F661" s="95"/>
      <c r="G661" s="95" t="s">
        <v>3760</v>
      </c>
      <c r="H661" s="95" t="s">
        <v>50</v>
      </c>
      <c r="I661" s="95" t="s">
        <v>3744</v>
      </c>
      <c r="J661" s="115" t="s">
        <v>3269</v>
      </c>
      <c r="K661" s="193" t="s">
        <v>3791</v>
      </c>
      <c r="L661" s="121" t="s">
        <v>4209</v>
      </c>
      <c r="M661" s="172"/>
      <c r="N661" s="93" t="s">
        <v>3792</v>
      </c>
      <c r="O661" s="92" t="s">
        <v>3793</v>
      </c>
      <c r="P661" s="88" t="s">
        <v>3230</v>
      </c>
      <c r="Q661" s="88" t="s">
        <v>48</v>
      </c>
      <c r="R661" s="86">
        <v>7397166401</v>
      </c>
      <c r="S661" s="88" t="s">
        <v>3749</v>
      </c>
      <c r="T661" s="129"/>
      <c r="U661" s="151"/>
      <c r="V661" s="151"/>
      <c r="W661" s="151"/>
      <c r="X661" s="151"/>
      <c r="Y661" s="147"/>
      <c r="Z661" s="147"/>
      <c r="AA661" s="147"/>
      <c r="AB661" s="141"/>
      <c r="AC661" s="141" t="s">
        <v>4220</v>
      </c>
      <c r="AD661" s="14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63"/>
      <c r="AX661" s="163"/>
      <c r="AZ661" s="121" t="s">
        <v>49</v>
      </c>
      <c r="BA661" s="163"/>
      <c r="BB661" s="163"/>
      <c r="BC661" s="163">
        <v>1</v>
      </c>
      <c r="BF661" s="163">
        <v>1</v>
      </c>
    </row>
    <row r="662" spans="1:58" ht="70.150000000000006" customHeight="1">
      <c r="A662" s="107">
        <v>658</v>
      </c>
      <c r="B662" s="124" t="s">
        <v>3794</v>
      </c>
      <c r="C662" s="90" t="s">
        <v>3795</v>
      </c>
      <c r="D662" s="95" t="s">
        <v>53</v>
      </c>
      <c r="E662" s="95" t="s">
        <v>160</v>
      </c>
      <c r="F662" s="95"/>
      <c r="G662" s="95" t="s">
        <v>3742</v>
      </c>
      <c r="H662" s="95" t="s">
        <v>50</v>
      </c>
      <c r="I662" s="95" t="s">
        <v>3744</v>
      </c>
      <c r="J662" s="115" t="s">
        <v>3269</v>
      </c>
      <c r="K662" s="193" t="s">
        <v>3796</v>
      </c>
      <c r="L662" s="121" t="s">
        <v>4209</v>
      </c>
      <c r="M662" s="172"/>
      <c r="N662" s="93" t="s">
        <v>3792</v>
      </c>
      <c r="O662" s="92" t="s">
        <v>3793</v>
      </c>
      <c r="P662" s="88" t="s">
        <v>3230</v>
      </c>
      <c r="Q662" s="88" t="s">
        <v>48</v>
      </c>
      <c r="R662" s="86">
        <v>9791512610</v>
      </c>
      <c r="S662" s="88" t="s">
        <v>3749</v>
      </c>
      <c r="T662" s="129"/>
      <c r="U662" s="151"/>
      <c r="V662" s="151"/>
      <c r="W662" s="151"/>
      <c r="X662" s="151"/>
      <c r="Y662" s="147"/>
      <c r="Z662" s="147"/>
      <c r="AA662" s="147"/>
      <c r="AB662" s="141"/>
      <c r="AC662" s="141" t="s">
        <v>4220</v>
      </c>
      <c r="AD662" s="14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63"/>
      <c r="AX662" s="163"/>
      <c r="AZ662" s="121" t="s">
        <v>49</v>
      </c>
      <c r="BA662" s="163"/>
      <c r="BB662" s="163"/>
      <c r="BC662" s="163">
        <v>1</v>
      </c>
      <c r="BF662" s="163">
        <v>1</v>
      </c>
    </row>
    <row r="663" spans="1:58" ht="70.150000000000006" customHeight="1">
      <c r="A663" s="107">
        <v>659</v>
      </c>
      <c r="B663" s="124" t="s">
        <v>3797</v>
      </c>
      <c r="C663" s="90" t="s">
        <v>3798</v>
      </c>
      <c r="D663" s="95" t="s">
        <v>53</v>
      </c>
      <c r="E663" s="95" t="s">
        <v>54</v>
      </c>
      <c r="F663" s="95"/>
      <c r="G663" s="95"/>
      <c r="H663" s="95"/>
      <c r="I663" s="95"/>
      <c r="J663" s="115" t="s">
        <v>3799</v>
      </c>
      <c r="K663" s="193" t="s">
        <v>3800</v>
      </c>
      <c r="L663" s="121" t="s">
        <v>4209</v>
      </c>
      <c r="M663" s="172" t="s">
        <v>1942</v>
      </c>
      <c r="N663" s="93" t="s">
        <v>3801</v>
      </c>
      <c r="O663" s="92" t="s">
        <v>3802</v>
      </c>
      <c r="P663" s="88" t="s">
        <v>1102</v>
      </c>
      <c r="Q663" s="88" t="s">
        <v>48</v>
      </c>
      <c r="R663" s="86">
        <v>9345783067</v>
      </c>
      <c r="S663" s="88" t="s">
        <v>3749</v>
      </c>
      <c r="T663" s="129"/>
      <c r="U663" s="151"/>
      <c r="V663" s="151"/>
      <c r="W663" s="151"/>
      <c r="X663" s="151"/>
      <c r="Y663" s="147"/>
      <c r="Z663" s="147"/>
      <c r="AA663" s="147"/>
      <c r="AB663" s="141"/>
      <c r="AC663" s="141" t="s">
        <v>4220</v>
      </c>
      <c r="AD663" s="14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63"/>
      <c r="AX663" s="163"/>
      <c r="AZ663" s="121" t="s">
        <v>49</v>
      </c>
      <c r="BA663" s="163"/>
      <c r="BB663" s="163"/>
      <c r="BC663" s="163">
        <v>1</v>
      </c>
      <c r="BF663" s="163">
        <v>1</v>
      </c>
    </row>
    <row r="664" spans="1:58" ht="78.75" customHeight="1">
      <c r="A664" s="107">
        <v>660</v>
      </c>
      <c r="B664" s="124" t="s">
        <v>3803</v>
      </c>
      <c r="C664" s="90" t="s">
        <v>3804</v>
      </c>
      <c r="D664" s="95" t="s">
        <v>53</v>
      </c>
      <c r="E664" s="95" t="s">
        <v>54</v>
      </c>
      <c r="F664" s="95"/>
      <c r="G664" s="95"/>
      <c r="H664" s="95"/>
      <c r="I664" s="95"/>
      <c r="J664" s="115"/>
      <c r="K664" s="193" t="s">
        <v>3805</v>
      </c>
      <c r="L664" s="121" t="s">
        <v>4209</v>
      </c>
      <c r="M664" s="172" t="s">
        <v>3806</v>
      </c>
      <c r="N664" s="93" t="s">
        <v>3807</v>
      </c>
      <c r="O664" s="92" t="s">
        <v>3747</v>
      </c>
      <c r="P664" s="88" t="s">
        <v>769</v>
      </c>
      <c r="Q664" s="88" t="s">
        <v>48</v>
      </c>
      <c r="R664" s="86">
        <v>9841391929</v>
      </c>
      <c r="S664" s="88" t="s">
        <v>3749</v>
      </c>
      <c r="T664" s="129"/>
      <c r="U664" s="151"/>
      <c r="V664" s="151"/>
      <c r="W664" s="151"/>
      <c r="X664" s="151"/>
      <c r="Y664" s="147"/>
      <c r="Z664" s="147"/>
      <c r="AA664" s="147"/>
      <c r="AB664" s="141"/>
      <c r="AC664" s="141"/>
      <c r="AD664" s="14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63"/>
      <c r="AX664" s="163"/>
      <c r="AZ664" s="121" t="s">
        <v>49</v>
      </c>
      <c r="BA664" s="163"/>
      <c r="BB664" s="163"/>
      <c r="BC664" s="163"/>
      <c r="BF664" s="163">
        <f>COUNTA('All Details for ACID Pastor'!$T664:$AB664)</f>
        <v>0</v>
      </c>
    </row>
    <row r="665" spans="1:58" ht="70.150000000000006" customHeight="1">
      <c r="A665" s="107">
        <v>661</v>
      </c>
      <c r="B665" s="124" t="s">
        <v>3808</v>
      </c>
      <c r="C665" s="90" t="s">
        <v>3809</v>
      </c>
      <c r="D665" s="95" t="s">
        <v>53</v>
      </c>
      <c r="E665" s="95" t="s">
        <v>54</v>
      </c>
      <c r="F665" s="95"/>
      <c r="G665" s="95"/>
      <c r="H665" s="95"/>
      <c r="I665" s="95"/>
      <c r="J665" s="115" t="s">
        <v>3685</v>
      </c>
      <c r="K665" s="193" t="s">
        <v>3810</v>
      </c>
      <c r="L665" s="155" t="s">
        <v>4209</v>
      </c>
      <c r="M665" s="172"/>
      <c r="N665" s="93" t="s">
        <v>3811</v>
      </c>
      <c r="O665" s="92" t="s">
        <v>3812</v>
      </c>
      <c r="P665" s="88" t="s">
        <v>60</v>
      </c>
      <c r="Q665" s="88" t="s">
        <v>48</v>
      </c>
      <c r="R665" s="86">
        <v>7904167762</v>
      </c>
      <c r="S665" s="88" t="s">
        <v>3749</v>
      </c>
      <c r="T665" s="129"/>
      <c r="U665" s="151"/>
      <c r="V665" s="151"/>
      <c r="W665" s="151"/>
      <c r="X665" s="151"/>
      <c r="Y665" s="147"/>
      <c r="Z665" s="147"/>
      <c r="AA665" s="147"/>
      <c r="AB665" s="141"/>
      <c r="AC665" s="141"/>
      <c r="AD665" s="14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63"/>
      <c r="AX665" s="163"/>
      <c r="AZ665" s="121" t="s">
        <v>49</v>
      </c>
      <c r="BA665" s="163"/>
      <c r="BB665" s="163"/>
      <c r="BC665" s="163"/>
      <c r="BF665" s="163">
        <f>COUNTA('All Details for ACID Pastor'!$T665:$AB665)</f>
        <v>0</v>
      </c>
    </row>
    <row r="666" spans="1:58" ht="70.150000000000006" customHeight="1">
      <c r="A666" s="107">
        <v>662</v>
      </c>
      <c r="B666" s="124" t="s">
        <v>3813</v>
      </c>
      <c r="C666" s="90" t="s">
        <v>3814</v>
      </c>
      <c r="D666" s="95" t="s">
        <v>53</v>
      </c>
      <c r="E666" s="95" t="s">
        <v>54</v>
      </c>
      <c r="F666" s="95"/>
      <c r="G666" s="95"/>
      <c r="H666" s="95"/>
      <c r="I666" s="95"/>
      <c r="J666" s="115" t="s">
        <v>3815</v>
      </c>
      <c r="K666" s="193" t="s">
        <v>3816</v>
      </c>
      <c r="L666" s="121" t="s">
        <v>4209</v>
      </c>
      <c r="M666" s="172" t="s">
        <v>3817</v>
      </c>
      <c r="N666" s="93" t="s">
        <v>3818</v>
      </c>
      <c r="O666" s="92" t="s">
        <v>2982</v>
      </c>
      <c r="P666" s="88" t="s">
        <v>73</v>
      </c>
      <c r="Q666" s="88" t="s">
        <v>48</v>
      </c>
      <c r="R666" s="86">
        <v>8760609090</v>
      </c>
      <c r="S666" s="88" t="s">
        <v>3749</v>
      </c>
      <c r="T666" s="129"/>
      <c r="U666" s="151"/>
      <c r="V666" s="151"/>
      <c r="W666" s="151"/>
      <c r="X666" s="151"/>
      <c r="Y666" s="147"/>
      <c r="Z666" s="147"/>
      <c r="AA666" s="147"/>
      <c r="AB666" s="141"/>
      <c r="AC666" s="141"/>
      <c r="AD666" s="14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  <c r="AQ666" s="121"/>
      <c r="AR666" s="121"/>
      <c r="AS666" s="121"/>
      <c r="AT666" s="121"/>
      <c r="AU666" s="121"/>
      <c r="AV666" s="121"/>
      <c r="AW666" s="163"/>
      <c r="AX666" s="163"/>
      <c r="AZ666" s="121" t="s">
        <v>49</v>
      </c>
      <c r="BA666" s="163"/>
      <c r="BB666" s="163"/>
      <c r="BC666" s="163"/>
      <c r="BF666" s="163">
        <f>COUNTA('All Details for ACID Pastor'!$T666:$AB666)</f>
        <v>0</v>
      </c>
    </row>
    <row r="667" spans="1:58" ht="70.150000000000006" customHeight="1">
      <c r="A667" s="107">
        <v>663</v>
      </c>
      <c r="B667" s="124" t="s">
        <v>3819</v>
      </c>
      <c r="C667" s="90" t="s">
        <v>3820</v>
      </c>
      <c r="D667" s="95" t="s">
        <v>53</v>
      </c>
      <c r="E667" s="95" t="s">
        <v>54</v>
      </c>
      <c r="F667" s="95"/>
      <c r="G667" s="95"/>
      <c r="H667" s="95"/>
      <c r="I667" s="95"/>
      <c r="J667" s="115" t="s">
        <v>3269</v>
      </c>
      <c r="K667" s="193" t="s">
        <v>3821</v>
      </c>
      <c r="L667" s="121" t="s">
        <v>4209</v>
      </c>
      <c r="M667" s="172" t="s">
        <v>3822</v>
      </c>
      <c r="N667" s="93" t="s">
        <v>3823</v>
      </c>
      <c r="O667" s="92" t="s">
        <v>3824</v>
      </c>
      <c r="P667" s="88" t="s">
        <v>3825</v>
      </c>
      <c r="Q667" s="88" t="s">
        <v>48</v>
      </c>
      <c r="R667" s="86">
        <v>9994582124</v>
      </c>
      <c r="S667" s="88" t="s">
        <v>3749</v>
      </c>
      <c r="T667" s="129"/>
      <c r="U667" s="151"/>
      <c r="V667" s="151"/>
      <c r="W667" s="151"/>
      <c r="X667" s="151"/>
      <c r="Y667" s="147"/>
      <c r="Z667" s="147"/>
      <c r="AA667" s="147"/>
      <c r="AB667" s="141"/>
      <c r="AC667" s="141" t="s">
        <v>4220</v>
      </c>
      <c r="AD667" s="14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  <c r="AQ667" s="121"/>
      <c r="AR667" s="121"/>
      <c r="AS667" s="121"/>
      <c r="AT667" s="121"/>
      <c r="AU667" s="121"/>
      <c r="AV667" s="121"/>
      <c r="AW667" s="163"/>
      <c r="AX667" s="163"/>
      <c r="AZ667" s="121" t="s">
        <v>49</v>
      </c>
      <c r="BA667" s="163"/>
      <c r="BB667" s="163"/>
      <c r="BC667" s="163">
        <v>1</v>
      </c>
      <c r="BF667" s="163">
        <v>1</v>
      </c>
    </row>
    <row r="668" spans="1:58" ht="78.75" customHeight="1">
      <c r="A668" s="107">
        <v>664</v>
      </c>
      <c r="B668" s="124" t="s">
        <v>3826</v>
      </c>
      <c r="C668" s="90" t="s">
        <v>3827</v>
      </c>
      <c r="D668" s="95" t="s">
        <v>53</v>
      </c>
      <c r="E668" s="95" t="s">
        <v>54</v>
      </c>
      <c r="F668" s="95"/>
      <c r="G668" s="95"/>
      <c r="H668" s="95"/>
      <c r="I668" s="95"/>
      <c r="J668" s="115" t="s">
        <v>3436</v>
      </c>
      <c r="K668" s="193" t="s">
        <v>3828</v>
      </c>
      <c r="L668" s="122" t="s">
        <v>4211</v>
      </c>
      <c r="M668" s="172" t="s">
        <v>3829</v>
      </c>
      <c r="N668" s="93" t="s">
        <v>3830</v>
      </c>
      <c r="O668" s="92" t="s">
        <v>217</v>
      </c>
      <c r="P668" s="88" t="s">
        <v>64</v>
      </c>
      <c r="Q668" s="88" t="s">
        <v>48</v>
      </c>
      <c r="R668" s="86">
        <v>9791050604</v>
      </c>
      <c r="S668" s="88" t="s">
        <v>3749</v>
      </c>
      <c r="T668" s="129"/>
      <c r="U668" s="151"/>
      <c r="V668" s="151"/>
      <c r="W668" s="151"/>
      <c r="X668" s="151"/>
      <c r="Y668" s="147"/>
      <c r="Z668" s="147"/>
      <c r="AA668" s="147"/>
      <c r="AB668" s="141"/>
      <c r="AC668" s="141"/>
      <c r="AD668" s="14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  <c r="AQ668" s="121"/>
      <c r="AR668" s="121"/>
      <c r="AS668" s="121"/>
      <c r="AT668" s="121"/>
      <c r="AU668" s="121"/>
      <c r="AV668" s="121"/>
      <c r="AW668" s="163"/>
      <c r="AX668" s="163"/>
      <c r="AZ668" s="121" t="s">
        <v>49</v>
      </c>
      <c r="BA668" s="163"/>
      <c r="BB668" s="163"/>
      <c r="BC668" s="163"/>
      <c r="BF668" s="163">
        <f>COUNTA('All Details for ACID Pastor'!$T668:$AB668)</f>
        <v>0</v>
      </c>
    </row>
    <row r="669" spans="1:58" ht="70.150000000000006" customHeight="1">
      <c r="A669" s="107">
        <v>665</v>
      </c>
      <c r="B669" s="124" t="s">
        <v>3831</v>
      </c>
      <c r="C669" s="90" t="s">
        <v>3832</v>
      </c>
      <c r="D669" s="95" t="s">
        <v>53</v>
      </c>
      <c r="E669" s="95" t="s">
        <v>54</v>
      </c>
      <c r="F669" s="95"/>
      <c r="G669" s="95"/>
      <c r="H669" s="95"/>
      <c r="I669" s="95"/>
      <c r="J669" s="115" t="s">
        <v>3833</v>
      </c>
      <c r="K669" s="193" t="s">
        <v>3834</v>
      </c>
      <c r="L669" s="122" t="s">
        <v>4211</v>
      </c>
      <c r="M669" s="172"/>
      <c r="N669" s="93" t="s">
        <v>3835</v>
      </c>
      <c r="O669" s="92" t="s">
        <v>3836</v>
      </c>
      <c r="P669" s="88" t="s">
        <v>166</v>
      </c>
      <c r="Q669" s="88" t="s">
        <v>48</v>
      </c>
      <c r="R669" s="86">
        <v>9003563243</v>
      </c>
      <c r="S669" s="88" t="s">
        <v>3749</v>
      </c>
      <c r="T669" s="129"/>
      <c r="U669" s="151"/>
      <c r="V669" s="151"/>
      <c r="W669" s="151"/>
      <c r="X669" s="151"/>
      <c r="Y669" s="147"/>
      <c r="Z669" s="147"/>
      <c r="AA669" s="147"/>
      <c r="AB669" s="141"/>
      <c r="AC669" s="141" t="s">
        <v>4220</v>
      </c>
      <c r="AD669" s="14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  <c r="AQ669" s="121"/>
      <c r="AR669" s="121"/>
      <c r="AS669" s="121"/>
      <c r="AT669" s="121"/>
      <c r="AU669" s="121"/>
      <c r="AV669" s="121"/>
      <c r="AW669" s="163"/>
      <c r="AX669" s="163"/>
      <c r="AZ669" s="121" t="s">
        <v>49</v>
      </c>
      <c r="BA669" s="163"/>
      <c r="BB669" s="163"/>
      <c r="BC669" s="163">
        <v>1</v>
      </c>
      <c r="BF669" s="163">
        <v>1</v>
      </c>
    </row>
    <row r="670" spans="1:58" ht="70.150000000000006" customHeight="1">
      <c r="A670" s="107">
        <v>666</v>
      </c>
      <c r="B670" s="124" t="s">
        <v>3837</v>
      </c>
      <c r="C670" s="90" t="s">
        <v>3838</v>
      </c>
      <c r="D670" s="95" t="s">
        <v>53</v>
      </c>
      <c r="E670" s="95" t="s">
        <v>54</v>
      </c>
      <c r="F670" s="95"/>
      <c r="G670" s="95"/>
      <c r="H670" s="95"/>
      <c r="I670" s="95"/>
      <c r="J670" s="115" t="s">
        <v>3833</v>
      </c>
      <c r="K670" s="193" t="s">
        <v>3839</v>
      </c>
      <c r="L670" s="121"/>
      <c r="M670" s="172"/>
      <c r="N670" s="93" t="s">
        <v>3840</v>
      </c>
      <c r="O670" s="92" t="s">
        <v>3836</v>
      </c>
      <c r="P670" s="88" t="s">
        <v>166</v>
      </c>
      <c r="Q670" s="88" t="s">
        <v>48</v>
      </c>
      <c r="R670" s="86">
        <v>7639447591</v>
      </c>
      <c r="S670" s="88" t="s">
        <v>3749</v>
      </c>
      <c r="T670" s="129"/>
      <c r="U670" s="151"/>
      <c r="V670" s="151"/>
      <c r="W670" s="151"/>
      <c r="X670" s="151"/>
      <c r="Y670" s="147"/>
      <c r="Z670" s="147"/>
      <c r="AA670" s="147"/>
      <c r="AB670" s="141"/>
      <c r="AC670" s="141" t="s">
        <v>4220</v>
      </c>
      <c r="AD670" s="14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  <c r="AQ670" s="121"/>
      <c r="AR670" s="121"/>
      <c r="AS670" s="121"/>
      <c r="AT670" s="121"/>
      <c r="AU670" s="121"/>
      <c r="AV670" s="121"/>
      <c r="AW670" s="163"/>
      <c r="AX670" s="163"/>
      <c r="AZ670" s="121" t="s">
        <v>49</v>
      </c>
      <c r="BA670" s="163"/>
      <c r="BB670" s="163"/>
      <c r="BC670" s="163">
        <v>1</v>
      </c>
      <c r="BF670" s="163">
        <v>1</v>
      </c>
    </row>
    <row r="671" spans="1:58" ht="70.150000000000006" customHeight="1">
      <c r="A671" s="107">
        <v>667</v>
      </c>
      <c r="B671" s="124" t="s">
        <v>3841</v>
      </c>
      <c r="C671" s="90" t="s">
        <v>3842</v>
      </c>
      <c r="D671" s="95" t="s">
        <v>53</v>
      </c>
      <c r="E671" s="95" t="s">
        <v>54</v>
      </c>
      <c r="F671" s="95"/>
      <c r="G671" s="95"/>
      <c r="H671" s="95"/>
      <c r="I671" s="95"/>
      <c r="J671" s="115" t="s">
        <v>3833</v>
      </c>
      <c r="K671" s="193" t="s">
        <v>3843</v>
      </c>
      <c r="L671" s="121"/>
      <c r="M671" s="172"/>
      <c r="N671" s="93" t="s">
        <v>3844</v>
      </c>
      <c r="O671" s="92" t="s">
        <v>3836</v>
      </c>
      <c r="P671" s="88" t="s">
        <v>166</v>
      </c>
      <c r="Q671" s="88" t="s">
        <v>48</v>
      </c>
      <c r="R671" s="86">
        <v>9486506967</v>
      </c>
      <c r="S671" s="88" t="s">
        <v>3749</v>
      </c>
      <c r="T671" s="129"/>
      <c r="U671" s="151"/>
      <c r="V671" s="151"/>
      <c r="W671" s="151"/>
      <c r="X671" s="151"/>
      <c r="Y671" s="147"/>
      <c r="Z671" s="147"/>
      <c r="AA671" s="147"/>
      <c r="AB671" s="141"/>
      <c r="AC671" s="141" t="s">
        <v>4220</v>
      </c>
      <c r="AD671" s="14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63"/>
      <c r="AX671" s="163"/>
      <c r="AZ671" s="121" t="s">
        <v>49</v>
      </c>
      <c r="BA671" s="163"/>
      <c r="BB671" s="163"/>
      <c r="BC671" s="163">
        <v>1</v>
      </c>
      <c r="BF671" s="163">
        <v>1</v>
      </c>
    </row>
    <row r="672" spans="1:58" ht="70.150000000000006" customHeight="1">
      <c r="A672" s="107">
        <v>668</v>
      </c>
      <c r="B672" s="124" t="s">
        <v>3845</v>
      </c>
      <c r="C672" s="90" t="s">
        <v>3846</v>
      </c>
      <c r="D672" s="95" t="s">
        <v>53</v>
      </c>
      <c r="E672" s="95" t="s">
        <v>54</v>
      </c>
      <c r="F672" s="95"/>
      <c r="G672" s="95"/>
      <c r="H672" s="95"/>
      <c r="I672" s="95"/>
      <c r="J672" s="115" t="s">
        <v>3833</v>
      </c>
      <c r="K672" s="193" t="s">
        <v>3847</v>
      </c>
      <c r="L672" s="122" t="s">
        <v>4211</v>
      </c>
      <c r="M672" s="172" t="s">
        <v>3848</v>
      </c>
      <c r="N672" s="93" t="s">
        <v>3849</v>
      </c>
      <c r="O672" s="92" t="s">
        <v>3836</v>
      </c>
      <c r="P672" s="88" t="s">
        <v>166</v>
      </c>
      <c r="Q672" s="88" t="s">
        <v>48</v>
      </c>
      <c r="R672" s="86">
        <v>7092163974</v>
      </c>
      <c r="S672" s="88" t="s">
        <v>3749</v>
      </c>
      <c r="T672" s="129"/>
      <c r="U672" s="151"/>
      <c r="V672" s="151"/>
      <c r="W672" s="151"/>
      <c r="X672" s="151"/>
      <c r="Y672" s="147"/>
      <c r="Z672" s="147"/>
      <c r="AA672" s="147"/>
      <c r="AB672" s="141"/>
      <c r="AC672" s="141"/>
      <c r="AD672" s="14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  <c r="AQ672" s="121"/>
      <c r="AR672" s="121"/>
      <c r="AS672" s="121"/>
      <c r="AT672" s="121"/>
      <c r="AU672" s="121"/>
      <c r="AV672" s="121"/>
      <c r="AW672" s="163"/>
      <c r="AX672" s="163"/>
      <c r="AZ672" s="121" t="s">
        <v>49</v>
      </c>
      <c r="BA672" s="163"/>
      <c r="BB672" s="163"/>
      <c r="BC672" s="163"/>
      <c r="BF672" s="163">
        <f>COUNTA('All Details for ACID Pastor'!$T672:$AB672)</f>
        <v>0</v>
      </c>
    </row>
    <row r="673" spans="1:16383" ht="70.150000000000006" customHeight="1">
      <c r="A673" s="152">
        <v>669</v>
      </c>
      <c r="B673" s="124" t="s">
        <v>3850</v>
      </c>
      <c r="C673" s="90" t="s">
        <v>3851</v>
      </c>
      <c r="D673" s="95" t="s">
        <v>53</v>
      </c>
      <c r="E673" s="95" t="s">
        <v>54</v>
      </c>
      <c r="F673" s="95"/>
      <c r="G673" s="95"/>
      <c r="H673" s="95"/>
      <c r="I673" s="95"/>
      <c r="J673" s="115" t="s">
        <v>3852</v>
      </c>
      <c r="K673" s="193" t="s">
        <v>3853</v>
      </c>
      <c r="L673" s="122" t="s">
        <v>4211</v>
      </c>
      <c r="M673" s="172" t="s">
        <v>3854</v>
      </c>
      <c r="N673" s="93" t="s">
        <v>3855</v>
      </c>
      <c r="O673" s="92" t="s">
        <v>3856</v>
      </c>
      <c r="P673" s="88" t="s">
        <v>1102</v>
      </c>
      <c r="Q673" s="88" t="s">
        <v>48</v>
      </c>
      <c r="R673" s="86">
        <v>9087848195</v>
      </c>
      <c r="S673" s="88" t="s">
        <v>3857</v>
      </c>
      <c r="T673" s="88"/>
      <c r="U673" s="119"/>
      <c r="V673" s="119"/>
      <c r="W673" s="119"/>
      <c r="X673" s="119"/>
      <c r="Y673" s="153"/>
      <c r="Z673" s="153"/>
      <c r="AA673" s="153"/>
      <c r="AB673" s="153"/>
      <c r="AC673" s="153"/>
      <c r="AD673" s="153"/>
      <c r="AF673" s="155"/>
      <c r="AG673" s="120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5"/>
      <c r="AW673" s="156"/>
      <c r="AX673" s="156"/>
      <c r="AZ673" s="155" t="s">
        <v>49</v>
      </c>
      <c r="BA673" s="156"/>
      <c r="BB673" s="156"/>
      <c r="BC673" s="156"/>
      <c r="BF673" s="156"/>
    </row>
    <row r="674" spans="1:16383" ht="70.150000000000006" customHeight="1">
      <c r="A674" s="152">
        <v>670</v>
      </c>
      <c r="B674" s="124" t="s">
        <v>3858</v>
      </c>
      <c r="C674" s="90" t="s">
        <v>3859</v>
      </c>
      <c r="D674" s="95" t="s">
        <v>53</v>
      </c>
      <c r="E674" s="95" t="s">
        <v>68</v>
      </c>
      <c r="F674" s="95"/>
      <c r="G674" s="95"/>
      <c r="H674" s="95"/>
      <c r="I674" s="95"/>
      <c r="J674" s="115" t="s">
        <v>3860</v>
      </c>
      <c r="K674" s="193" t="s">
        <v>3861</v>
      </c>
      <c r="L674" s="121" t="s">
        <v>4201</v>
      </c>
      <c r="M674" s="172"/>
      <c r="N674" s="93" t="s">
        <v>3862</v>
      </c>
      <c r="O674" s="92" t="s">
        <v>3863</v>
      </c>
      <c r="P674" s="88" t="s">
        <v>1102</v>
      </c>
      <c r="Q674" s="88" t="s">
        <v>48</v>
      </c>
      <c r="R674" s="86">
        <v>8248431775</v>
      </c>
      <c r="S674" s="88" t="s">
        <v>3857</v>
      </c>
      <c r="T674" s="88"/>
      <c r="U674" s="119"/>
      <c r="V674" s="119"/>
      <c r="W674" s="119"/>
      <c r="X674" s="119"/>
      <c r="Y674" s="153"/>
      <c r="Z674" s="153"/>
      <c r="AA674" s="153"/>
      <c r="AB674" s="153"/>
      <c r="AC674" s="153"/>
      <c r="AD674" s="153"/>
      <c r="AF674" s="155"/>
      <c r="AG674" s="120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5"/>
      <c r="AW674" s="156"/>
      <c r="AX674" s="156"/>
      <c r="AZ674" s="155" t="s">
        <v>49</v>
      </c>
      <c r="BA674" s="156"/>
      <c r="BB674" s="156"/>
      <c r="BC674" s="156"/>
      <c r="BF674" s="156"/>
    </row>
    <row r="675" spans="1:16383" ht="70.150000000000006" customHeight="1">
      <c r="A675" s="152">
        <v>671</v>
      </c>
      <c r="B675" s="124" t="s">
        <v>3864</v>
      </c>
      <c r="C675" s="90" t="s">
        <v>3865</v>
      </c>
      <c r="D675" s="95" t="s">
        <v>53</v>
      </c>
      <c r="E675" s="95" t="s">
        <v>160</v>
      </c>
      <c r="F675" s="95"/>
      <c r="G675" s="95"/>
      <c r="H675" s="95"/>
      <c r="I675" s="95"/>
      <c r="J675" s="115" t="s">
        <v>3860</v>
      </c>
      <c r="K675" s="193" t="s">
        <v>3866</v>
      </c>
      <c r="L675" s="121" t="s">
        <v>4201</v>
      </c>
      <c r="M675" s="172"/>
      <c r="N675" s="93" t="s">
        <v>3326</v>
      </c>
      <c r="O675" s="92" t="s">
        <v>3863</v>
      </c>
      <c r="P675" s="88" t="s">
        <v>1102</v>
      </c>
      <c r="Q675" s="88" t="s">
        <v>48</v>
      </c>
      <c r="R675" s="86">
        <v>8903242606</v>
      </c>
      <c r="S675" s="88" t="s">
        <v>3857</v>
      </c>
      <c r="T675" s="88"/>
      <c r="U675" s="119"/>
      <c r="V675" s="119"/>
      <c r="W675" s="119"/>
      <c r="X675" s="119"/>
      <c r="Y675" s="153"/>
      <c r="Z675" s="153"/>
      <c r="AA675" s="153"/>
      <c r="AB675" s="153"/>
      <c r="AC675" s="153"/>
      <c r="AD675" s="153"/>
      <c r="AF675" s="155"/>
      <c r="AG675" s="120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5"/>
      <c r="AW675" s="156"/>
      <c r="AX675" s="156"/>
      <c r="AZ675" s="155" t="s">
        <v>49</v>
      </c>
      <c r="BA675" s="156"/>
      <c r="BB675" s="156"/>
      <c r="BC675" s="156"/>
      <c r="BF675" s="156"/>
    </row>
    <row r="676" spans="1:16383" ht="70.150000000000006" customHeight="1">
      <c r="A676" s="152">
        <v>672</v>
      </c>
      <c r="B676" s="124" t="s">
        <v>3867</v>
      </c>
      <c r="C676" s="90" t="s">
        <v>3868</v>
      </c>
      <c r="D676" s="95" t="s">
        <v>53</v>
      </c>
      <c r="E676" s="95" t="s">
        <v>54</v>
      </c>
      <c r="F676" s="95"/>
      <c r="G676" s="95"/>
      <c r="H676" s="95"/>
      <c r="I676" s="95"/>
      <c r="J676" s="115" t="s">
        <v>3074</v>
      </c>
      <c r="K676" s="193" t="s">
        <v>3869</v>
      </c>
      <c r="L676" s="122" t="s">
        <v>4211</v>
      </c>
      <c r="M676" s="172"/>
      <c r="N676" s="93" t="s">
        <v>3870</v>
      </c>
      <c r="O676" s="92" t="s">
        <v>3871</v>
      </c>
      <c r="P676" s="88" t="s">
        <v>3230</v>
      </c>
      <c r="Q676" s="88" t="s">
        <v>48</v>
      </c>
      <c r="R676" s="86">
        <v>8220868806</v>
      </c>
      <c r="S676" s="88" t="s">
        <v>3857</v>
      </c>
      <c r="T676" s="88"/>
      <c r="U676" s="119"/>
      <c r="V676" s="119"/>
      <c r="W676" s="119"/>
      <c r="X676" s="119"/>
      <c r="Y676" s="153"/>
      <c r="Z676" s="153"/>
      <c r="AA676" s="153"/>
      <c r="AB676" s="153"/>
      <c r="AC676" s="153"/>
      <c r="AD676" s="153"/>
      <c r="AF676" s="155"/>
      <c r="AG676" s="120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5"/>
      <c r="AW676" s="156"/>
      <c r="AX676" s="156"/>
      <c r="AZ676" s="155" t="s">
        <v>49</v>
      </c>
      <c r="BA676" s="156"/>
      <c r="BB676" s="156"/>
      <c r="BC676" s="156"/>
      <c r="BF676" s="156"/>
    </row>
    <row r="677" spans="1:16383" ht="70.150000000000006" customHeight="1">
      <c r="A677" s="152">
        <v>673</v>
      </c>
      <c r="B677" s="124" t="s">
        <v>3872</v>
      </c>
      <c r="C677" s="90" t="s">
        <v>3873</v>
      </c>
      <c r="D677" s="95" t="s">
        <v>53</v>
      </c>
      <c r="E677" s="95" t="s">
        <v>54</v>
      </c>
      <c r="F677" s="95"/>
      <c r="G677" s="95"/>
      <c r="H677" s="95"/>
      <c r="I677" s="95"/>
      <c r="J677" s="115"/>
      <c r="K677" s="193" t="s">
        <v>3874</v>
      </c>
      <c r="L677" s="122" t="s">
        <v>4211</v>
      </c>
      <c r="M677" s="172" t="s">
        <v>3875</v>
      </c>
      <c r="N677" s="93" t="s">
        <v>3876</v>
      </c>
      <c r="O677" s="92" t="s">
        <v>3877</v>
      </c>
      <c r="P677" s="88" t="s">
        <v>3878</v>
      </c>
      <c r="Q677" s="88" t="s">
        <v>48</v>
      </c>
      <c r="R677" s="86">
        <v>8072865921</v>
      </c>
      <c r="S677" s="88" t="s">
        <v>3857</v>
      </c>
      <c r="T677" s="88"/>
      <c r="U677" s="119"/>
      <c r="V677" s="119"/>
      <c r="W677" s="119"/>
      <c r="X677" s="119"/>
      <c r="Y677" s="153"/>
      <c r="Z677" s="153"/>
      <c r="AA677" s="153"/>
      <c r="AB677" s="153"/>
      <c r="AC677" s="153"/>
      <c r="AD677" s="153"/>
      <c r="AF677" s="155"/>
      <c r="AG677" s="120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5"/>
      <c r="AW677" s="156"/>
      <c r="AX677" s="156"/>
      <c r="AZ677" s="155" t="s">
        <v>49</v>
      </c>
      <c r="BA677" s="156"/>
      <c r="BB677" s="156"/>
      <c r="BC677" s="156"/>
      <c r="BF677" s="156"/>
    </row>
    <row r="678" spans="1:16383" ht="70.150000000000006" customHeight="1">
      <c r="A678" s="152">
        <v>674</v>
      </c>
      <c r="B678" s="124" t="s">
        <v>3879</v>
      </c>
      <c r="C678" s="90" t="s">
        <v>3880</v>
      </c>
      <c r="D678" s="95" t="s">
        <v>53</v>
      </c>
      <c r="E678" s="95" t="s">
        <v>3881</v>
      </c>
      <c r="F678" s="95"/>
      <c r="G678" s="95"/>
      <c r="H678" s="95"/>
      <c r="I678" s="95"/>
      <c r="J678" s="115"/>
      <c r="K678" s="193" t="s">
        <v>3882</v>
      </c>
      <c r="L678" s="122" t="s">
        <v>4211</v>
      </c>
      <c r="M678" s="172" t="s">
        <v>3883</v>
      </c>
      <c r="N678" s="93" t="s">
        <v>3884</v>
      </c>
      <c r="O678" s="92" t="s">
        <v>3885</v>
      </c>
      <c r="P678" s="88" t="s">
        <v>3511</v>
      </c>
      <c r="Q678" s="88" t="s">
        <v>48</v>
      </c>
      <c r="R678" s="86">
        <v>9500466249</v>
      </c>
      <c r="S678" s="88" t="s">
        <v>3857</v>
      </c>
      <c r="T678" s="88"/>
      <c r="U678" s="119"/>
      <c r="V678" s="119"/>
      <c r="W678" s="119"/>
      <c r="X678" s="119"/>
      <c r="Y678" s="153"/>
      <c r="Z678" s="153"/>
      <c r="AA678" s="153"/>
      <c r="AB678" s="153"/>
      <c r="AC678" s="153"/>
      <c r="AD678" s="153"/>
      <c r="AF678" s="155"/>
      <c r="AG678" s="120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5"/>
      <c r="AW678" s="156"/>
      <c r="AX678" s="156"/>
      <c r="AZ678" s="155" t="s">
        <v>49</v>
      </c>
      <c r="BA678" s="156"/>
      <c r="BB678" s="156"/>
      <c r="BC678" s="156"/>
      <c r="BF678" s="156"/>
    </row>
    <row r="679" spans="1:16383" ht="70.150000000000006" customHeight="1">
      <c r="A679" s="152">
        <v>675</v>
      </c>
      <c r="B679" s="124" t="s">
        <v>3886</v>
      </c>
      <c r="C679" s="90" t="s">
        <v>3887</v>
      </c>
      <c r="D679" s="95" t="s">
        <v>53</v>
      </c>
      <c r="E679" s="95" t="s">
        <v>54</v>
      </c>
      <c r="F679" s="95"/>
      <c r="G679" s="95"/>
      <c r="H679" s="95"/>
      <c r="I679" s="95"/>
      <c r="J679" s="115"/>
      <c r="K679" s="193" t="s">
        <v>3888</v>
      </c>
      <c r="L679" s="122" t="s">
        <v>4211</v>
      </c>
      <c r="M679" s="172" t="s">
        <v>3889</v>
      </c>
      <c r="N679" s="93" t="s">
        <v>3890</v>
      </c>
      <c r="O679" s="92" t="s">
        <v>3891</v>
      </c>
      <c r="P679" s="88" t="s">
        <v>3511</v>
      </c>
      <c r="Q679" s="88" t="s">
        <v>48</v>
      </c>
      <c r="R679" s="86">
        <v>7092660350</v>
      </c>
      <c r="S679" s="88" t="s">
        <v>3857</v>
      </c>
      <c r="T679" s="88"/>
      <c r="U679" s="119"/>
      <c r="V679" s="119"/>
      <c r="W679" s="119"/>
      <c r="X679" s="119"/>
      <c r="Y679" s="153"/>
      <c r="Z679" s="153"/>
      <c r="AA679" s="153"/>
      <c r="AB679" s="153"/>
      <c r="AC679" s="153"/>
      <c r="AD679" s="153"/>
      <c r="AF679" s="155"/>
      <c r="AG679" s="120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5"/>
      <c r="AW679" s="156"/>
      <c r="AX679" s="156"/>
      <c r="AZ679" s="155" t="s">
        <v>49</v>
      </c>
      <c r="BA679" s="156"/>
      <c r="BB679" s="156"/>
      <c r="BC679" s="156"/>
      <c r="BF679" s="156"/>
    </row>
    <row r="680" spans="1:16383" ht="70.150000000000006" customHeight="1">
      <c r="A680" s="152">
        <v>676</v>
      </c>
      <c r="B680" s="124" t="s">
        <v>3892</v>
      </c>
      <c r="C680" s="90" t="s">
        <v>3893</v>
      </c>
      <c r="D680" s="95" t="s">
        <v>53</v>
      </c>
      <c r="E680" s="95" t="s">
        <v>54</v>
      </c>
      <c r="F680" s="95"/>
      <c r="G680" s="95"/>
      <c r="H680" s="95"/>
      <c r="I680" s="95"/>
      <c r="J680" s="115"/>
      <c r="K680" s="193" t="s">
        <v>3894</v>
      </c>
      <c r="L680" s="122" t="s">
        <v>4211</v>
      </c>
      <c r="M680" s="172" t="s">
        <v>3895</v>
      </c>
      <c r="N680" s="93" t="s">
        <v>3896</v>
      </c>
      <c r="O680" s="92" t="s">
        <v>3897</v>
      </c>
      <c r="P680" s="88" t="s">
        <v>3511</v>
      </c>
      <c r="Q680" s="88" t="s">
        <v>48</v>
      </c>
      <c r="R680" s="86">
        <v>9344363535</v>
      </c>
      <c r="S680" s="88" t="s">
        <v>3857</v>
      </c>
      <c r="T680" s="88"/>
      <c r="U680" s="119"/>
      <c r="V680" s="119"/>
      <c r="W680" s="119"/>
      <c r="X680" s="119"/>
      <c r="Y680" s="153"/>
      <c r="Z680" s="153"/>
      <c r="AA680" s="153"/>
      <c r="AB680" s="153"/>
      <c r="AC680" s="153"/>
      <c r="AD680" s="153"/>
      <c r="AF680" s="155"/>
      <c r="AG680" s="120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5"/>
      <c r="AW680" s="156"/>
      <c r="AX680" s="156"/>
      <c r="AZ680" s="155" t="s">
        <v>49</v>
      </c>
      <c r="BA680" s="156"/>
      <c r="BB680" s="156"/>
      <c r="BC680" s="156"/>
      <c r="BF680" s="156"/>
    </row>
    <row r="681" spans="1:16383" ht="78.75" customHeight="1">
      <c r="A681" s="152">
        <v>677</v>
      </c>
      <c r="B681" s="124" t="s">
        <v>3898</v>
      </c>
      <c r="C681" s="90" t="s">
        <v>3899</v>
      </c>
      <c r="D681" s="95" t="s">
        <v>53</v>
      </c>
      <c r="E681" s="95" t="s">
        <v>54</v>
      </c>
      <c r="F681" s="95"/>
      <c r="G681" s="95"/>
      <c r="H681" s="95"/>
      <c r="I681" s="95"/>
      <c r="J681" s="115" t="s">
        <v>3244</v>
      </c>
      <c r="K681" s="193" t="s">
        <v>3900</v>
      </c>
      <c r="L681" s="122" t="s">
        <v>4211</v>
      </c>
      <c r="M681" s="264"/>
      <c r="N681" s="93" t="s">
        <v>3901</v>
      </c>
      <c r="O681" s="107" t="s">
        <v>3902</v>
      </c>
      <c r="P681" s="88" t="s">
        <v>2147</v>
      </c>
      <c r="Q681" s="88" t="s">
        <v>48</v>
      </c>
      <c r="R681" s="86">
        <v>8939581644</v>
      </c>
      <c r="S681" s="88" t="s">
        <v>3857</v>
      </c>
      <c r="T681" s="88"/>
      <c r="U681" s="119"/>
      <c r="V681" s="119"/>
      <c r="W681" s="119"/>
      <c r="X681" s="119"/>
      <c r="Y681" s="153"/>
      <c r="Z681" s="153"/>
      <c r="AA681" s="153"/>
      <c r="AB681" s="153"/>
      <c r="AC681" s="153"/>
      <c r="AD681" s="153" t="s">
        <v>4222</v>
      </c>
      <c r="AF681" s="155"/>
      <c r="AG681" s="120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5"/>
      <c r="AW681" s="156"/>
      <c r="AX681" s="156"/>
      <c r="AZ681" s="155" t="s">
        <v>49</v>
      </c>
      <c r="BA681" s="156"/>
      <c r="BB681" s="156"/>
      <c r="BC681" s="156"/>
      <c r="BE681" s="283">
        <v>1</v>
      </c>
      <c r="BF681" s="156">
        <v>1</v>
      </c>
    </row>
    <row r="682" spans="1:16383" ht="70.150000000000006" customHeight="1">
      <c r="A682" s="152">
        <v>678</v>
      </c>
      <c r="B682" s="124" t="s">
        <v>3903</v>
      </c>
      <c r="C682" s="90" t="s">
        <v>3904</v>
      </c>
      <c r="D682" s="95" t="s">
        <v>53</v>
      </c>
      <c r="E682" s="95" t="s">
        <v>68</v>
      </c>
      <c r="F682" s="95"/>
      <c r="G682" s="95"/>
      <c r="H682" s="95"/>
      <c r="I682" s="95"/>
      <c r="J682" s="115" t="s">
        <v>3860</v>
      </c>
      <c r="K682" s="193" t="s">
        <v>3905</v>
      </c>
      <c r="L682" s="122" t="s">
        <v>4211</v>
      </c>
      <c r="M682" s="172"/>
      <c r="N682" s="93" t="s">
        <v>3906</v>
      </c>
      <c r="O682" s="92" t="s">
        <v>2603</v>
      </c>
      <c r="P682" s="88" t="s">
        <v>1102</v>
      </c>
      <c r="Q682" s="88" t="s">
        <v>48</v>
      </c>
      <c r="R682" s="86">
        <v>9361432394</v>
      </c>
      <c r="S682" s="88" t="s">
        <v>3857</v>
      </c>
      <c r="T682" s="88"/>
      <c r="U682" s="119"/>
      <c r="V682" s="119"/>
      <c r="W682" s="119"/>
      <c r="X682" s="119"/>
      <c r="Y682" s="153"/>
      <c r="Z682" s="153"/>
      <c r="AA682" s="153"/>
      <c r="AB682" s="153"/>
      <c r="AC682" s="153"/>
      <c r="AD682" s="153" t="s">
        <v>4222</v>
      </c>
      <c r="AF682" s="155"/>
      <c r="AG682" s="120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5"/>
      <c r="AW682" s="156"/>
      <c r="AX682" s="156"/>
      <c r="AZ682" s="155" t="s">
        <v>49</v>
      </c>
      <c r="BA682" s="156"/>
      <c r="BB682" s="156"/>
      <c r="BC682" s="156"/>
      <c r="BE682" s="283">
        <v>1</v>
      </c>
      <c r="BF682" s="156">
        <v>2</v>
      </c>
    </row>
    <row r="683" spans="1:16383" ht="70.150000000000006" customHeight="1">
      <c r="A683" s="152">
        <v>679</v>
      </c>
      <c r="B683" s="124" t="s">
        <v>3907</v>
      </c>
      <c r="C683" s="90" t="s">
        <v>3908</v>
      </c>
      <c r="D683" s="95" t="s">
        <v>53</v>
      </c>
      <c r="E683" s="95" t="s">
        <v>160</v>
      </c>
      <c r="F683" s="95"/>
      <c r="G683" s="95"/>
      <c r="H683" s="95"/>
      <c r="I683" s="95"/>
      <c r="J683" s="115" t="s">
        <v>3074</v>
      </c>
      <c r="K683" s="193" t="s">
        <v>1634</v>
      </c>
      <c r="L683" s="121"/>
      <c r="M683" s="172"/>
      <c r="N683" s="93" t="s">
        <v>3909</v>
      </c>
      <c r="O683" s="92" t="s">
        <v>3910</v>
      </c>
      <c r="P683" s="88" t="s">
        <v>3230</v>
      </c>
      <c r="Q683" s="88" t="s">
        <v>48</v>
      </c>
      <c r="R683" s="86">
        <v>9361774356</v>
      </c>
      <c r="S683" s="88" t="s">
        <v>3857</v>
      </c>
      <c r="T683" s="88"/>
      <c r="U683" s="119"/>
      <c r="V683" s="119"/>
      <c r="W683" s="119"/>
      <c r="X683" s="119"/>
      <c r="Y683" s="153"/>
      <c r="Z683" s="153"/>
      <c r="AA683" s="153"/>
      <c r="AB683" s="153"/>
      <c r="AC683" s="153"/>
      <c r="AD683" s="153"/>
      <c r="AF683" s="155"/>
      <c r="AG683" s="120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5"/>
      <c r="AW683" s="156"/>
      <c r="AX683" s="156"/>
      <c r="AZ683" s="155" t="s">
        <v>49</v>
      </c>
      <c r="BA683" s="156"/>
      <c r="BB683" s="156"/>
      <c r="BC683" s="156"/>
      <c r="BF683" s="156"/>
    </row>
    <row r="684" spans="1:16383" s="209" customFormat="1" ht="70.150000000000006" customHeight="1">
      <c r="A684" s="154">
        <v>680</v>
      </c>
      <c r="B684" s="155" t="s">
        <v>3911</v>
      </c>
      <c r="C684" s="85" t="s">
        <v>3912</v>
      </c>
      <c r="D684" s="108" t="s">
        <v>53</v>
      </c>
      <c r="E684" s="108" t="s">
        <v>68</v>
      </c>
      <c r="F684" s="108"/>
      <c r="G684" s="108"/>
      <c r="H684" s="108"/>
      <c r="I684" s="108"/>
      <c r="J684" s="138" t="s">
        <v>3852</v>
      </c>
      <c r="K684" s="194" t="s">
        <v>3913</v>
      </c>
      <c r="L684" s="122" t="s">
        <v>4211</v>
      </c>
      <c r="M684" s="194" t="s">
        <v>3914</v>
      </c>
      <c r="N684" s="122" t="s">
        <v>3915</v>
      </c>
      <c r="O684" s="121" t="s">
        <v>3916</v>
      </c>
      <c r="P684" s="120" t="s">
        <v>3917</v>
      </c>
      <c r="Q684" s="120" t="s">
        <v>2378</v>
      </c>
      <c r="R684" s="155">
        <v>7010679257</v>
      </c>
      <c r="S684" s="120" t="s">
        <v>3857</v>
      </c>
      <c r="T684" s="108"/>
      <c r="U684" s="119"/>
      <c r="V684" s="119"/>
      <c r="W684" s="119"/>
      <c r="X684" s="119"/>
      <c r="Y684" s="153"/>
      <c r="Z684" s="153"/>
      <c r="AA684" s="153"/>
      <c r="AB684" s="153"/>
      <c r="AC684" s="153"/>
      <c r="AD684" s="153"/>
      <c r="AE684" s="240"/>
      <c r="AF684" s="155"/>
      <c r="AG684" s="120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5"/>
      <c r="AW684" s="156"/>
      <c r="AX684" s="156"/>
      <c r="AY684" s="240"/>
      <c r="AZ684" s="155" t="s">
        <v>49</v>
      </c>
      <c r="BA684" s="156"/>
      <c r="BB684" s="156"/>
      <c r="BC684" s="156"/>
      <c r="BD684" s="240"/>
      <c r="BF684" s="156"/>
      <c r="BG684" s="240"/>
      <c r="BH684" s="240"/>
      <c r="BI684" s="240"/>
      <c r="BJ684" s="240"/>
      <c r="BK684" s="240"/>
      <c r="BL684" s="240"/>
      <c r="BM684" s="240"/>
      <c r="BN684" s="240"/>
      <c r="BO684" s="240"/>
      <c r="BP684" s="240"/>
      <c r="BQ684" s="240"/>
      <c r="BR684" s="240"/>
      <c r="BS684" s="240"/>
      <c r="BT684" s="240"/>
      <c r="BU684" s="240"/>
      <c r="BV684" s="240"/>
    </row>
    <row r="685" spans="1:16383" ht="70.150000000000006" customHeight="1">
      <c r="A685" s="202">
        <v>681</v>
      </c>
      <c r="B685" s="203" t="s">
        <v>3918</v>
      </c>
      <c r="C685" s="204" t="s">
        <v>3919</v>
      </c>
      <c r="D685" s="120" t="s">
        <v>53</v>
      </c>
      <c r="E685" s="120" t="s">
        <v>54</v>
      </c>
      <c r="F685" s="120"/>
      <c r="G685" s="120"/>
      <c r="H685" s="120"/>
      <c r="I685" s="120"/>
      <c r="J685" s="155"/>
      <c r="K685" s="228" t="s">
        <v>3217</v>
      </c>
      <c r="L685" s="122" t="s">
        <v>4211</v>
      </c>
      <c r="M685" s="265" t="s">
        <v>3920</v>
      </c>
      <c r="N685" s="205" t="s">
        <v>3921</v>
      </c>
      <c r="O685" s="206" t="s">
        <v>3922</v>
      </c>
      <c r="P685" s="207" t="s">
        <v>2597</v>
      </c>
      <c r="Q685" s="207" t="s">
        <v>517</v>
      </c>
      <c r="R685" s="203">
        <v>9446708626</v>
      </c>
      <c r="S685" s="207" t="s">
        <v>3857</v>
      </c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226"/>
      <c r="AF685" s="155"/>
      <c r="AG685" s="120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5"/>
      <c r="AW685" s="156"/>
      <c r="AX685" s="156"/>
      <c r="AZ685" s="155" t="s">
        <v>49</v>
      </c>
      <c r="BA685" s="156"/>
      <c r="BB685" s="156"/>
      <c r="BC685" s="156"/>
      <c r="BF685" s="156"/>
      <c r="BG685" s="230"/>
      <c r="BH685" s="230"/>
      <c r="BI685" s="230"/>
      <c r="BJ685" s="230"/>
      <c r="BK685" s="230"/>
      <c r="BL685" s="230"/>
      <c r="BM685" s="230"/>
      <c r="BN685" s="230"/>
      <c r="BO685" s="230"/>
      <c r="BP685" s="230"/>
      <c r="BQ685" s="230"/>
      <c r="BR685" s="230"/>
      <c r="BS685" s="230"/>
      <c r="BT685" s="230"/>
      <c r="BU685" s="230"/>
      <c r="BV685" s="230"/>
      <c r="BW685" s="201"/>
      <c r="BX685" s="201"/>
      <c r="BY685" s="201"/>
      <c r="BZ685" s="201"/>
      <c r="CA685" s="201"/>
      <c r="CB685" s="201"/>
      <c r="CC685" s="201"/>
      <c r="CD685" s="201"/>
      <c r="CE685" s="201"/>
      <c r="CF685" s="201"/>
      <c r="CG685" s="201"/>
      <c r="CH685" s="201"/>
      <c r="CI685" s="201"/>
      <c r="CJ685" s="201"/>
      <c r="CK685" s="201"/>
      <c r="CL685" s="201"/>
      <c r="CM685" s="201"/>
      <c r="CN685" s="201"/>
      <c r="CO685" s="201"/>
      <c r="CP685" s="201"/>
      <c r="CQ685" s="201"/>
      <c r="CR685" s="201"/>
      <c r="CS685" s="201"/>
      <c r="CT685" s="201"/>
      <c r="CU685" s="201"/>
      <c r="CV685" s="201"/>
      <c r="CW685" s="201"/>
      <c r="CX685" s="201"/>
      <c r="CY685" s="201"/>
      <c r="CZ685" s="201"/>
      <c r="DA685" s="201"/>
      <c r="DB685" s="201"/>
      <c r="DC685" s="201"/>
      <c r="DD685" s="201"/>
      <c r="DE685" s="201"/>
      <c r="DF685" s="201"/>
      <c r="DG685" s="201"/>
      <c r="DH685" s="201"/>
      <c r="DI685" s="201"/>
      <c r="DJ685" s="201"/>
      <c r="DK685" s="201"/>
      <c r="DL685" s="201"/>
      <c r="DM685" s="201"/>
      <c r="DN685" s="201"/>
      <c r="DO685" s="201"/>
      <c r="DP685" s="201"/>
      <c r="DQ685" s="201"/>
      <c r="DR685" s="201"/>
      <c r="DS685" s="201"/>
      <c r="DT685" s="201"/>
      <c r="DU685" s="201"/>
      <c r="DV685" s="201"/>
      <c r="DW685" s="201"/>
      <c r="DX685" s="201"/>
      <c r="DY685" s="201"/>
      <c r="DZ685" s="201"/>
      <c r="EA685" s="201"/>
      <c r="EB685" s="201"/>
      <c r="EC685" s="201"/>
      <c r="ED685" s="201"/>
      <c r="EE685" s="201"/>
      <c r="EF685" s="201"/>
      <c r="EG685" s="201"/>
      <c r="EH685" s="201"/>
      <c r="EI685" s="201"/>
      <c r="EJ685" s="201"/>
      <c r="EK685" s="201"/>
      <c r="EL685" s="201"/>
      <c r="EM685" s="201"/>
      <c r="EN685" s="201"/>
      <c r="EO685" s="201"/>
      <c r="EP685" s="201"/>
      <c r="EQ685" s="201"/>
      <c r="ER685" s="201"/>
      <c r="ES685" s="201"/>
      <c r="ET685" s="201"/>
      <c r="EU685" s="201"/>
      <c r="EV685" s="201"/>
      <c r="EW685" s="201"/>
      <c r="EX685" s="201"/>
      <c r="EY685" s="201"/>
      <c r="EZ685" s="201"/>
      <c r="FA685" s="201"/>
      <c r="FB685" s="201"/>
      <c r="FC685" s="201"/>
      <c r="FD685" s="201"/>
      <c r="FE685" s="201"/>
      <c r="FF685" s="201"/>
      <c r="FG685" s="201"/>
      <c r="FH685" s="201"/>
      <c r="FI685" s="201"/>
      <c r="FJ685" s="201"/>
      <c r="FK685" s="201"/>
      <c r="FL685" s="201"/>
      <c r="FM685" s="201"/>
      <c r="FN685" s="201"/>
      <c r="FO685" s="201"/>
      <c r="FP685" s="201"/>
      <c r="FQ685" s="201"/>
      <c r="FR685" s="201"/>
      <c r="FS685" s="201"/>
      <c r="FT685" s="201"/>
      <c r="FU685" s="201"/>
      <c r="FV685" s="201"/>
      <c r="FW685" s="201"/>
      <c r="FX685" s="201"/>
      <c r="FY685" s="201"/>
      <c r="FZ685" s="201"/>
      <c r="GA685" s="201"/>
      <c r="GB685" s="201"/>
      <c r="GC685" s="201"/>
      <c r="GD685" s="201"/>
      <c r="GE685" s="201"/>
      <c r="GF685" s="201"/>
      <c r="GG685" s="201"/>
      <c r="GH685" s="201"/>
      <c r="GI685" s="201"/>
      <c r="GJ685" s="201"/>
      <c r="GK685" s="201"/>
      <c r="GL685" s="201"/>
      <c r="GM685" s="201"/>
      <c r="GN685" s="201"/>
      <c r="GO685" s="201"/>
      <c r="GP685" s="201"/>
      <c r="GQ685" s="201"/>
      <c r="GR685" s="201"/>
      <c r="GS685" s="201"/>
      <c r="GT685" s="201"/>
      <c r="GU685" s="201"/>
      <c r="GV685" s="201"/>
      <c r="GW685" s="201"/>
      <c r="GX685" s="201"/>
      <c r="GY685" s="201"/>
      <c r="GZ685" s="201"/>
      <c r="HA685" s="201"/>
      <c r="HB685" s="201"/>
      <c r="HC685" s="201"/>
      <c r="HD685" s="201"/>
      <c r="HE685" s="201"/>
      <c r="HF685" s="201"/>
      <c r="HG685" s="201"/>
      <c r="HH685" s="201"/>
      <c r="HI685" s="201"/>
      <c r="HJ685" s="201"/>
      <c r="HK685" s="201"/>
      <c r="HL685" s="201"/>
      <c r="HM685" s="201"/>
      <c r="HN685" s="201"/>
      <c r="HO685" s="201"/>
      <c r="HP685" s="201"/>
      <c r="HQ685" s="201"/>
      <c r="HR685" s="201"/>
      <c r="HS685" s="201"/>
      <c r="HT685" s="201"/>
      <c r="HU685" s="201"/>
      <c r="HV685" s="201"/>
      <c r="HW685" s="201"/>
      <c r="HX685" s="201"/>
      <c r="HY685" s="201"/>
      <c r="HZ685" s="201"/>
      <c r="IA685" s="201"/>
      <c r="IB685" s="201"/>
      <c r="IC685" s="201"/>
      <c r="ID685" s="201"/>
      <c r="IE685" s="201"/>
      <c r="IF685" s="201"/>
      <c r="IG685" s="201"/>
      <c r="IH685" s="201"/>
      <c r="II685" s="201"/>
      <c r="IJ685" s="201"/>
      <c r="IK685" s="201"/>
      <c r="IL685" s="201"/>
      <c r="IM685" s="201"/>
      <c r="IN685" s="201"/>
      <c r="IO685" s="201"/>
      <c r="IP685" s="201"/>
      <c r="IQ685" s="201"/>
      <c r="IR685" s="201"/>
      <c r="IS685" s="201"/>
      <c r="IT685" s="201"/>
      <c r="IU685" s="201"/>
      <c r="IV685" s="201"/>
      <c r="IW685" s="201"/>
      <c r="IX685" s="201"/>
      <c r="IY685" s="201"/>
      <c r="IZ685" s="201"/>
      <c r="JA685" s="201"/>
      <c r="JB685" s="201"/>
      <c r="JC685" s="201"/>
      <c r="JD685" s="201"/>
      <c r="JE685" s="201"/>
      <c r="JF685" s="201"/>
      <c r="JG685" s="201"/>
      <c r="JH685" s="201"/>
      <c r="JI685" s="201"/>
      <c r="JJ685" s="201"/>
      <c r="JK685" s="201"/>
      <c r="JL685" s="201"/>
      <c r="JM685" s="201"/>
      <c r="JN685" s="201"/>
      <c r="JO685" s="201"/>
      <c r="JP685" s="201"/>
      <c r="JQ685" s="201"/>
      <c r="JR685" s="201"/>
      <c r="JS685" s="201"/>
      <c r="JT685" s="201"/>
      <c r="JU685" s="201"/>
      <c r="JV685" s="201"/>
      <c r="JW685" s="201"/>
      <c r="JX685" s="201"/>
      <c r="JY685" s="201"/>
      <c r="JZ685" s="201"/>
      <c r="KA685" s="201"/>
      <c r="KB685" s="201"/>
      <c r="KC685" s="201"/>
      <c r="KD685" s="201"/>
      <c r="KE685" s="201"/>
      <c r="KF685" s="201"/>
      <c r="KG685" s="201"/>
      <c r="KH685" s="201"/>
      <c r="KI685" s="201"/>
      <c r="KJ685" s="201"/>
      <c r="KK685" s="201"/>
      <c r="KL685" s="201"/>
      <c r="KM685" s="201"/>
      <c r="KN685" s="201"/>
      <c r="KO685" s="201"/>
      <c r="KP685" s="201"/>
      <c r="KQ685" s="201"/>
      <c r="KR685" s="201"/>
      <c r="KS685" s="201"/>
      <c r="KT685" s="201"/>
      <c r="KU685" s="201"/>
      <c r="KV685" s="201"/>
      <c r="KW685" s="201"/>
      <c r="KX685" s="201"/>
      <c r="KY685" s="201"/>
      <c r="KZ685" s="201"/>
      <c r="LA685" s="201"/>
      <c r="LB685" s="201"/>
      <c r="LC685" s="201"/>
      <c r="LD685" s="201"/>
      <c r="LE685" s="201"/>
      <c r="LF685" s="201"/>
      <c r="LG685" s="201"/>
      <c r="LH685" s="201"/>
      <c r="LI685" s="201"/>
      <c r="LJ685" s="201"/>
      <c r="LK685" s="201"/>
      <c r="LL685" s="201"/>
      <c r="LM685" s="201"/>
      <c r="LN685" s="201"/>
      <c r="LO685" s="201"/>
      <c r="LP685" s="201"/>
      <c r="LQ685" s="201"/>
      <c r="LR685" s="201"/>
      <c r="LS685" s="201"/>
      <c r="LT685" s="201"/>
      <c r="LU685" s="201"/>
      <c r="LV685" s="201"/>
      <c r="LW685" s="201"/>
      <c r="LX685" s="201"/>
      <c r="LY685" s="201"/>
      <c r="LZ685" s="201"/>
      <c r="MA685" s="201"/>
      <c r="MB685" s="201"/>
      <c r="MC685" s="201"/>
      <c r="MD685" s="201"/>
      <c r="ME685" s="201"/>
      <c r="MF685" s="201"/>
      <c r="MG685" s="201"/>
      <c r="MH685" s="201"/>
      <c r="MI685" s="201"/>
      <c r="MJ685" s="201"/>
      <c r="MK685" s="201"/>
      <c r="ML685" s="201"/>
      <c r="MM685" s="201"/>
      <c r="MN685" s="201"/>
      <c r="MO685" s="201"/>
      <c r="MP685" s="201"/>
      <c r="MQ685" s="201"/>
      <c r="MR685" s="201"/>
      <c r="MS685" s="201"/>
      <c r="MT685" s="201"/>
      <c r="MU685" s="201"/>
      <c r="MV685" s="201"/>
      <c r="MW685" s="201"/>
      <c r="MX685" s="201"/>
      <c r="MY685" s="201"/>
      <c r="MZ685" s="201"/>
      <c r="NA685" s="201"/>
      <c r="NB685" s="201"/>
      <c r="NC685" s="201"/>
      <c r="ND685" s="201"/>
      <c r="NE685" s="201"/>
      <c r="NF685" s="201"/>
      <c r="NG685" s="201"/>
      <c r="NH685" s="201"/>
      <c r="NI685" s="201"/>
      <c r="NJ685" s="201"/>
      <c r="NK685" s="201"/>
      <c r="NL685" s="201"/>
      <c r="NM685" s="201"/>
      <c r="NN685" s="201"/>
      <c r="NO685" s="201"/>
      <c r="NP685" s="201"/>
      <c r="NQ685" s="201"/>
      <c r="NR685" s="201"/>
      <c r="NS685" s="201"/>
      <c r="NT685" s="201"/>
      <c r="NU685" s="201"/>
      <c r="NV685" s="201"/>
      <c r="NW685" s="201"/>
      <c r="NX685" s="201"/>
      <c r="NY685" s="201"/>
      <c r="NZ685" s="201"/>
      <c r="OA685" s="201"/>
      <c r="OB685" s="201"/>
      <c r="OC685" s="201"/>
      <c r="OD685" s="201"/>
      <c r="OE685" s="201"/>
      <c r="OF685" s="201"/>
      <c r="OG685" s="201"/>
      <c r="OH685" s="201"/>
      <c r="OI685" s="201"/>
      <c r="OJ685" s="201"/>
      <c r="OK685" s="201"/>
      <c r="OL685" s="201"/>
      <c r="OM685" s="201"/>
      <c r="ON685" s="201"/>
      <c r="OO685" s="201"/>
      <c r="OP685" s="201"/>
      <c r="OQ685" s="201"/>
      <c r="OR685" s="201"/>
      <c r="OS685" s="201"/>
      <c r="OT685" s="201"/>
      <c r="OU685" s="201"/>
      <c r="OV685" s="201"/>
      <c r="OW685" s="201"/>
      <c r="OX685" s="201"/>
      <c r="OY685" s="201"/>
      <c r="OZ685" s="201"/>
      <c r="PA685" s="201"/>
      <c r="PB685" s="201"/>
      <c r="PC685" s="201"/>
      <c r="PD685" s="201"/>
      <c r="PE685" s="201"/>
      <c r="PF685" s="201"/>
      <c r="PG685" s="201"/>
      <c r="PH685" s="201"/>
      <c r="PI685" s="201"/>
      <c r="PJ685" s="201"/>
      <c r="PK685" s="201"/>
      <c r="PL685" s="201"/>
      <c r="PM685" s="201"/>
      <c r="PN685" s="201"/>
      <c r="PO685" s="201"/>
      <c r="PP685" s="201"/>
      <c r="PQ685" s="201"/>
      <c r="PR685" s="201"/>
      <c r="PS685" s="201"/>
      <c r="PT685" s="201"/>
      <c r="PU685" s="201"/>
      <c r="PV685" s="201"/>
      <c r="PW685" s="201"/>
      <c r="PX685" s="201"/>
      <c r="PY685" s="201"/>
      <c r="PZ685" s="201"/>
      <c r="QA685" s="201"/>
      <c r="QB685" s="201"/>
      <c r="QC685" s="201"/>
      <c r="QD685" s="201"/>
      <c r="QE685" s="201"/>
      <c r="QF685" s="201"/>
      <c r="QG685" s="201"/>
      <c r="QH685" s="201"/>
      <c r="QI685" s="201"/>
      <c r="QJ685" s="201"/>
      <c r="QK685" s="201"/>
      <c r="QL685" s="201"/>
      <c r="QM685" s="201"/>
      <c r="QN685" s="201"/>
      <c r="QO685" s="201"/>
      <c r="QP685" s="201"/>
      <c r="QQ685" s="201"/>
      <c r="QR685" s="201"/>
      <c r="QS685" s="201"/>
      <c r="QT685" s="201"/>
      <c r="QU685" s="201"/>
      <c r="QV685" s="201"/>
      <c r="QW685" s="201"/>
      <c r="QX685" s="201"/>
      <c r="QY685" s="201"/>
      <c r="QZ685" s="201"/>
      <c r="RA685" s="201"/>
      <c r="RB685" s="201"/>
      <c r="RC685" s="201"/>
      <c r="RD685" s="201"/>
      <c r="RE685" s="201"/>
      <c r="RF685" s="201"/>
      <c r="RG685" s="201"/>
      <c r="RH685" s="201"/>
      <c r="RI685" s="201"/>
      <c r="RJ685" s="201"/>
      <c r="RK685" s="201"/>
      <c r="RL685" s="201"/>
      <c r="RM685" s="201"/>
      <c r="RN685" s="201"/>
      <c r="RO685" s="201"/>
      <c r="RP685" s="201"/>
      <c r="RQ685" s="201"/>
      <c r="RR685" s="201"/>
      <c r="RS685" s="201"/>
      <c r="RT685" s="201"/>
      <c r="RU685" s="201"/>
      <c r="RV685" s="201"/>
      <c r="RW685" s="201"/>
      <c r="RX685" s="201"/>
      <c r="RY685" s="201"/>
      <c r="RZ685" s="201"/>
      <c r="SA685" s="201"/>
      <c r="SB685" s="201"/>
      <c r="SC685" s="201"/>
      <c r="SD685" s="201"/>
      <c r="SE685" s="201"/>
      <c r="SF685" s="201"/>
      <c r="SG685" s="201"/>
      <c r="SH685" s="201"/>
      <c r="SI685" s="201"/>
      <c r="SJ685" s="201"/>
      <c r="SK685" s="201"/>
      <c r="SL685" s="201"/>
      <c r="SM685" s="201"/>
      <c r="SN685" s="201"/>
      <c r="SO685" s="201"/>
      <c r="SP685" s="201"/>
      <c r="SQ685" s="201"/>
      <c r="SR685" s="201"/>
      <c r="SS685" s="201"/>
      <c r="ST685" s="201"/>
      <c r="SU685" s="201"/>
      <c r="SV685" s="201"/>
      <c r="SW685" s="201"/>
      <c r="SX685" s="201"/>
      <c r="SY685" s="201"/>
      <c r="SZ685" s="201"/>
      <c r="TA685" s="201"/>
      <c r="TB685" s="201"/>
      <c r="TC685" s="201"/>
      <c r="TD685" s="201"/>
      <c r="TE685" s="201"/>
      <c r="TF685" s="201"/>
      <c r="TG685" s="201"/>
      <c r="TH685" s="201"/>
      <c r="TI685" s="201"/>
      <c r="TJ685" s="201"/>
      <c r="TK685" s="201"/>
      <c r="TL685" s="201"/>
      <c r="TM685" s="201"/>
      <c r="TN685" s="201"/>
      <c r="TO685" s="201"/>
      <c r="TP685" s="201"/>
      <c r="TQ685" s="201"/>
      <c r="TR685" s="201"/>
      <c r="TS685" s="201"/>
      <c r="TT685" s="201"/>
      <c r="TU685" s="201"/>
      <c r="TV685" s="201"/>
      <c r="TW685" s="201"/>
      <c r="TX685" s="201"/>
      <c r="TY685" s="201"/>
      <c r="TZ685" s="201"/>
      <c r="UA685" s="201"/>
      <c r="UB685" s="201"/>
      <c r="UC685" s="201"/>
      <c r="UD685" s="201"/>
      <c r="UE685" s="201"/>
      <c r="UF685" s="201"/>
      <c r="UG685" s="201"/>
      <c r="UH685" s="201"/>
      <c r="UI685" s="201"/>
      <c r="UJ685" s="201"/>
      <c r="UK685" s="201"/>
      <c r="UL685" s="201"/>
      <c r="UM685" s="201"/>
      <c r="UN685" s="201"/>
      <c r="UO685" s="201"/>
      <c r="UP685" s="201"/>
      <c r="UQ685" s="201"/>
      <c r="UR685" s="201"/>
      <c r="US685" s="201"/>
      <c r="UT685" s="201"/>
      <c r="UU685" s="201"/>
      <c r="UV685" s="201"/>
      <c r="UW685" s="201"/>
      <c r="UX685" s="201"/>
      <c r="UY685" s="201"/>
      <c r="UZ685" s="201"/>
      <c r="VA685" s="201"/>
      <c r="VB685" s="201"/>
      <c r="VC685" s="201"/>
      <c r="VD685" s="201"/>
      <c r="VE685" s="201"/>
      <c r="VF685" s="201"/>
      <c r="VG685" s="201"/>
      <c r="VH685" s="201"/>
      <c r="VI685" s="201"/>
      <c r="VJ685" s="201"/>
      <c r="VK685" s="201"/>
      <c r="VL685" s="201"/>
      <c r="VM685" s="201"/>
      <c r="VN685" s="201"/>
      <c r="VO685" s="201"/>
      <c r="VP685" s="201"/>
      <c r="VQ685" s="201"/>
      <c r="VR685" s="201"/>
      <c r="VS685" s="201"/>
      <c r="VT685" s="201"/>
      <c r="VU685" s="201"/>
      <c r="VV685" s="201"/>
      <c r="VW685" s="201"/>
      <c r="VX685" s="201"/>
      <c r="VY685" s="201"/>
      <c r="VZ685" s="201"/>
      <c r="WA685" s="201"/>
      <c r="WB685" s="201"/>
      <c r="WC685" s="201"/>
      <c r="WD685" s="201"/>
      <c r="WE685" s="201"/>
      <c r="WF685" s="201"/>
      <c r="WG685" s="201"/>
      <c r="WH685" s="201"/>
      <c r="WI685" s="201"/>
      <c r="WJ685" s="201"/>
      <c r="WK685" s="201"/>
      <c r="WL685" s="201"/>
      <c r="WM685" s="201"/>
      <c r="WN685" s="201"/>
      <c r="WO685" s="201"/>
      <c r="WP685" s="201"/>
      <c r="WQ685" s="201"/>
      <c r="WR685" s="201"/>
      <c r="WS685" s="201"/>
      <c r="WT685" s="201"/>
      <c r="WU685" s="201"/>
      <c r="WV685" s="201"/>
      <c r="WW685" s="201"/>
      <c r="WX685" s="201"/>
      <c r="WY685" s="201"/>
      <c r="WZ685" s="201"/>
      <c r="XA685" s="201"/>
      <c r="XB685" s="201"/>
      <c r="XC685" s="201"/>
      <c r="XD685" s="201"/>
      <c r="XE685" s="201"/>
      <c r="XF685" s="201"/>
      <c r="XG685" s="201"/>
      <c r="XH685" s="201"/>
      <c r="XI685" s="201"/>
      <c r="XJ685" s="201"/>
      <c r="XK685" s="201"/>
      <c r="XL685" s="201"/>
      <c r="XM685" s="201"/>
      <c r="XN685" s="201"/>
      <c r="XO685" s="201"/>
      <c r="XP685" s="201"/>
      <c r="XQ685" s="201"/>
      <c r="XR685" s="201"/>
      <c r="XS685" s="201"/>
      <c r="XT685" s="201"/>
      <c r="XU685" s="201"/>
      <c r="XV685" s="201"/>
      <c r="XW685" s="201"/>
      <c r="XX685" s="201"/>
      <c r="XY685" s="201"/>
      <c r="XZ685" s="201"/>
      <c r="YA685" s="201"/>
      <c r="YB685" s="201"/>
      <c r="YC685" s="201"/>
      <c r="YD685" s="201"/>
      <c r="YE685" s="201"/>
      <c r="YF685" s="201"/>
      <c r="YG685" s="201"/>
      <c r="YH685" s="201"/>
      <c r="YI685" s="201"/>
      <c r="YJ685" s="201"/>
      <c r="YK685" s="201"/>
      <c r="YL685" s="201"/>
      <c r="YM685" s="201"/>
      <c r="YN685" s="201"/>
      <c r="YO685" s="201"/>
      <c r="YP685" s="201"/>
      <c r="YQ685" s="201"/>
      <c r="YR685" s="201"/>
      <c r="YS685" s="201"/>
      <c r="YT685" s="201"/>
      <c r="YU685" s="201"/>
      <c r="YV685" s="201"/>
      <c r="YW685" s="201"/>
      <c r="YX685" s="201"/>
      <c r="YY685" s="201"/>
      <c r="YZ685" s="201"/>
      <c r="ZA685" s="201"/>
      <c r="ZB685" s="201"/>
      <c r="ZC685" s="201"/>
      <c r="ZD685" s="201"/>
      <c r="ZE685" s="201"/>
      <c r="ZF685" s="201"/>
      <c r="ZG685" s="201"/>
      <c r="ZH685" s="201"/>
      <c r="ZI685" s="201"/>
      <c r="ZJ685" s="201"/>
      <c r="ZK685" s="201"/>
      <c r="ZL685" s="201"/>
      <c r="ZM685" s="201"/>
      <c r="ZN685" s="201"/>
      <c r="ZO685" s="201"/>
      <c r="ZP685" s="201"/>
      <c r="ZQ685" s="201"/>
      <c r="ZR685" s="201"/>
      <c r="ZS685" s="201"/>
      <c r="ZT685" s="201"/>
      <c r="ZU685" s="201"/>
      <c r="ZV685" s="201"/>
      <c r="ZW685" s="201"/>
      <c r="ZX685" s="201"/>
      <c r="ZY685" s="201"/>
      <c r="ZZ685" s="201"/>
      <c r="AAA685" s="201"/>
      <c r="AAB685" s="201"/>
      <c r="AAC685" s="201"/>
      <c r="AAD685" s="201"/>
      <c r="AAE685" s="201"/>
      <c r="AAF685" s="201"/>
      <c r="AAG685" s="201"/>
      <c r="AAH685" s="201"/>
      <c r="AAI685" s="201"/>
      <c r="AAJ685" s="201"/>
      <c r="AAK685" s="201"/>
      <c r="AAL685" s="201"/>
      <c r="AAM685" s="201"/>
      <c r="AAN685" s="201"/>
      <c r="AAO685" s="201"/>
      <c r="AAP685" s="201"/>
      <c r="AAQ685" s="201"/>
      <c r="AAR685" s="201"/>
      <c r="AAS685" s="201"/>
      <c r="AAT685" s="201"/>
      <c r="AAU685" s="201"/>
      <c r="AAV685" s="201"/>
      <c r="AAW685" s="201"/>
      <c r="AAX685" s="201"/>
      <c r="AAY685" s="201"/>
      <c r="AAZ685" s="201"/>
      <c r="ABA685" s="201"/>
      <c r="ABB685" s="201"/>
      <c r="ABC685" s="201"/>
      <c r="ABD685" s="201"/>
      <c r="ABE685" s="201"/>
      <c r="ABF685" s="201"/>
      <c r="ABG685" s="201"/>
      <c r="ABH685" s="201"/>
      <c r="ABI685" s="201"/>
      <c r="ABJ685" s="201"/>
      <c r="ABK685" s="201"/>
      <c r="ABL685" s="201"/>
      <c r="ABM685" s="201"/>
      <c r="ABN685" s="201"/>
      <c r="ABO685" s="201"/>
      <c r="ABP685" s="201"/>
      <c r="ABQ685" s="201"/>
      <c r="ABR685" s="201"/>
      <c r="ABS685" s="201"/>
      <c r="ABT685" s="201"/>
      <c r="ABU685" s="201"/>
      <c r="ABV685" s="201"/>
      <c r="ABW685" s="201"/>
      <c r="ABX685" s="201"/>
      <c r="ABY685" s="201"/>
      <c r="ABZ685" s="201"/>
      <c r="ACA685" s="201"/>
      <c r="ACB685" s="201"/>
      <c r="ACC685" s="201"/>
      <c r="ACD685" s="201"/>
      <c r="ACE685" s="201"/>
      <c r="ACF685" s="201"/>
      <c r="ACG685" s="201"/>
      <c r="ACH685" s="201"/>
      <c r="ACI685" s="201"/>
      <c r="ACJ685" s="201"/>
      <c r="ACK685" s="201"/>
      <c r="ACL685" s="201"/>
      <c r="ACM685" s="201"/>
      <c r="ACN685" s="201"/>
      <c r="ACO685" s="201"/>
      <c r="ACP685" s="201"/>
      <c r="ACQ685" s="201"/>
      <c r="ACR685" s="201"/>
      <c r="ACS685" s="201"/>
      <c r="ACT685" s="201"/>
      <c r="ACU685" s="201"/>
      <c r="ACV685" s="201"/>
      <c r="ACW685" s="201"/>
      <c r="ACX685" s="201"/>
      <c r="ACY685" s="201"/>
      <c r="ACZ685" s="201"/>
      <c r="ADA685" s="201"/>
      <c r="ADB685" s="201"/>
      <c r="ADC685" s="201"/>
      <c r="ADD685" s="201"/>
      <c r="ADE685" s="201"/>
      <c r="ADF685" s="201"/>
      <c r="ADG685" s="201"/>
      <c r="ADH685" s="201"/>
      <c r="ADI685" s="201"/>
      <c r="ADJ685" s="201"/>
      <c r="ADK685" s="201"/>
      <c r="ADL685" s="201"/>
      <c r="ADM685" s="201"/>
      <c r="ADN685" s="201"/>
      <c r="ADO685" s="201"/>
      <c r="ADP685" s="201"/>
      <c r="ADQ685" s="201"/>
      <c r="ADR685" s="201"/>
      <c r="ADS685" s="201"/>
      <c r="ADT685" s="201"/>
      <c r="ADU685" s="201"/>
      <c r="ADV685" s="201"/>
      <c r="ADW685" s="201"/>
      <c r="ADX685" s="201"/>
      <c r="ADY685" s="201"/>
      <c r="ADZ685" s="201"/>
      <c r="AEA685" s="201"/>
      <c r="AEB685" s="201"/>
      <c r="AEC685" s="201"/>
      <c r="AED685" s="201"/>
      <c r="AEE685" s="201"/>
      <c r="AEF685" s="201"/>
      <c r="AEG685" s="201"/>
      <c r="AEH685" s="201"/>
      <c r="AEI685" s="201"/>
      <c r="AEJ685" s="201"/>
      <c r="AEK685" s="201"/>
      <c r="AEL685" s="201"/>
      <c r="AEM685" s="201"/>
      <c r="AEN685" s="201"/>
      <c r="AEO685" s="201"/>
      <c r="AEP685" s="201"/>
      <c r="AEQ685" s="201"/>
      <c r="AER685" s="201"/>
      <c r="AES685" s="201"/>
      <c r="AET685" s="201"/>
      <c r="AEU685" s="201"/>
      <c r="AEV685" s="201"/>
      <c r="AEW685" s="201"/>
      <c r="AEX685" s="201"/>
      <c r="AEY685" s="201"/>
      <c r="AEZ685" s="201"/>
      <c r="AFA685" s="201"/>
      <c r="AFB685" s="201"/>
      <c r="AFC685" s="201"/>
      <c r="AFD685" s="201"/>
      <c r="AFE685" s="201"/>
      <c r="AFF685" s="201"/>
      <c r="AFG685" s="201"/>
      <c r="AFH685" s="201"/>
      <c r="AFI685" s="201"/>
      <c r="AFJ685" s="201"/>
      <c r="AFK685" s="201"/>
      <c r="AFL685" s="201"/>
      <c r="AFM685" s="201"/>
      <c r="AFN685" s="201"/>
      <c r="AFO685" s="201"/>
      <c r="AFP685" s="201"/>
      <c r="AFQ685" s="201"/>
      <c r="AFR685" s="201"/>
      <c r="AFS685" s="201"/>
      <c r="AFT685" s="201"/>
      <c r="AFU685" s="201"/>
      <c r="AFV685" s="201"/>
      <c r="AFW685" s="201"/>
      <c r="AFX685" s="201"/>
      <c r="AFY685" s="201"/>
      <c r="AFZ685" s="201"/>
      <c r="AGA685" s="201"/>
      <c r="AGB685" s="201"/>
      <c r="AGC685" s="201"/>
      <c r="AGD685" s="201"/>
      <c r="AGE685" s="201"/>
      <c r="AGF685" s="201"/>
      <c r="AGG685" s="201"/>
      <c r="AGH685" s="201"/>
      <c r="AGI685" s="201"/>
      <c r="AGJ685" s="201"/>
      <c r="AGK685" s="201"/>
      <c r="AGL685" s="201"/>
      <c r="AGM685" s="201"/>
      <c r="AGN685" s="201"/>
      <c r="AGO685" s="201"/>
      <c r="AGP685" s="201"/>
      <c r="AGQ685" s="201"/>
      <c r="AGR685" s="201"/>
      <c r="AGS685" s="201"/>
      <c r="AGT685" s="201"/>
      <c r="AGU685" s="201"/>
      <c r="AGV685" s="201"/>
      <c r="AGW685" s="201"/>
      <c r="AGX685" s="201"/>
      <c r="AGY685" s="201"/>
      <c r="AGZ685" s="201"/>
      <c r="AHA685" s="201"/>
      <c r="AHB685" s="201"/>
      <c r="AHC685" s="201"/>
      <c r="AHD685" s="201"/>
      <c r="AHE685" s="201"/>
      <c r="AHF685" s="201"/>
      <c r="AHG685" s="201"/>
      <c r="AHH685" s="201"/>
      <c r="AHI685" s="201"/>
      <c r="AHJ685" s="201"/>
      <c r="AHK685" s="201"/>
      <c r="AHL685" s="201"/>
      <c r="AHM685" s="201"/>
      <c r="AHN685" s="201"/>
      <c r="AHO685" s="201"/>
      <c r="AHP685" s="201"/>
      <c r="AHQ685" s="201"/>
      <c r="AHR685" s="201"/>
      <c r="AHS685" s="201"/>
      <c r="AHT685" s="201"/>
      <c r="AHU685" s="201"/>
      <c r="AHV685" s="201"/>
      <c r="AHW685" s="201"/>
      <c r="AHX685" s="201"/>
      <c r="AHY685" s="201"/>
      <c r="AHZ685" s="201"/>
      <c r="AIA685" s="201"/>
      <c r="AIB685" s="201"/>
      <c r="AIC685" s="201"/>
      <c r="AID685" s="201"/>
      <c r="AIE685" s="201"/>
      <c r="AIF685" s="201"/>
      <c r="AIG685" s="201"/>
      <c r="AIH685" s="201"/>
      <c r="AII685" s="201"/>
      <c r="AIJ685" s="201"/>
      <c r="AIK685" s="201"/>
      <c r="AIL685" s="201"/>
      <c r="AIM685" s="201"/>
      <c r="AIN685" s="201"/>
      <c r="AIO685" s="201"/>
      <c r="AIP685" s="201"/>
      <c r="AIQ685" s="201"/>
      <c r="AIR685" s="201"/>
      <c r="AIS685" s="201"/>
      <c r="AIT685" s="201"/>
      <c r="AIU685" s="201"/>
      <c r="AIV685" s="201"/>
      <c r="AIW685" s="201"/>
      <c r="AIX685" s="201"/>
      <c r="AIY685" s="201"/>
      <c r="AIZ685" s="201"/>
      <c r="AJA685" s="201"/>
      <c r="AJB685" s="201"/>
      <c r="AJC685" s="201"/>
      <c r="AJD685" s="201"/>
      <c r="AJE685" s="201"/>
      <c r="AJF685" s="201"/>
      <c r="AJG685" s="201"/>
      <c r="AJH685" s="201"/>
      <c r="AJI685" s="201"/>
      <c r="AJJ685" s="201"/>
      <c r="AJK685" s="201"/>
      <c r="AJL685" s="201"/>
      <c r="AJM685" s="201"/>
      <c r="AJN685" s="201"/>
      <c r="AJO685" s="201"/>
      <c r="AJP685" s="201"/>
      <c r="AJQ685" s="201"/>
      <c r="AJR685" s="201"/>
      <c r="AJS685" s="201"/>
      <c r="AJT685" s="201"/>
      <c r="AJU685" s="201"/>
      <c r="AJV685" s="201"/>
      <c r="AJW685" s="201"/>
      <c r="AJX685" s="201"/>
      <c r="AJY685" s="201"/>
      <c r="AJZ685" s="201"/>
      <c r="AKA685" s="201"/>
      <c r="AKB685" s="201"/>
      <c r="AKC685" s="201"/>
      <c r="AKD685" s="201"/>
      <c r="AKE685" s="201"/>
      <c r="AKF685" s="201"/>
      <c r="AKG685" s="201"/>
      <c r="AKH685" s="201"/>
      <c r="AKI685" s="201"/>
      <c r="AKJ685" s="201"/>
      <c r="AKK685" s="201"/>
      <c r="AKL685" s="201"/>
      <c r="AKM685" s="201"/>
      <c r="AKN685" s="201"/>
      <c r="AKO685" s="201"/>
      <c r="AKP685" s="201"/>
      <c r="AKQ685" s="201"/>
      <c r="AKR685" s="201"/>
      <c r="AKS685" s="201"/>
      <c r="AKT685" s="201"/>
      <c r="AKU685" s="201"/>
      <c r="AKV685" s="201"/>
      <c r="AKW685" s="201"/>
      <c r="AKX685" s="201"/>
      <c r="AKY685" s="201"/>
      <c r="AKZ685" s="201"/>
      <c r="ALA685" s="201"/>
      <c r="ALB685" s="201"/>
      <c r="ALC685" s="201"/>
      <c r="ALD685" s="201"/>
      <c r="ALE685" s="201"/>
      <c r="ALF685" s="201"/>
      <c r="ALG685" s="201"/>
      <c r="ALH685" s="201"/>
      <c r="ALI685" s="201"/>
      <c r="ALJ685" s="201"/>
      <c r="ALK685" s="201"/>
      <c r="ALL685" s="201"/>
      <c r="ALM685" s="201"/>
      <c r="ALN685" s="201"/>
      <c r="ALO685" s="201"/>
      <c r="ALP685" s="201"/>
      <c r="ALQ685" s="201"/>
      <c r="ALR685" s="201"/>
      <c r="ALS685" s="201"/>
      <c r="ALT685" s="201"/>
      <c r="ALU685" s="201"/>
      <c r="ALV685" s="201"/>
      <c r="ALW685" s="201"/>
      <c r="ALX685" s="201"/>
      <c r="ALY685" s="201"/>
      <c r="ALZ685" s="201"/>
      <c r="AMA685" s="201"/>
      <c r="AMB685" s="201"/>
      <c r="AMC685" s="201"/>
      <c r="AMD685" s="201"/>
      <c r="AME685" s="201"/>
      <c r="AMF685" s="201"/>
      <c r="AMG685" s="201"/>
      <c r="AMH685" s="201"/>
      <c r="AMI685" s="201"/>
      <c r="AMJ685" s="201"/>
      <c r="AMK685" s="201"/>
      <c r="AML685" s="201"/>
      <c r="AMM685" s="201"/>
      <c r="AMN685" s="201"/>
      <c r="AMO685" s="201"/>
      <c r="AMP685" s="201"/>
      <c r="AMQ685" s="201"/>
      <c r="AMR685" s="201"/>
      <c r="AMS685" s="201"/>
      <c r="AMT685" s="201"/>
      <c r="AMU685" s="201"/>
      <c r="AMV685" s="201"/>
      <c r="AMW685" s="201"/>
      <c r="AMX685" s="201"/>
      <c r="AMY685" s="201"/>
      <c r="AMZ685" s="201"/>
      <c r="ANA685" s="201"/>
      <c r="ANB685" s="201"/>
      <c r="ANC685" s="201"/>
      <c r="AND685" s="201"/>
      <c r="ANE685" s="201"/>
      <c r="ANF685" s="201"/>
      <c r="ANG685" s="201"/>
      <c r="ANH685" s="201"/>
      <c r="ANI685" s="201"/>
      <c r="ANJ685" s="201"/>
      <c r="ANK685" s="201"/>
      <c r="ANL685" s="201"/>
      <c r="ANM685" s="201"/>
      <c r="ANN685" s="201"/>
      <c r="ANO685" s="201"/>
      <c r="ANP685" s="201"/>
      <c r="ANQ685" s="201"/>
      <c r="ANR685" s="201"/>
      <c r="ANS685" s="201"/>
      <c r="ANT685" s="201"/>
      <c r="ANU685" s="201"/>
      <c r="ANV685" s="201"/>
      <c r="ANW685" s="201"/>
      <c r="ANX685" s="201"/>
      <c r="ANY685" s="201"/>
      <c r="ANZ685" s="201"/>
      <c r="AOA685" s="201"/>
      <c r="AOB685" s="201"/>
      <c r="AOC685" s="201"/>
      <c r="AOD685" s="201"/>
      <c r="AOE685" s="201"/>
      <c r="AOF685" s="201"/>
      <c r="AOG685" s="201"/>
      <c r="AOH685" s="201"/>
      <c r="AOI685" s="201"/>
      <c r="AOJ685" s="201"/>
      <c r="AOK685" s="201"/>
      <c r="AOL685" s="201"/>
      <c r="AOM685" s="201"/>
      <c r="AON685" s="201"/>
      <c r="AOO685" s="201"/>
      <c r="AOP685" s="201"/>
      <c r="AOQ685" s="201"/>
      <c r="AOR685" s="201"/>
      <c r="AOS685" s="201"/>
      <c r="AOT685" s="201"/>
      <c r="AOU685" s="201"/>
      <c r="AOV685" s="201"/>
      <c r="AOW685" s="201"/>
      <c r="AOX685" s="201"/>
      <c r="AOY685" s="201"/>
      <c r="AOZ685" s="201"/>
      <c r="APA685" s="201"/>
      <c r="APB685" s="201"/>
      <c r="APC685" s="201"/>
      <c r="APD685" s="201"/>
      <c r="APE685" s="201"/>
      <c r="APF685" s="201"/>
      <c r="APG685" s="201"/>
      <c r="APH685" s="201"/>
      <c r="API685" s="201"/>
      <c r="APJ685" s="201"/>
      <c r="APK685" s="201"/>
      <c r="APL685" s="201"/>
      <c r="APM685" s="201"/>
      <c r="APN685" s="201"/>
      <c r="APO685" s="201"/>
      <c r="APP685" s="201"/>
      <c r="APQ685" s="201"/>
      <c r="APR685" s="201"/>
      <c r="APS685" s="201"/>
      <c r="APT685" s="201"/>
      <c r="APU685" s="201"/>
      <c r="APV685" s="201"/>
      <c r="APW685" s="201"/>
      <c r="APX685" s="201"/>
      <c r="APY685" s="201"/>
      <c r="APZ685" s="201"/>
      <c r="AQA685" s="201"/>
      <c r="AQB685" s="201"/>
      <c r="AQC685" s="201"/>
      <c r="AQD685" s="201"/>
      <c r="AQE685" s="201"/>
      <c r="AQF685" s="201"/>
      <c r="AQG685" s="201"/>
      <c r="AQH685" s="201"/>
      <c r="AQI685" s="201"/>
      <c r="AQJ685" s="201"/>
      <c r="AQK685" s="201"/>
      <c r="AQL685" s="201"/>
      <c r="AQM685" s="201"/>
      <c r="AQN685" s="201"/>
      <c r="AQO685" s="201"/>
      <c r="AQP685" s="201"/>
      <c r="AQQ685" s="201"/>
      <c r="AQR685" s="201"/>
      <c r="AQS685" s="201"/>
      <c r="AQT685" s="201"/>
      <c r="AQU685" s="201"/>
      <c r="AQV685" s="201"/>
      <c r="AQW685" s="201"/>
      <c r="AQX685" s="201"/>
      <c r="AQY685" s="201"/>
      <c r="AQZ685" s="201"/>
      <c r="ARA685" s="201"/>
      <c r="ARB685" s="201"/>
      <c r="ARC685" s="201"/>
      <c r="ARD685" s="201"/>
      <c r="ARE685" s="201"/>
      <c r="ARF685" s="201"/>
      <c r="ARG685" s="201"/>
      <c r="ARH685" s="201"/>
      <c r="ARI685" s="201"/>
      <c r="ARJ685" s="201"/>
      <c r="ARK685" s="201"/>
      <c r="ARL685" s="201"/>
      <c r="ARM685" s="201"/>
      <c r="ARN685" s="201"/>
      <c r="ARO685" s="201"/>
      <c r="ARP685" s="201"/>
      <c r="ARQ685" s="201"/>
      <c r="ARR685" s="201"/>
      <c r="ARS685" s="201"/>
      <c r="ART685" s="201"/>
      <c r="ARU685" s="201"/>
      <c r="ARV685" s="201"/>
      <c r="ARW685" s="201"/>
      <c r="ARX685" s="201"/>
      <c r="ARY685" s="201"/>
      <c r="ARZ685" s="201"/>
      <c r="ASA685" s="201"/>
      <c r="ASB685" s="201"/>
      <c r="ASC685" s="201"/>
      <c r="ASD685" s="201"/>
      <c r="ASE685" s="201"/>
      <c r="ASF685" s="201"/>
      <c r="ASG685" s="201"/>
      <c r="ASH685" s="201"/>
      <c r="ASI685" s="201"/>
      <c r="ASJ685" s="201"/>
      <c r="ASK685" s="201"/>
      <c r="ASL685" s="201"/>
      <c r="ASM685" s="201"/>
      <c r="ASN685" s="201"/>
      <c r="ASO685" s="201"/>
      <c r="ASP685" s="201"/>
      <c r="ASQ685" s="201"/>
      <c r="ASR685" s="201"/>
      <c r="ASS685" s="201"/>
      <c r="AST685" s="201"/>
      <c r="ASU685" s="201"/>
      <c r="ASV685" s="201"/>
      <c r="ASW685" s="201"/>
      <c r="ASX685" s="201"/>
      <c r="ASY685" s="201"/>
      <c r="ASZ685" s="201"/>
      <c r="ATA685" s="201"/>
      <c r="ATB685" s="201"/>
      <c r="ATC685" s="201"/>
      <c r="ATD685" s="201"/>
      <c r="ATE685" s="201"/>
      <c r="ATF685" s="201"/>
      <c r="ATG685" s="201"/>
      <c r="ATH685" s="201"/>
      <c r="ATI685" s="201"/>
      <c r="ATJ685" s="201"/>
      <c r="ATK685" s="201"/>
      <c r="ATL685" s="201"/>
      <c r="ATM685" s="201"/>
      <c r="ATN685" s="201"/>
      <c r="ATO685" s="201"/>
      <c r="ATP685" s="201"/>
      <c r="ATQ685" s="201"/>
      <c r="ATR685" s="201"/>
      <c r="ATS685" s="201"/>
      <c r="ATT685" s="201"/>
      <c r="ATU685" s="201"/>
      <c r="ATV685" s="201"/>
      <c r="ATW685" s="201"/>
      <c r="ATX685" s="201"/>
      <c r="ATY685" s="201"/>
      <c r="ATZ685" s="201"/>
      <c r="AUA685" s="201"/>
      <c r="AUB685" s="201"/>
      <c r="AUC685" s="201"/>
      <c r="AUD685" s="201"/>
      <c r="AUE685" s="201"/>
      <c r="AUF685" s="201"/>
      <c r="AUG685" s="201"/>
      <c r="AUH685" s="201"/>
      <c r="AUI685" s="201"/>
      <c r="AUJ685" s="201"/>
      <c r="AUK685" s="201"/>
      <c r="AUL685" s="201"/>
      <c r="AUM685" s="201"/>
      <c r="AUN685" s="201"/>
      <c r="AUO685" s="201"/>
      <c r="AUP685" s="201"/>
      <c r="AUQ685" s="201"/>
      <c r="AUR685" s="201"/>
      <c r="AUS685" s="201"/>
      <c r="AUT685" s="201"/>
      <c r="AUU685" s="201"/>
      <c r="AUV685" s="201"/>
      <c r="AUW685" s="201"/>
      <c r="AUX685" s="201"/>
      <c r="AUY685" s="201"/>
      <c r="AUZ685" s="201"/>
      <c r="AVA685" s="201"/>
      <c r="AVB685" s="201"/>
      <c r="AVC685" s="201"/>
      <c r="AVD685" s="201"/>
      <c r="AVE685" s="201"/>
      <c r="AVF685" s="201"/>
      <c r="AVG685" s="201"/>
      <c r="AVH685" s="201"/>
      <c r="AVI685" s="201"/>
      <c r="AVJ685" s="201"/>
      <c r="AVK685" s="201"/>
      <c r="AVL685" s="201"/>
      <c r="AVM685" s="201"/>
      <c r="AVN685" s="201"/>
      <c r="AVO685" s="201"/>
      <c r="AVP685" s="201"/>
      <c r="AVQ685" s="201"/>
      <c r="AVR685" s="201"/>
      <c r="AVS685" s="201"/>
      <c r="AVT685" s="201"/>
      <c r="AVU685" s="201"/>
      <c r="AVV685" s="201"/>
      <c r="AVW685" s="201"/>
      <c r="AVX685" s="201"/>
      <c r="AVY685" s="201"/>
      <c r="AVZ685" s="201"/>
      <c r="AWA685" s="201"/>
      <c r="AWB685" s="201"/>
      <c r="AWC685" s="201"/>
      <c r="AWD685" s="201"/>
      <c r="AWE685" s="201"/>
      <c r="AWF685" s="201"/>
      <c r="AWG685" s="201"/>
      <c r="AWH685" s="201"/>
      <c r="AWI685" s="201"/>
      <c r="AWJ685" s="201"/>
      <c r="AWK685" s="201"/>
      <c r="AWL685" s="201"/>
      <c r="AWM685" s="201"/>
      <c r="AWN685" s="201"/>
      <c r="AWO685" s="201"/>
      <c r="AWP685" s="201"/>
      <c r="AWQ685" s="201"/>
      <c r="AWR685" s="201"/>
      <c r="AWS685" s="201"/>
      <c r="AWT685" s="201"/>
      <c r="AWU685" s="201"/>
      <c r="AWV685" s="201"/>
      <c r="AWW685" s="201"/>
      <c r="AWX685" s="201"/>
      <c r="AWY685" s="201"/>
      <c r="AWZ685" s="201"/>
      <c r="AXA685" s="201"/>
      <c r="AXB685" s="201"/>
      <c r="AXC685" s="201"/>
      <c r="AXD685" s="201"/>
      <c r="AXE685" s="201"/>
      <c r="AXF685" s="201"/>
      <c r="AXG685" s="201"/>
      <c r="AXH685" s="201"/>
      <c r="AXI685" s="201"/>
      <c r="AXJ685" s="201"/>
      <c r="AXK685" s="201"/>
      <c r="AXL685" s="201"/>
      <c r="AXM685" s="201"/>
      <c r="AXN685" s="201"/>
      <c r="AXO685" s="201"/>
      <c r="AXP685" s="201"/>
      <c r="AXQ685" s="201"/>
      <c r="AXR685" s="201"/>
      <c r="AXS685" s="201"/>
      <c r="AXT685" s="201"/>
      <c r="AXU685" s="201"/>
      <c r="AXV685" s="201"/>
      <c r="AXW685" s="201"/>
      <c r="AXX685" s="201"/>
      <c r="AXY685" s="201"/>
      <c r="AXZ685" s="201"/>
      <c r="AYA685" s="201"/>
      <c r="AYB685" s="201"/>
      <c r="AYC685" s="201"/>
      <c r="AYD685" s="201"/>
      <c r="AYE685" s="201"/>
      <c r="AYF685" s="201"/>
      <c r="AYG685" s="201"/>
      <c r="AYH685" s="201"/>
      <c r="AYI685" s="201"/>
      <c r="AYJ685" s="201"/>
      <c r="AYK685" s="201"/>
      <c r="AYL685" s="201"/>
      <c r="AYM685" s="201"/>
      <c r="AYN685" s="201"/>
      <c r="AYO685" s="201"/>
      <c r="AYP685" s="201"/>
      <c r="AYQ685" s="201"/>
      <c r="AYR685" s="201"/>
      <c r="AYS685" s="201"/>
      <c r="AYT685" s="201"/>
      <c r="AYU685" s="201"/>
      <c r="AYV685" s="201"/>
      <c r="AYW685" s="201"/>
      <c r="AYX685" s="201"/>
      <c r="AYY685" s="201"/>
      <c r="AYZ685" s="201"/>
      <c r="AZA685" s="201"/>
      <c r="AZB685" s="201"/>
      <c r="AZC685" s="201"/>
      <c r="AZD685" s="201"/>
      <c r="AZE685" s="201"/>
      <c r="AZF685" s="201"/>
      <c r="AZG685" s="201"/>
      <c r="AZH685" s="201"/>
      <c r="AZI685" s="201"/>
      <c r="AZJ685" s="201"/>
      <c r="AZK685" s="201"/>
      <c r="AZL685" s="201"/>
      <c r="AZM685" s="201"/>
      <c r="AZN685" s="201"/>
      <c r="AZO685" s="201"/>
      <c r="AZP685" s="201"/>
      <c r="AZQ685" s="201"/>
      <c r="AZR685" s="201"/>
      <c r="AZS685" s="201"/>
      <c r="AZT685" s="201"/>
      <c r="AZU685" s="201"/>
      <c r="AZV685" s="201"/>
      <c r="AZW685" s="201"/>
      <c r="AZX685" s="201"/>
      <c r="AZY685" s="201"/>
      <c r="AZZ685" s="201"/>
      <c r="BAA685" s="201"/>
      <c r="BAB685" s="201"/>
      <c r="BAC685" s="201"/>
      <c r="BAD685" s="201"/>
      <c r="BAE685" s="201"/>
      <c r="BAF685" s="201"/>
      <c r="BAG685" s="201"/>
      <c r="BAH685" s="201"/>
      <c r="BAI685" s="201"/>
      <c r="BAJ685" s="201"/>
      <c r="BAK685" s="201"/>
      <c r="BAL685" s="201"/>
      <c r="BAM685" s="201"/>
      <c r="BAN685" s="201"/>
      <c r="BAO685" s="201"/>
      <c r="BAP685" s="201"/>
      <c r="BAQ685" s="201"/>
      <c r="BAR685" s="201"/>
      <c r="BAS685" s="201"/>
      <c r="BAT685" s="201"/>
      <c r="BAU685" s="201"/>
      <c r="BAV685" s="201"/>
      <c r="BAW685" s="201"/>
      <c r="BAX685" s="201"/>
      <c r="BAY685" s="201"/>
      <c r="BAZ685" s="201"/>
      <c r="BBA685" s="201"/>
      <c r="BBB685" s="201"/>
      <c r="BBC685" s="201"/>
      <c r="BBD685" s="201"/>
      <c r="BBE685" s="201"/>
      <c r="BBF685" s="201"/>
      <c r="BBG685" s="201"/>
      <c r="BBH685" s="201"/>
      <c r="BBI685" s="201"/>
      <c r="BBJ685" s="201"/>
      <c r="BBK685" s="201"/>
      <c r="BBL685" s="201"/>
      <c r="BBM685" s="201"/>
      <c r="BBN685" s="201"/>
      <c r="BBO685" s="201"/>
      <c r="BBP685" s="201"/>
      <c r="BBQ685" s="201"/>
      <c r="BBR685" s="201"/>
      <c r="BBS685" s="201"/>
      <c r="BBT685" s="201"/>
      <c r="BBU685" s="201"/>
      <c r="BBV685" s="201"/>
      <c r="BBW685" s="201"/>
      <c r="BBX685" s="201"/>
      <c r="BBY685" s="201"/>
      <c r="BBZ685" s="201"/>
      <c r="BCA685" s="201"/>
      <c r="BCB685" s="201"/>
      <c r="BCC685" s="201"/>
      <c r="BCD685" s="201"/>
      <c r="BCE685" s="201"/>
      <c r="BCF685" s="201"/>
      <c r="BCG685" s="201"/>
      <c r="BCH685" s="201"/>
      <c r="BCI685" s="201"/>
      <c r="BCJ685" s="201"/>
      <c r="BCK685" s="201"/>
      <c r="BCL685" s="201"/>
      <c r="BCM685" s="201"/>
      <c r="BCN685" s="201"/>
      <c r="BCO685" s="201"/>
      <c r="BCP685" s="201"/>
      <c r="BCQ685" s="201"/>
      <c r="BCR685" s="201"/>
      <c r="BCS685" s="201"/>
      <c r="BCT685" s="201"/>
      <c r="BCU685" s="201"/>
      <c r="BCV685" s="201"/>
      <c r="BCW685" s="201"/>
      <c r="BCX685" s="201"/>
      <c r="BCY685" s="201"/>
      <c r="BCZ685" s="201"/>
      <c r="BDA685" s="201"/>
      <c r="BDB685" s="201"/>
      <c r="BDC685" s="201"/>
      <c r="BDD685" s="201"/>
      <c r="BDE685" s="201"/>
      <c r="BDF685" s="201"/>
      <c r="BDG685" s="201"/>
      <c r="BDH685" s="201"/>
      <c r="BDI685" s="201"/>
      <c r="BDJ685" s="201"/>
      <c r="BDK685" s="201"/>
      <c r="BDL685" s="201"/>
      <c r="BDM685" s="201"/>
      <c r="BDN685" s="201"/>
      <c r="BDO685" s="201"/>
      <c r="BDP685" s="201"/>
      <c r="BDQ685" s="201"/>
      <c r="BDR685" s="201"/>
      <c r="BDS685" s="201"/>
      <c r="BDT685" s="201"/>
      <c r="BDU685" s="201"/>
      <c r="BDV685" s="201"/>
      <c r="BDW685" s="201"/>
      <c r="BDX685" s="201"/>
      <c r="BDY685" s="201"/>
      <c r="BDZ685" s="201"/>
      <c r="BEA685" s="201"/>
      <c r="BEB685" s="201"/>
      <c r="BEC685" s="201"/>
      <c r="BED685" s="201"/>
      <c r="BEE685" s="201"/>
      <c r="BEF685" s="201"/>
      <c r="BEG685" s="201"/>
      <c r="BEH685" s="201"/>
      <c r="BEI685" s="201"/>
      <c r="BEJ685" s="201"/>
      <c r="BEK685" s="201"/>
      <c r="BEL685" s="201"/>
      <c r="BEM685" s="201"/>
      <c r="BEN685" s="201"/>
      <c r="BEO685" s="201"/>
      <c r="BEP685" s="201"/>
      <c r="BEQ685" s="201"/>
      <c r="BER685" s="201"/>
      <c r="BES685" s="201"/>
      <c r="BET685" s="201"/>
      <c r="BEU685" s="201"/>
      <c r="BEV685" s="201"/>
      <c r="BEW685" s="201"/>
      <c r="BEX685" s="201"/>
      <c r="BEY685" s="201"/>
      <c r="BEZ685" s="201"/>
      <c r="BFA685" s="201"/>
      <c r="BFB685" s="201"/>
      <c r="BFC685" s="201"/>
      <c r="BFD685" s="201"/>
      <c r="BFE685" s="201"/>
      <c r="BFF685" s="201"/>
      <c r="BFG685" s="201"/>
      <c r="BFH685" s="201"/>
      <c r="BFI685" s="201"/>
      <c r="BFJ685" s="201"/>
      <c r="BFK685" s="201"/>
      <c r="BFL685" s="201"/>
      <c r="BFM685" s="201"/>
      <c r="BFN685" s="201"/>
      <c r="BFO685" s="201"/>
      <c r="BFP685" s="201"/>
      <c r="BFQ685" s="201"/>
      <c r="BFR685" s="201"/>
      <c r="BFS685" s="201"/>
      <c r="BFT685" s="201"/>
      <c r="BFU685" s="201"/>
      <c r="BFV685" s="201"/>
      <c r="BFW685" s="201"/>
      <c r="BFX685" s="201"/>
      <c r="BFY685" s="201"/>
      <c r="BFZ685" s="201"/>
      <c r="BGA685" s="201"/>
      <c r="BGB685" s="201"/>
      <c r="BGC685" s="201"/>
      <c r="BGD685" s="201"/>
      <c r="BGE685" s="201"/>
      <c r="BGF685" s="201"/>
      <c r="BGG685" s="201"/>
      <c r="BGH685" s="201"/>
      <c r="BGI685" s="201"/>
      <c r="BGJ685" s="201"/>
      <c r="BGK685" s="201"/>
      <c r="BGL685" s="201"/>
      <c r="BGM685" s="201"/>
      <c r="BGN685" s="201"/>
      <c r="BGO685" s="201"/>
      <c r="BGP685" s="201"/>
      <c r="BGQ685" s="201"/>
      <c r="BGR685" s="201"/>
      <c r="BGS685" s="201"/>
      <c r="BGT685" s="201"/>
      <c r="BGU685" s="201"/>
      <c r="BGV685" s="201"/>
      <c r="BGW685" s="201"/>
      <c r="BGX685" s="201"/>
      <c r="BGY685" s="201"/>
      <c r="BGZ685" s="201"/>
      <c r="BHA685" s="201"/>
      <c r="BHB685" s="201"/>
      <c r="BHC685" s="201"/>
      <c r="BHD685" s="201"/>
      <c r="BHE685" s="201"/>
      <c r="BHF685" s="201"/>
      <c r="BHG685" s="201"/>
      <c r="BHH685" s="201"/>
      <c r="BHI685" s="201"/>
      <c r="BHJ685" s="201"/>
      <c r="BHK685" s="201"/>
      <c r="BHL685" s="201"/>
      <c r="BHM685" s="201"/>
      <c r="BHN685" s="201"/>
      <c r="BHO685" s="201"/>
      <c r="BHP685" s="201"/>
      <c r="BHQ685" s="201"/>
      <c r="BHR685" s="201"/>
      <c r="BHS685" s="201"/>
      <c r="BHT685" s="201"/>
      <c r="BHU685" s="201"/>
      <c r="BHV685" s="201"/>
      <c r="BHW685" s="201"/>
      <c r="BHX685" s="201"/>
      <c r="BHY685" s="201"/>
      <c r="BHZ685" s="201"/>
      <c r="BIA685" s="201"/>
      <c r="BIB685" s="201"/>
      <c r="BIC685" s="201"/>
      <c r="BID685" s="201"/>
      <c r="BIE685" s="201"/>
      <c r="BIF685" s="201"/>
      <c r="BIG685" s="201"/>
      <c r="BIH685" s="201"/>
      <c r="BII685" s="201"/>
      <c r="BIJ685" s="201"/>
      <c r="BIK685" s="201"/>
      <c r="BIL685" s="201"/>
      <c r="BIM685" s="201"/>
      <c r="BIN685" s="201"/>
      <c r="BIO685" s="201"/>
      <c r="BIP685" s="201"/>
      <c r="BIQ685" s="201"/>
      <c r="BIR685" s="201"/>
      <c r="BIS685" s="201"/>
      <c r="BIT685" s="201"/>
      <c r="BIU685" s="201"/>
      <c r="BIV685" s="201"/>
      <c r="BIW685" s="201"/>
      <c r="BIX685" s="201"/>
      <c r="BIY685" s="201"/>
      <c r="BIZ685" s="201"/>
      <c r="BJA685" s="201"/>
      <c r="BJB685" s="201"/>
      <c r="BJC685" s="201"/>
      <c r="BJD685" s="201"/>
      <c r="BJE685" s="201"/>
      <c r="BJF685" s="201"/>
      <c r="BJG685" s="201"/>
      <c r="BJH685" s="201"/>
      <c r="BJI685" s="201"/>
      <c r="BJJ685" s="201"/>
      <c r="BJK685" s="201"/>
      <c r="BJL685" s="201"/>
      <c r="BJM685" s="201"/>
      <c r="BJN685" s="201"/>
      <c r="BJO685" s="201"/>
      <c r="BJP685" s="201"/>
      <c r="BJQ685" s="201"/>
      <c r="BJR685" s="201"/>
      <c r="BJS685" s="201"/>
      <c r="BJT685" s="201"/>
      <c r="BJU685" s="201"/>
      <c r="BJV685" s="201"/>
      <c r="BJW685" s="201"/>
      <c r="BJX685" s="201"/>
      <c r="BJY685" s="201"/>
      <c r="BJZ685" s="201"/>
      <c r="BKA685" s="201"/>
      <c r="BKB685" s="201"/>
      <c r="BKC685" s="201"/>
      <c r="BKD685" s="201"/>
      <c r="BKE685" s="201"/>
      <c r="BKF685" s="201"/>
      <c r="BKG685" s="201"/>
      <c r="BKH685" s="201"/>
      <c r="BKI685" s="201"/>
      <c r="BKJ685" s="201"/>
      <c r="BKK685" s="201"/>
      <c r="BKL685" s="201"/>
      <c r="BKM685" s="201"/>
      <c r="BKN685" s="201"/>
      <c r="BKO685" s="201"/>
      <c r="BKP685" s="201"/>
      <c r="BKQ685" s="201"/>
      <c r="BKR685" s="201"/>
      <c r="BKS685" s="201"/>
      <c r="BKT685" s="201"/>
      <c r="BKU685" s="201"/>
      <c r="BKV685" s="201"/>
      <c r="BKW685" s="201"/>
      <c r="BKX685" s="201"/>
      <c r="BKY685" s="201"/>
      <c r="BKZ685" s="201"/>
      <c r="BLA685" s="201"/>
      <c r="BLB685" s="201"/>
      <c r="BLC685" s="201"/>
      <c r="BLD685" s="201"/>
      <c r="BLE685" s="201"/>
      <c r="BLF685" s="201"/>
      <c r="BLG685" s="201"/>
      <c r="BLH685" s="201"/>
      <c r="BLI685" s="201"/>
      <c r="BLJ685" s="201"/>
      <c r="BLK685" s="201"/>
      <c r="BLL685" s="201"/>
      <c r="BLM685" s="201"/>
      <c r="BLN685" s="201"/>
      <c r="BLO685" s="201"/>
      <c r="BLP685" s="201"/>
      <c r="BLQ685" s="201"/>
      <c r="BLR685" s="201"/>
      <c r="BLS685" s="201"/>
      <c r="BLT685" s="201"/>
      <c r="BLU685" s="201"/>
      <c r="BLV685" s="201"/>
      <c r="BLW685" s="201"/>
      <c r="BLX685" s="201"/>
      <c r="BLY685" s="201"/>
      <c r="BLZ685" s="201"/>
      <c r="BMA685" s="201"/>
      <c r="BMB685" s="201"/>
      <c r="BMC685" s="201"/>
      <c r="BMD685" s="201"/>
      <c r="BME685" s="201"/>
      <c r="BMF685" s="201"/>
      <c r="BMG685" s="201"/>
      <c r="BMH685" s="201"/>
      <c r="BMI685" s="201"/>
      <c r="BMJ685" s="201"/>
      <c r="BMK685" s="201"/>
      <c r="BML685" s="201"/>
      <c r="BMM685" s="201"/>
      <c r="BMN685" s="201"/>
      <c r="BMO685" s="201"/>
      <c r="BMP685" s="201"/>
      <c r="BMQ685" s="201"/>
      <c r="BMR685" s="201"/>
      <c r="BMS685" s="201"/>
      <c r="BMT685" s="201"/>
      <c r="BMU685" s="201"/>
      <c r="BMV685" s="201"/>
      <c r="BMW685" s="201"/>
      <c r="BMX685" s="201"/>
      <c r="BMY685" s="201"/>
      <c r="BMZ685" s="201"/>
      <c r="BNA685" s="201"/>
      <c r="BNB685" s="201"/>
      <c r="BNC685" s="201"/>
      <c r="BND685" s="201"/>
      <c r="BNE685" s="201"/>
      <c r="BNF685" s="201"/>
      <c r="BNG685" s="201"/>
      <c r="BNH685" s="201"/>
      <c r="BNI685" s="201"/>
      <c r="BNJ685" s="201"/>
      <c r="BNK685" s="201"/>
      <c r="BNL685" s="201"/>
      <c r="BNM685" s="201"/>
      <c r="BNN685" s="201"/>
      <c r="BNO685" s="201"/>
      <c r="BNP685" s="201"/>
      <c r="BNQ685" s="201"/>
      <c r="BNR685" s="201"/>
      <c r="BNS685" s="201"/>
      <c r="BNT685" s="201"/>
      <c r="BNU685" s="201"/>
      <c r="BNV685" s="201"/>
      <c r="BNW685" s="201"/>
      <c r="BNX685" s="201"/>
      <c r="BNY685" s="201"/>
      <c r="BNZ685" s="201"/>
      <c r="BOA685" s="201"/>
      <c r="BOB685" s="201"/>
      <c r="BOC685" s="201"/>
      <c r="BOD685" s="201"/>
      <c r="BOE685" s="201"/>
      <c r="BOF685" s="201"/>
      <c r="BOG685" s="201"/>
      <c r="BOH685" s="201"/>
      <c r="BOI685" s="201"/>
      <c r="BOJ685" s="201"/>
      <c r="BOK685" s="201"/>
      <c r="BOL685" s="201"/>
      <c r="BOM685" s="201"/>
      <c r="BON685" s="201"/>
      <c r="BOO685" s="201"/>
      <c r="BOP685" s="201"/>
      <c r="BOQ685" s="201"/>
      <c r="BOR685" s="201"/>
      <c r="BOS685" s="201"/>
      <c r="BOT685" s="201"/>
      <c r="BOU685" s="201"/>
      <c r="BOV685" s="201"/>
      <c r="BOW685" s="201"/>
      <c r="BOX685" s="201"/>
      <c r="BOY685" s="201"/>
      <c r="BOZ685" s="201"/>
      <c r="BPA685" s="201"/>
      <c r="BPB685" s="201"/>
      <c r="BPC685" s="201"/>
      <c r="BPD685" s="201"/>
      <c r="BPE685" s="201"/>
      <c r="BPF685" s="201"/>
      <c r="BPG685" s="201"/>
      <c r="BPH685" s="201"/>
      <c r="BPI685" s="201"/>
      <c r="BPJ685" s="201"/>
      <c r="BPK685" s="201"/>
      <c r="BPL685" s="201"/>
      <c r="BPM685" s="201"/>
      <c r="BPN685" s="201"/>
      <c r="BPO685" s="201"/>
      <c r="BPP685" s="201"/>
      <c r="BPQ685" s="201"/>
      <c r="BPR685" s="201"/>
      <c r="BPS685" s="201"/>
      <c r="BPT685" s="201"/>
      <c r="BPU685" s="201"/>
      <c r="BPV685" s="201"/>
      <c r="BPW685" s="201"/>
      <c r="BPX685" s="201"/>
      <c r="BPY685" s="201"/>
      <c r="BPZ685" s="201"/>
      <c r="BQA685" s="201"/>
      <c r="BQB685" s="201"/>
      <c r="BQC685" s="201"/>
      <c r="BQD685" s="201"/>
      <c r="BQE685" s="201"/>
      <c r="BQF685" s="201"/>
      <c r="BQG685" s="201"/>
      <c r="BQH685" s="201"/>
      <c r="BQI685" s="201"/>
      <c r="BQJ685" s="201"/>
      <c r="BQK685" s="201"/>
      <c r="BQL685" s="201"/>
      <c r="BQM685" s="201"/>
      <c r="BQN685" s="201"/>
      <c r="BQO685" s="201"/>
      <c r="BQP685" s="201"/>
      <c r="BQQ685" s="201"/>
      <c r="BQR685" s="201"/>
      <c r="BQS685" s="201"/>
      <c r="BQT685" s="201"/>
      <c r="BQU685" s="201"/>
      <c r="BQV685" s="201"/>
      <c r="BQW685" s="201"/>
      <c r="BQX685" s="201"/>
      <c r="BQY685" s="201"/>
      <c r="BQZ685" s="201"/>
      <c r="BRA685" s="201"/>
      <c r="BRB685" s="201"/>
      <c r="BRC685" s="201"/>
      <c r="BRD685" s="201"/>
      <c r="BRE685" s="201"/>
      <c r="BRF685" s="201"/>
      <c r="BRG685" s="201"/>
      <c r="BRH685" s="201"/>
      <c r="BRI685" s="201"/>
      <c r="BRJ685" s="201"/>
      <c r="BRK685" s="201"/>
      <c r="BRL685" s="201"/>
      <c r="BRM685" s="201"/>
      <c r="BRN685" s="201"/>
      <c r="BRO685" s="201"/>
      <c r="BRP685" s="201"/>
      <c r="BRQ685" s="201"/>
      <c r="BRR685" s="201"/>
      <c r="BRS685" s="201"/>
      <c r="BRT685" s="201"/>
      <c r="BRU685" s="201"/>
      <c r="BRV685" s="201"/>
      <c r="BRW685" s="201"/>
      <c r="BRX685" s="201"/>
      <c r="BRY685" s="201"/>
      <c r="BRZ685" s="201"/>
      <c r="BSA685" s="201"/>
      <c r="BSB685" s="201"/>
      <c r="BSC685" s="201"/>
      <c r="BSD685" s="201"/>
      <c r="BSE685" s="201"/>
      <c r="BSF685" s="201"/>
      <c r="BSG685" s="201"/>
      <c r="BSH685" s="201"/>
      <c r="BSI685" s="201"/>
      <c r="BSJ685" s="201"/>
      <c r="BSK685" s="201"/>
      <c r="BSL685" s="201"/>
      <c r="BSM685" s="201"/>
      <c r="BSN685" s="201"/>
      <c r="BSO685" s="201"/>
      <c r="BSP685" s="201"/>
      <c r="BSQ685" s="201"/>
      <c r="BSR685" s="201"/>
      <c r="BSS685" s="201"/>
      <c r="BST685" s="201"/>
      <c r="BSU685" s="201"/>
      <c r="BSV685" s="201"/>
      <c r="BSW685" s="201"/>
      <c r="BSX685" s="201"/>
      <c r="BSY685" s="201"/>
      <c r="BSZ685" s="201"/>
      <c r="BTA685" s="201"/>
      <c r="BTB685" s="201"/>
      <c r="BTC685" s="201"/>
      <c r="BTD685" s="201"/>
      <c r="BTE685" s="201"/>
      <c r="BTF685" s="201"/>
      <c r="BTG685" s="201"/>
      <c r="BTH685" s="201"/>
      <c r="BTI685" s="201"/>
      <c r="BTJ685" s="201"/>
      <c r="BTK685" s="201"/>
      <c r="BTL685" s="201"/>
      <c r="BTM685" s="201"/>
      <c r="BTN685" s="201"/>
      <c r="BTO685" s="201"/>
      <c r="BTP685" s="201"/>
      <c r="BTQ685" s="201"/>
      <c r="BTR685" s="201"/>
      <c r="BTS685" s="201"/>
      <c r="BTT685" s="201"/>
      <c r="BTU685" s="201"/>
      <c r="BTV685" s="201"/>
      <c r="BTW685" s="201"/>
      <c r="BTX685" s="201"/>
      <c r="BTY685" s="201"/>
      <c r="BTZ685" s="201"/>
      <c r="BUA685" s="201"/>
      <c r="BUB685" s="201"/>
      <c r="BUC685" s="201"/>
      <c r="BUD685" s="201"/>
      <c r="BUE685" s="201"/>
      <c r="BUF685" s="201"/>
      <c r="BUG685" s="201"/>
      <c r="BUH685" s="201"/>
      <c r="BUI685" s="201"/>
      <c r="BUJ685" s="201"/>
      <c r="BUK685" s="201"/>
      <c r="BUL685" s="201"/>
      <c r="BUM685" s="201"/>
      <c r="BUN685" s="201"/>
      <c r="BUO685" s="201"/>
      <c r="BUP685" s="201"/>
      <c r="BUQ685" s="201"/>
      <c r="BUR685" s="201"/>
      <c r="BUS685" s="201"/>
      <c r="BUT685" s="201"/>
      <c r="BUU685" s="201"/>
      <c r="BUV685" s="201"/>
      <c r="BUW685" s="201"/>
      <c r="BUX685" s="201"/>
      <c r="BUY685" s="201"/>
      <c r="BUZ685" s="201"/>
      <c r="BVA685" s="201"/>
      <c r="BVB685" s="201"/>
      <c r="BVC685" s="201"/>
      <c r="BVD685" s="201"/>
      <c r="BVE685" s="201"/>
      <c r="BVF685" s="201"/>
      <c r="BVG685" s="201"/>
      <c r="BVH685" s="201"/>
      <c r="BVI685" s="201"/>
      <c r="BVJ685" s="201"/>
      <c r="BVK685" s="201"/>
      <c r="BVL685" s="201"/>
      <c r="BVM685" s="201"/>
      <c r="BVN685" s="201"/>
      <c r="BVO685" s="201"/>
      <c r="BVP685" s="201"/>
      <c r="BVQ685" s="201"/>
      <c r="BVR685" s="201"/>
      <c r="BVS685" s="201"/>
      <c r="BVT685" s="201"/>
      <c r="BVU685" s="201"/>
      <c r="BVV685" s="201"/>
      <c r="BVW685" s="201"/>
      <c r="BVX685" s="201"/>
      <c r="BVY685" s="201"/>
      <c r="BVZ685" s="201"/>
      <c r="BWA685" s="201"/>
      <c r="BWB685" s="201"/>
      <c r="BWC685" s="201"/>
      <c r="BWD685" s="201"/>
      <c r="BWE685" s="201"/>
      <c r="BWF685" s="201"/>
      <c r="BWG685" s="201"/>
      <c r="BWH685" s="201"/>
      <c r="BWI685" s="201"/>
      <c r="BWJ685" s="201"/>
      <c r="BWK685" s="201"/>
      <c r="BWL685" s="201"/>
      <c r="BWM685" s="201"/>
      <c r="BWN685" s="201"/>
      <c r="BWO685" s="201"/>
      <c r="BWP685" s="201"/>
      <c r="BWQ685" s="201"/>
      <c r="BWR685" s="201"/>
      <c r="BWS685" s="201"/>
      <c r="BWT685" s="201"/>
      <c r="BWU685" s="201"/>
      <c r="BWV685" s="201"/>
      <c r="BWW685" s="201"/>
      <c r="BWX685" s="201"/>
      <c r="BWY685" s="201"/>
      <c r="BWZ685" s="201"/>
      <c r="BXA685" s="201"/>
      <c r="BXB685" s="201"/>
      <c r="BXC685" s="201"/>
      <c r="BXD685" s="201"/>
      <c r="BXE685" s="201"/>
      <c r="BXF685" s="201"/>
      <c r="BXG685" s="201"/>
      <c r="BXH685" s="201"/>
      <c r="BXI685" s="201"/>
      <c r="BXJ685" s="201"/>
      <c r="BXK685" s="201"/>
      <c r="BXL685" s="201"/>
      <c r="BXM685" s="201"/>
      <c r="BXN685" s="201"/>
      <c r="BXO685" s="201"/>
      <c r="BXP685" s="201"/>
      <c r="BXQ685" s="201"/>
      <c r="BXR685" s="201"/>
      <c r="BXS685" s="201"/>
      <c r="BXT685" s="201"/>
      <c r="BXU685" s="201"/>
      <c r="BXV685" s="201"/>
      <c r="BXW685" s="201"/>
      <c r="BXX685" s="201"/>
      <c r="BXY685" s="201"/>
      <c r="BXZ685" s="201"/>
      <c r="BYA685" s="201"/>
      <c r="BYB685" s="201"/>
      <c r="BYC685" s="201"/>
      <c r="BYD685" s="201"/>
      <c r="BYE685" s="201"/>
      <c r="BYF685" s="201"/>
      <c r="BYG685" s="201"/>
      <c r="BYH685" s="201"/>
      <c r="BYI685" s="201"/>
      <c r="BYJ685" s="201"/>
      <c r="BYK685" s="201"/>
      <c r="BYL685" s="201"/>
      <c r="BYM685" s="201"/>
      <c r="BYN685" s="201"/>
      <c r="BYO685" s="201"/>
      <c r="BYP685" s="201"/>
      <c r="BYQ685" s="201"/>
      <c r="BYR685" s="201"/>
      <c r="BYS685" s="201"/>
      <c r="BYT685" s="201"/>
      <c r="BYU685" s="201"/>
      <c r="BYV685" s="201"/>
      <c r="BYW685" s="201"/>
      <c r="BYX685" s="201"/>
      <c r="BYY685" s="201"/>
      <c r="BYZ685" s="201"/>
      <c r="BZA685" s="201"/>
      <c r="BZB685" s="201"/>
      <c r="BZC685" s="201"/>
      <c r="BZD685" s="201"/>
      <c r="BZE685" s="201"/>
      <c r="BZF685" s="201"/>
      <c r="BZG685" s="201"/>
      <c r="BZH685" s="201"/>
      <c r="BZI685" s="201"/>
      <c r="BZJ685" s="201"/>
      <c r="BZK685" s="201"/>
      <c r="BZL685" s="201"/>
      <c r="BZM685" s="201"/>
      <c r="BZN685" s="201"/>
      <c r="BZO685" s="201"/>
      <c r="BZP685" s="201"/>
      <c r="BZQ685" s="201"/>
      <c r="BZR685" s="201"/>
      <c r="BZS685" s="201"/>
      <c r="BZT685" s="201"/>
      <c r="BZU685" s="201"/>
      <c r="BZV685" s="201"/>
      <c r="BZW685" s="201"/>
      <c r="BZX685" s="201"/>
      <c r="BZY685" s="201"/>
      <c r="BZZ685" s="201"/>
      <c r="CAA685" s="201"/>
      <c r="CAB685" s="201"/>
      <c r="CAC685" s="201"/>
      <c r="CAD685" s="201"/>
      <c r="CAE685" s="201"/>
      <c r="CAF685" s="201"/>
      <c r="CAG685" s="201"/>
      <c r="CAH685" s="201"/>
      <c r="CAI685" s="201"/>
      <c r="CAJ685" s="201"/>
      <c r="CAK685" s="201"/>
      <c r="CAL685" s="201"/>
      <c r="CAM685" s="201"/>
      <c r="CAN685" s="201"/>
      <c r="CAO685" s="201"/>
      <c r="CAP685" s="201"/>
      <c r="CAQ685" s="201"/>
      <c r="CAR685" s="201"/>
      <c r="CAS685" s="201"/>
      <c r="CAT685" s="201"/>
      <c r="CAU685" s="201"/>
      <c r="CAV685" s="201"/>
      <c r="CAW685" s="201"/>
      <c r="CAX685" s="201"/>
      <c r="CAY685" s="201"/>
      <c r="CAZ685" s="201"/>
      <c r="CBA685" s="201"/>
      <c r="CBB685" s="201"/>
      <c r="CBC685" s="201"/>
      <c r="CBD685" s="201"/>
      <c r="CBE685" s="201"/>
      <c r="CBF685" s="201"/>
      <c r="CBG685" s="201"/>
      <c r="CBH685" s="201"/>
      <c r="CBI685" s="201"/>
      <c r="CBJ685" s="201"/>
      <c r="CBK685" s="201"/>
      <c r="CBL685" s="201"/>
      <c r="CBM685" s="201"/>
      <c r="CBN685" s="201"/>
      <c r="CBO685" s="201"/>
      <c r="CBP685" s="201"/>
      <c r="CBQ685" s="201"/>
      <c r="CBR685" s="201"/>
      <c r="CBS685" s="201"/>
      <c r="CBT685" s="201"/>
      <c r="CBU685" s="201"/>
      <c r="CBV685" s="201"/>
      <c r="CBW685" s="201"/>
      <c r="CBX685" s="201"/>
      <c r="CBY685" s="201"/>
      <c r="CBZ685" s="201"/>
      <c r="CCA685" s="201"/>
      <c r="CCB685" s="201"/>
      <c r="CCC685" s="201"/>
      <c r="CCD685" s="201"/>
      <c r="CCE685" s="201"/>
      <c r="CCF685" s="201"/>
      <c r="CCG685" s="201"/>
      <c r="CCH685" s="201"/>
      <c r="CCI685" s="201"/>
      <c r="CCJ685" s="201"/>
      <c r="CCK685" s="201"/>
      <c r="CCL685" s="201"/>
      <c r="CCM685" s="201"/>
      <c r="CCN685" s="201"/>
      <c r="CCO685" s="201"/>
      <c r="CCP685" s="201"/>
      <c r="CCQ685" s="201"/>
      <c r="CCR685" s="201"/>
      <c r="CCS685" s="201"/>
      <c r="CCT685" s="201"/>
      <c r="CCU685" s="201"/>
      <c r="CCV685" s="201"/>
      <c r="CCW685" s="201"/>
      <c r="CCX685" s="201"/>
      <c r="CCY685" s="201"/>
      <c r="CCZ685" s="201"/>
      <c r="CDA685" s="201"/>
      <c r="CDB685" s="201"/>
      <c r="CDC685" s="201"/>
      <c r="CDD685" s="201"/>
      <c r="CDE685" s="201"/>
      <c r="CDF685" s="201"/>
      <c r="CDG685" s="201"/>
      <c r="CDH685" s="201"/>
      <c r="CDI685" s="201"/>
      <c r="CDJ685" s="201"/>
      <c r="CDK685" s="201"/>
      <c r="CDL685" s="201"/>
      <c r="CDM685" s="201"/>
      <c r="CDN685" s="201"/>
      <c r="CDO685" s="201"/>
      <c r="CDP685" s="201"/>
      <c r="CDQ685" s="201"/>
      <c r="CDR685" s="201"/>
      <c r="CDS685" s="201"/>
      <c r="CDT685" s="201"/>
      <c r="CDU685" s="201"/>
      <c r="CDV685" s="201"/>
      <c r="CDW685" s="201"/>
      <c r="CDX685" s="201"/>
      <c r="CDY685" s="201"/>
      <c r="CDZ685" s="201"/>
      <c r="CEA685" s="201"/>
      <c r="CEB685" s="201"/>
      <c r="CEC685" s="201"/>
      <c r="CED685" s="201"/>
      <c r="CEE685" s="201"/>
      <c r="CEF685" s="201"/>
      <c r="CEG685" s="201"/>
      <c r="CEH685" s="201"/>
      <c r="CEI685" s="201"/>
      <c r="CEJ685" s="201"/>
      <c r="CEK685" s="201"/>
      <c r="CEL685" s="201"/>
      <c r="CEM685" s="201"/>
      <c r="CEN685" s="201"/>
      <c r="CEO685" s="201"/>
      <c r="CEP685" s="201"/>
      <c r="CEQ685" s="201"/>
      <c r="CER685" s="201"/>
      <c r="CES685" s="201"/>
      <c r="CET685" s="201"/>
      <c r="CEU685" s="201"/>
      <c r="CEV685" s="201"/>
      <c r="CEW685" s="201"/>
      <c r="CEX685" s="201"/>
      <c r="CEY685" s="201"/>
      <c r="CEZ685" s="201"/>
      <c r="CFA685" s="201"/>
      <c r="CFB685" s="201"/>
      <c r="CFC685" s="201"/>
      <c r="CFD685" s="201"/>
      <c r="CFE685" s="201"/>
      <c r="CFF685" s="201"/>
      <c r="CFG685" s="201"/>
      <c r="CFH685" s="201"/>
      <c r="CFI685" s="201"/>
      <c r="CFJ685" s="201"/>
      <c r="CFK685" s="201"/>
      <c r="CFL685" s="201"/>
      <c r="CFM685" s="201"/>
      <c r="CFN685" s="201"/>
      <c r="CFO685" s="201"/>
      <c r="CFP685" s="201"/>
      <c r="CFQ685" s="201"/>
      <c r="CFR685" s="201"/>
      <c r="CFS685" s="201"/>
      <c r="CFT685" s="201"/>
      <c r="CFU685" s="201"/>
      <c r="CFV685" s="201"/>
      <c r="CFW685" s="201"/>
      <c r="CFX685" s="201"/>
      <c r="CFY685" s="201"/>
      <c r="CFZ685" s="201"/>
      <c r="CGA685" s="201"/>
      <c r="CGB685" s="201"/>
      <c r="CGC685" s="201"/>
      <c r="CGD685" s="201"/>
      <c r="CGE685" s="201"/>
      <c r="CGF685" s="201"/>
      <c r="CGG685" s="201"/>
      <c r="CGH685" s="201"/>
      <c r="CGI685" s="201"/>
      <c r="CGJ685" s="201"/>
      <c r="CGK685" s="201"/>
      <c r="CGL685" s="201"/>
      <c r="CGM685" s="201"/>
      <c r="CGN685" s="201"/>
      <c r="CGO685" s="201"/>
      <c r="CGP685" s="201"/>
      <c r="CGQ685" s="201"/>
      <c r="CGR685" s="201"/>
      <c r="CGS685" s="201"/>
      <c r="CGT685" s="201"/>
      <c r="CGU685" s="201"/>
      <c r="CGV685" s="201"/>
      <c r="CGW685" s="201"/>
      <c r="CGX685" s="201"/>
      <c r="CGY685" s="201"/>
      <c r="CGZ685" s="201"/>
      <c r="CHA685" s="201"/>
      <c r="CHB685" s="201"/>
      <c r="CHC685" s="201"/>
      <c r="CHD685" s="201"/>
      <c r="CHE685" s="201"/>
      <c r="CHF685" s="201"/>
      <c r="CHG685" s="201"/>
      <c r="CHH685" s="201"/>
      <c r="CHI685" s="201"/>
      <c r="CHJ685" s="201"/>
      <c r="CHK685" s="201"/>
      <c r="CHL685" s="201"/>
      <c r="CHM685" s="201"/>
      <c r="CHN685" s="201"/>
      <c r="CHO685" s="201"/>
      <c r="CHP685" s="201"/>
      <c r="CHQ685" s="201"/>
      <c r="CHR685" s="201"/>
      <c r="CHS685" s="201"/>
      <c r="CHT685" s="201"/>
      <c r="CHU685" s="201"/>
      <c r="CHV685" s="201"/>
      <c r="CHW685" s="201"/>
      <c r="CHX685" s="201"/>
      <c r="CHY685" s="201"/>
      <c r="CHZ685" s="201"/>
      <c r="CIA685" s="201"/>
      <c r="CIB685" s="201"/>
      <c r="CIC685" s="201"/>
      <c r="CID685" s="201"/>
      <c r="CIE685" s="201"/>
      <c r="CIF685" s="201"/>
      <c r="CIG685" s="201"/>
      <c r="CIH685" s="201"/>
      <c r="CII685" s="201"/>
      <c r="CIJ685" s="201"/>
      <c r="CIK685" s="201"/>
      <c r="CIL685" s="201"/>
      <c r="CIM685" s="201"/>
      <c r="CIN685" s="201"/>
      <c r="CIO685" s="201"/>
      <c r="CIP685" s="201"/>
      <c r="CIQ685" s="201"/>
      <c r="CIR685" s="201"/>
      <c r="CIS685" s="201"/>
      <c r="CIT685" s="201"/>
      <c r="CIU685" s="201"/>
      <c r="CIV685" s="201"/>
      <c r="CIW685" s="201"/>
      <c r="CIX685" s="201"/>
      <c r="CIY685" s="201"/>
      <c r="CIZ685" s="201"/>
      <c r="CJA685" s="201"/>
      <c r="CJB685" s="201"/>
      <c r="CJC685" s="201"/>
      <c r="CJD685" s="201"/>
      <c r="CJE685" s="201"/>
      <c r="CJF685" s="201"/>
      <c r="CJG685" s="201"/>
      <c r="CJH685" s="201"/>
      <c r="CJI685" s="201"/>
      <c r="CJJ685" s="201"/>
      <c r="CJK685" s="201"/>
      <c r="CJL685" s="201"/>
      <c r="CJM685" s="201"/>
      <c r="CJN685" s="201"/>
      <c r="CJO685" s="201"/>
      <c r="CJP685" s="201"/>
      <c r="CJQ685" s="201"/>
      <c r="CJR685" s="201"/>
      <c r="CJS685" s="201"/>
      <c r="CJT685" s="201"/>
      <c r="CJU685" s="201"/>
      <c r="CJV685" s="201"/>
      <c r="CJW685" s="201"/>
      <c r="CJX685" s="201"/>
      <c r="CJY685" s="201"/>
      <c r="CJZ685" s="201"/>
      <c r="CKA685" s="201"/>
      <c r="CKB685" s="201"/>
      <c r="CKC685" s="201"/>
      <c r="CKD685" s="201"/>
      <c r="CKE685" s="201"/>
      <c r="CKF685" s="201"/>
      <c r="CKG685" s="201"/>
      <c r="CKH685" s="201"/>
      <c r="CKI685" s="201"/>
      <c r="CKJ685" s="201"/>
      <c r="CKK685" s="201"/>
      <c r="CKL685" s="201"/>
      <c r="CKM685" s="201"/>
      <c r="CKN685" s="201"/>
      <c r="CKO685" s="201"/>
      <c r="CKP685" s="201"/>
      <c r="CKQ685" s="201"/>
      <c r="CKR685" s="201"/>
      <c r="CKS685" s="201"/>
      <c r="CKT685" s="201"/>
      <c r="CKU685" s="201"/>
      <c r="CKV685" s="201"/>
      <c r="CKW685" s="201"/>
      <c r="CKX685" s="201"/>
      <c r="CKY685" s="201"/>
      <c r="CKZ685" s="201"/>
      <c r="CLA685" s="201"/>
      <c r="CLB685" s="201"/>
      <c r="CLC685" s="201"/>
      <c r="CLD685" s="201"/>
      <c r="CLE685" s="201"/>
      <c r="CLF685" s="201"/>
      <c r="CLG685" s="201"/>
      <c r="CLH685" s="201"/>
      <c r="CLI685" s="201"/>
      <c r="CLJ685" s="201"/>
      <c r="CLK685" s="201"/>
      <c r="CLL685" s="201"/>
      <c r="CLM685" s="201"/>
      <c r="CLN685" s="201"/>
      <c r="CLO685" s="201"/>
      <c r="CLP685" s="201"/>
      <c r="CLQ685" s="201"/>
      <c r="CLR685" s="201"/>
      <c r="CLS685" s="201"/>
      <c r="CLT685" s="201"/>
      <c r="CLU685" s="201"/>
      <c r="CLV685" s="201"/>
      <c r="CLW685" s="201"/>
      <c r="CLX685" s="201"/>
      <c r="CLY685" s="201"/>
      <c r="CLZ685" s="201"/>
      <c r="CMA685" s="201"/>
      <c r="CMB685" s="201"/>
      <c r="CMC685" s="201"/>
      <c r="CMD685" s="201"/>
      <c r="CME685" s="201"/>
      <c r="CMF685" s="201"/>
      <c r="CMG685" s="201"/>
      <c r="CMH685" s="201"/>
      <c r="CMI685" s="201"/>
      <c r="CMJ685" s="201"/>
      <c r="CMK685" s="201"/>
      <c r="CML685" s="201"/>
      <c r="CMM685" s="201"/>
      <c r="CMN685" s="201"/>
      <c r="CMO685" s="201"/>
      <c r="CMP685" s="201"/>
      <c r="CMQ685" s="201"/>
      <c r="CMR685" s="201"/>
      <c r="CMS685" s="201"/>
      <c r="CMT685" s="201"/>
      <c r="CMU685" s="201"/>
      <c r="CMV685" s="201"/>
      <c r="CMW685" s="201"/>
      <c r="CMX685" s="201"/>
      <c r="CMY685" s="201"/>
      <c r="CMZ685" s="201"/>
      <c r="CNA685" s="201"/>
      <c r="CNB685" s="201"/>
      <c r="CNC685" s="201"/>
      <c r="CND685" s="201"/>
      <c r="CNE685" s="201"/>
      <c r="CNF685" s="201"/>
      <c r="CNG685" s="201"/>
      <c r="CNH685" s="201"/>
      <c r="CNI685" s="201"/>
      <c r="CNJ685" s="201"/>
      <c r="CNK685" s="201"/>
      <c r="CNL685" s="201"/>
      <c r="CNM685" s="201"/>
      <c r="CNN685" s="201"/>
      <c r="CNO685" s="201"/>
      <c r="CNP685" s="201"/>
      <c r="CNQ685" s="201"/>
      <c r="CNR685" s="201"/>
      <c r="CNS685" s="201"/>
      <c r="CNT685" s="201"/>
      <c r="CNU685" s="201"/>
      <c r="CNV685" s="201"/>
      <c r="CNW685" s="201"/>
      <c r="CNX685" s="201"/>
      <c r="CNY685" s="201"/>
      <c r="CNZ685" s="201"/>
      <c r="COA685" s="201"/>
      <c r="COB685" s="201"/>
      <c r="COC685" s="201"/>
      <c r="COD685" s="201"/>
      <c r="COE685" s="201"/>
      <c r="COF685" s="201"/>
      <c r="COG685" s="201"/>
      <c r="COH685" s="201"/>
      <c r="COI685" s="201"/>
      <c r="COJ685" s="201"/>
      <c r="COK685" s="201"/>
      <c r="COL685" s="201"/>
      <c r="COM685" s="201"/>
      <c r="CON685" s="201"/>
      <c r="COO685" s="201"/>
      <c r="COP685" s="201"/>
      <c r="COQ685" s="201"/>
      <c r="COR685" s="201"/>
      <c r="COS685" s="201"/>
      <c r="COT685" s="201"/>
      <c r="COU685" s="201"/>
      <c r="COV685" s="201"/>
      <c r="COW685" s="201"/>
      <c r="COX685" s="201"/>
      <c r="COY685" s="201"/>
      <c r="COZ685" s="201"/>
      <c r="CPA685" s="201"/>
      <c r="CPB685" s="201"/>
      <c r="CPC685" s="201"/>
      <c r="CPD685" s="201"/>
      <c r="CPE685" s="201"/>
      <c r="CPF685" s="201"/>
      <c r="CPG685" s="201"/>
      <c r="CPH685" s="201"/>
      <c r="CPI685" s="201"/>
      <c r="CPJ685" s="201"/>
      <c r="CPK685" s="201"/>
      <c r="CPL685" s="201"/>
      <c r="CPM685" s="201"/>
      <c r="CPN685" s="201"/>
      <c r="CPO685" s="201"/>
      <c r="CPP685" s="201"/>
      <c r="CPQ685" s="201"/>
      <c r="CPR685" s="201"/>
      <c r="CPS685" s="201"/>
      <c r="CPT685" s="201"/>
      <c r="CPU685" s="201"/>
      <c r="CPV685" s="201"/>
      <c r="CPW685" s="201"/>
      <c r="CPX685" s="201"/>
      <c r="CPY685" s="201"/>
      <c r="CPZ685" s="201"/>
      <c r="CQA685" s="201"/>
      <c r="CQB685" s="201"/>
      <c r="CQC685" s="201"/>
      <c r="CQD685" s="201"/>
      <c r="CQE685" s="201"/>
      <c r="CQF685" s="201"/>
      <c r="CQG685" s="201"/>
      <c r="CQH685" s="201"/>
      <c r="CQI685" s="201"/>
      <c r="CQJ685" s="201"/>
      <c r="CQK685" s="201"/>
      <c r="CQL685" s="201"/>
      <c r="CQM685" s="201"/>
      <c r="CQN685" s="201"/>
      <c r="CQO685" s="201"/>
      <c r="CQP685" s="201"/>
      <c r="CQQ685" s="201"/>
      <c r="CQR685" s="201"/>
      <c r="CQS685" s="201"/>
      <c r="CQT685" s="201"/>
      <c r="CQU685" s="201"/>
      <c r="CQV685" s="201"/>
      <c r="CQW685" s="201"/>
      <c r="CQX685" s="201"/>
      <c r="CQY685" s="201"/>
      <c r="CQZ685" s="201"/>
      <c r="CRA685" s="201"/>
      <c r="CRB685" s="201"/>
      <c r="CRC685" s="201"/>
      <c r="CRD685" s="201"/>
      <c r="CRE685" s="201"/>
      <c r="CRF685" s="201"/>
      <c r="CRG685" s="201"/>
      <c r="CRH685" s="201"/>
      <c r="CRI685" s="201"/>
      <c r="CRJ685" s="201"/>
      <c r="CRK685" s="201"/>
      <c r="CRL685" s="201"/>
      <c r="CRM685" s="201"/>
      <c r="CRN685" s="201"/>
      <c r="CRO685" s="201"/>
      <c r="CRP685" s="201"/>
      <c r="CRQ685" s="201"/>
      <c r="CRR685" s="201"/>
      <c r="CRS685" s="201"/>
      <c r="CRT685" s="201"/>
      <c r="CRU685" s="201"/>
      <c r="CRV685" s="201"/>
      <c r="CRW685" s="201"/>
      <c r="CRX685" s="201"/>
      <c r="CRY685" s="201"/>
      <c r="CRZ685" s="201"/>
      <c r="CSA685" s="201"/>
      <c r="CSB685" s="201"/>
      <c r="CSC685" s="201"/>
      <c r="CSD685" s="201"/>
      <c r="CSE685" s="201"/>
      <c r="CSF685" s="201"/>
      <c r="CSG685" s="201"/>
      <c r="CSH685" s="201"/>
      <c r="CSI685" s="201"/>
      <c r="CSJ685" s="201"/>
      <c r="CSK685" s="201"/>
      <c r="CSL685" s="201"/>
      <c r="CSM685" s="201"/>
      <c r="CSN685" s="201"/>
      <c r="CSO685" s="201"/>
      <c r="CSP685" s="201"/>
      <c r="CSQ685" s="201"/>
      <c r="CSR685" s="201"/>
      <c r="CSS685" s="201"/>
      <c r="CST685" s="201"/>
      <c r="CSU685" s="201"/>
      <c r="CSV685" s="201"/>
      <c r="CSW685" s="201"/>
      <c r="CSX685" s="201"/>
      <c r="CSY685" s="201"/>
      <c r="CSZ685" s="201"/>
      <c r="CTA685" s="201"/>
      <c r="CTB685" s="201"/>
      <c r="CTC685" s="201"/>
      <c r="CTD685" s="201"/>
      <c r="CTE685" s="201"/>
      <c r="CTF685" s="201"/>
      <c r="CTG685" s="201"/>
      <c r="CTH685" s="201"/>
      <c r="CTI685" s="201"/>
      <c r="CTJ685" s="201"/>
      <c r="CTK685" s="201"/>
      <c r="CTL685" s="201"/>
      <c r="CTM685" s="201"/>
      <c r="CTN685" s="201"/>
      <c r="CTO685" s="201"/>
      <c r="CTP685" s="201"/>
      <c r="CTQ685" s="201"/>
      <c r="CTR685" s="201"/>
      <c r="CTS685" s="201"/>
      <c r="CTT685" s="201"/>
      <c r="CTU685" s="201"/>
      <c r="CTV685" s="201"/>
      <c r="CTW685" s="201"/>
      <c r="CTX685" s="201"/>
      <c r="CTY685" s="201"/>
      <c r="CTZ685" s="201"/>
      <c r="CUA685" s="201"/>
      <c r="CUB685" s="201"/>
      <c r="CUC685" s="201"/>
      <c r="CUD685" s="201"/>
      <c r="CUE685" s="201"/>
      <c r="CUF685" s="201"/>
      <c r="CUG685" s="201"/>
      <c r="CUH685" s="201"/>
      <c r="CUI685" s="201"/>
      <c r="CUJ685" s="201"/>
      <c r="CUK685" s="201"/>
      <c r="CUL685" s="201"/>
      <c r="CUM685" s="201"/>
      <c r="CUN685" s="201"/>
      <c r="CUO685" s="201"/>
      <c r="CUP685" s="201"/>
      <c r="CUQ685" s="201"/>
      <c r="CUR685" s="201"/>
      <c r="CUS685" s="201"/>
      <c r="CUT685" s="201"/>
      <c r="CUU685" s="201"/>
      <c r="CUV685" s="201"/>
      <c r="CUW685" s="201"/>
      <c r="CUX685" s="201"/>
      <c r="CUY685" s="201"/>
      <c r="CUZ685" s="201"/>
      <c r="CVA685" s="201"/>
      <c r="CVB685" s="201"/>
      <c r="CVC685" s="201"/>
      <c r="CVD685" s="201"/>
      <c r="CVE685" s="201"/>
      <c r="CVF685" s="201"/>
      <c r="CVG685" s="201"/>
      <c r="CVH685" s="201"/>
      <c r="CVI685" s="201"/>
      <c r="CVJ685" s="201"/>
      <c r="CVK685" s="201"/>
      <c r="CVL685" s="201"/>
      <c r="CVM685" s="201"/>
      <c r="CVN685" s="201"/>
      <c r="CVO685" s="201"/>
      <c r="CVP685" s="201"/>
      <c r="CVQ685" s="201"/>
      <c r="CVR685" s="201"/>
      <c r="CVS685" s="201"/>
      <c r="CVT685" s="201"/>
      <c r="CVU685" s="201"/>
      <c r="CVV685" s="201"/>
      <c r="CVW685" s="201"/>
      <c r="CVX685" s="201"/>
      <c r="CVY685" s="201"/>
      <c r="CVZ685" s="201"/>
      <c r="CWA685" s="201"/>
      <c r="CWB685" s="201"/>
      <c r="CWC685" s="201"/>
      <c r="CWD685" s="201"/>
      <c r="CWE685" s="201"/>
      <c r="CWF685" s="201"/>
      <c r="CWG685" s="201"/>
      <c r="CWH685" s="201"/>
      <c r="CWI685" s="201"/>
      <c r="CWJ685" s="201"/>
      <c r="CWK685" s="201"/>
      <c r="CWL685" s="201"/>
      <c r="CWM685" s="201"/>
      <c r="CWN685" s="201"/>
      <c r="CWO685" s="201"/>
      <c r="CWP685" s="201"/>
      <c r="CWQ685" s="201"/>
      <c r="CWR685" s="201"/>
      <c r="CWS685" s="201"/>
      <c r="CWT685" s="201"/>
      <c r="CWU685" s="201"/>
      <c r="CWV685" s="201"/>
      <c r="CWW685" s="201"/>
      <c r="CWX685" s="201"/>
      <c r="CWY685" s="201"/>
      <c r="CWZ685" s="201"/>
      <c r="CXA685" s="201"/>
      <c r="CXB685" s="201"/>
      <c r="CXC685" s="201"/>
      <c r="CXD685" s="201"/>
      <c r="CXE685" s="201"/>
      <c r="CXF685" s="201"/>
      <c r="CXG685" s="201"/>
      <c r="CXH685" s="201"/>
      <c r="CXI685" s="201"/>
      <c r="CXJ685" s="201"/>
      <c r="CXK685" s="201"/>
      <c r="CXL685" s="201"/>
      <c r="CXM685" s="201"/>
      <c r="CXN685" s="201"/>
      <c r="CXO685" s="201"/>
      <c r="CXP685" s="201"/>
      <c r="CXQ685" s="201"/>
      <c r="CXR685" s="201"/>
      <c r="CXS685" s="201"/>
      <c r="CXT685" s="201"/>
      <c r="CXU685" s="201"/>
      <c r="CXV685" s="201"/>
      <c r="CXW685" s="201"/>
      <c r="CXX685" s="201"/>
      <c r="CXY685" s="201"/>
      <c r="CXZ685" s="201"/>
      <c r="CYA685" s="201"/>
      <c r="CYB685" s="201"/>
      <c r="CYC685" s="201"/>
      <c r="CYD685" s="201"/>
      <c r="CYE685" s="201"/>
      <c r="CYF685" s="201"/>
      <c r="CYG685" s="201"/>
      <c r="CYH685" s="201"/>
      <c r="CYI685" s="201"/>
      <c r="CYJ685" s="201"/>
      <c r="CYK685" s="201"/>
      <c r="CYL685" s="201"/>
      <c r="CYM685" s="201"/>
      <c r="CYN685" s="201"/>
      <c r="CYO685" s="201"/>
      <c r="CYP685" s="201"/>
      <c r="CYQ685" s="201"/>
      <c r="CYR685" s="201"/>
      <c r="CYS685" s="201"/>
      <c r="CYT685" s="201"/>
      <c r="CYU685" s="201"/>
      <c r="CYV685" s="201"/>
      <c r="CYW685" s="201"/>
      <c r="CYX685" s="201"/>
      <c r="CYY685" s="201"/>
      <c r="CYZ685" s="201"/>
      <c r="CZA685" s="201"/>
      <c r="CZB685" s="201"/>
      <c r="CZC685" s="201"/>
      <c r="CZD685" s="201"/>
      <c r="CZE685" s="201"/>
      <c r="CZF685" s="201"/>
      <c r="CZG685" s="201"/>
      <c r="CZH685" s="201"/>
      <c r="CZI685" s="201"/>
      <c r="CZJ685" s="201"/>
      <c r="CZK685" s="201"/>
      <c r="CZL685" s="201"/>
      <c r="CZM685" s="201"/>
      <c r="CZN685" s="201"/>
      <c r="CZO685" s="201"/>
      <c r="CZP685" s="201"/>
      <c r="CZQ685" s="201"/>
      <c r="CZR685" s="201"/>
      <c r="CZS685" s="201"/>
      <c r="CZT685" s="201"/>
      <c r="CZU685" s="201"/>
      <c r="CZV685" s="201"/>
      <c r="CZW685" s="201"/>
      <c r="CZX685" s="201"/>
      <c r="CZY685" s="201"/>
      <c r="CZZ685" s="201"/>
      <c r="DAA685" s="201"/>
      <c r="DAB685" s="201"/>
      <c r="DAC685" s="201"/>
      <c r="DAD685" s="201"/>
      <c r="DAE685" s="201"/>
      <c r="DAF685" s="201"/>
      <c r="DAG685" s="201"/>
      <c r="DAH685" s="201"/>
      <c r="DAI685" s="201"/>
      <c r="DAJ685" s="201"/>
      <c r="DAK685" s="201"/>
      <c r="DAL685" s="201"/>
      <c r="DAM685" s="201"/>
      <c r="DAN685" s="201"/>
      <c r="DAO685" s="201"/>
      <c r="DAP685" s="201"/>
      <c r="DAQ685" s="201"/>
      <c r="DAR685" s="201"/>
      <c r="DAS685" s="201"/>
      <c r="DAT685" s="201"/>
      <c r="DAU685" s="201"/>
      <c r="DAV685" s="201"/>
      <c r="DAW685" s="201"/>
      <c r="DAX685" s="201"/>
      <c r="DAY685" s="201"/>
      <c r="DAZ685" s="201"/>
      <c r="DBA685" s="201"/>
      <c r="DBB685" s="201"/>
      <c r="DBC685" s="201"/>
      <c r="DBD685" s="201"/>
      <c r="DBE685" s="201"/>
      <c r="DBF685" s="201"/>
      <c r="DBG685" s="201"/>
      <c r="DBH685" s="201"/>
      <c r="DBI685" s="201"/>
      <c r="DBJ685" s="201"/>
      <c r="DBK685" s="201"/>
      <c r="DBL685" s="201"/>
      <c r="DBM685" s="201"/>
      <c r="DBN685" s="201"/>
      <c r="DBO685" s="201"/>
      <c r="DBP685" s="201"/>
      <c r="DBQ685" s="201"/>
      <c r="DBR685" s="201"/>
      <c r="DBS685" s="201"/>
      <c r="DBT685" s="201"/>
      <c r="DBU685" s="201"/>
      <c r="DBV685" s="201"/>
      <c r="DBW685" s="201"/>
      <c r="DBX685" s="201"/>
      <c r="DBY685" s="201"/>
      <c r="DBZ685" s="201"/>
      <c r="DCA685" s="201"/>
      <c r="DCB685" s="201"/>
      <c r="DCC685" s="201"/>
      <c r="DCD685" s="201"/>
      <c r="DCE685" s="201"/>
      <c r="DCF685" s="201"/>
      <c r="DCG685" s="201"/>
      <c r="DCH685" s="201"/>
      <c r="DCI685" s="201"/>
      <c r="DCJ685" s="201"/>
      <c r="DCK685" s="201"/>
      <c r="DCL685" s="201"/>
      <c r="DCM685" s="201"/>
      <c r="DCN685" s="201"/>
      <c r="DCO685" s="201"/>
      <c r="DCP685" s="201"/>
      <c r="DCQ685" s="201"/>
      <c r="DCR685" s="201"/>
      <c r="DCS685" s="201"/>
      <c r="DCT685" s="201"/>
      <c r="DCU685" s="201"/>
      <c r="DCV685" s="201"/>
      <c r="DCW685" s="201"/>
      <c r="DCX685" s="201"/>
      <c r="DCY685" s="201"/>
      <c r="DCZ685" s="201"/>
      <c r="DDA685" s="201"/>
      <c r="DDB685" s="201"/>
      <c r="DDC685" s="201"/>
      <c r="DDD685" s="201"/>
      <c r="DDE685" s="201"/>
      <c r="DDF685" s="201"/>
      <c r="DDG685" s="201"/>
      <c r="DDH685" s="201"/>
      <c r="DDI685" s="201"/>
      <c r="DDJ685" s="201"/>
      <c r="DDK685" s="201"/>
      <c r="DDL685" s="201"/>
      <c r="DDM685" s="201"/>
      <c r="DDN685" s="201"/>
      <c r="DDO685" s="201"/>
      <c r="DDP685" s="201"/>
      <c r="DDQ685" s="201"/>
      <c r="DDR685" s="201"/>
      <c r="DDS685" s="201"/>
      <c r="DDT685" s="201"/>
      <c r="DDU685" s="201"/>
      <c r="DDV685" s="201"/>
      <c r="DDW685" s="201"/>
      <c r="DDX685" s="201"/>
      <c r="DDY685" s="201"/>
      <c r="DDZ685" s="201"/>
      <c r="DEA685" s="201"/>
      <c r="DEB685" s="201"/>
      <c r="DEC685" s="201"/>
      <c r="DED685" s="201"/>
      <c r="DEE685" s="201"/>
      <c r="DEF685" s="201"/>
      <c r="DEG685" s="201"/>
      <c r="DEH685" s="201"/>
      <c r="DEI685" s="201"/>
      <c r="DEJ685" s="201"/>
      <c r="DEK685" s="201"/>
      <c r="DEL685" s="201"/>
      <c r="DEM685" s="201"/>
      <c r="DEN685" s="201"/>
      <c r="DEO685" s="201"/>
      <c r="DEP685" s="201"/>
      <c r="DEQ685" s="201"/>
      <c r="DER685" s="201"/>
      <c r="DES685" s="201"/>
      <c r="DET685" s="201"/>
      <c r="DEU685" s="201"/>
      <c r="DEV685" s="201"/>
      <c r="DEW685" s="201"/>
      <c r="DEX685" s="201"/>
      <c r="DEY685" s="201"/>
      <c r="DEZ685" s="201"/>
      <c r="DFA685" s="201"/>
      <c r="DFB685" s="201"/>
      <c r="DFC685" s="201"/>
      <c r="DFD685" s="201"/>
      <c r="DFE685" s="201"/>
      <c r="DFF685" s="201"/>
      <c r="DFG685" s="201"/>
      <c r="DFH685" s="201"/>
      <c r="DFI685" s="201"/>
      <c r="DFJ685" s="201"/>
      <c r="DFK685" s="201"/>
      <c r="DFL685" s="201"/>
      <c r="DFM685" s="201"/>
      <c r="DFN685" s="201"/>
      <c r="DFO685" s="201"/>
      <c r="DFP685" s="201"/>
      <c r="DFQ685" s="201"/>
      <c r="DFR685" s="201"/>
      <c r="DFS685" s="201"/>
      <c r="DFT685" s="201"/>
      <c r="DFU685" s="201"/>
      <c r="DFV685" s="201"/>
      <c r="DFW685" s="201"/>
      <c r="DFX685" s="201"/>
      <c r="DFY685" s="201"/>
      <c r="DFZ685" s="201"/>
      <c r="DGA685" s="201"/>
      <c r="DGB685" s="201"/>
      <c r="DGC685" s="201"/>
      <c r="DGD685" s="201"/>
      <c r="DGE685" s="201"/>
      <c r="DGF685" s="201"/>
      <c r="DGG685" s="201"/>
      <c r="DGH685" s="201"/>
      <c r="DGI685" s="201"/>
      <c r="DGJ685" s="201"/>
      <c r="DGK685" s="201"/>
      <c r="DGL685" s="201"/>
      <c r="DGM685" s="201"/>
      <c r="DGN685" s="201"/>
      <c r="DGO685" s="201"/>
      <c r="DGP685" s="201"/>
      <c r="DGQ685" s="201"/>
      <c r="DGR685" s="201"/>
      <c r="DGS685" s="201"/>
      <c r="DGT685" s="201"/>
      <c r="DGU685" s="201"/>
      <c r="DGV685" s="201"/>
      <c r="DGW685" s="201"/>
      <c r="DGX685" s="201"/>
      <c r="DGY685" s="201"/>
      <c r="DGZ685" s="201"/>
      <c r="DHA685" s="201"/>
      <c r="DHB685" s="201"/>
      <c r="DHC685" s="201"/>
      <c r="DHD685" s="201"/>
      <c r="DHE685" s="201"/>
      <c r="DHF685" s="201"/>
      <c r="DHG685" s="201"/>
      <c r="DHH685" s="201"/>
      <c r="DHI685" s="201"/>
      <c r="DHJ685" s="201"/>
      <c r="DHK685" s="201"/>
      <c r="DHL685" s="201"/>
      <c r="DHM685" s="201"/>
      <c r="DHN685" s="201"/>
      <c r="DHO685" s="201"/>
      <c r="DHP685" s="201"/>
      <c r="DHQ685" s="201"/>
      <c r="DHR685" s="201"/>
      <c r="DHS685" s="201"/>
      <c r="DHT685" s="201"/>
      <c r="DHU685" s="201"/>
      <c r="DHV685" s="201"/>
      <c r="DHW685" s="201"/>
      <c r="DHX685" s="201"/>
      <c r="DHY685" s="201"/>
      <c r="DHZ685" s="201"/>
      <c r="DIA685" s="201"/>
      <c r="DIB685" s="201"/>
      <c r="DIC685" s="201"/>
      <c r="DID685" s="201"/>
      <c r="DIE685" s="201"/>
      <c r="DIF685" s="201"/>
      <c r="DIG685" s="201"/>
      <c r="DIH685" s="201"/>
      <c r="DII685" s="201"/>
      <c r="DIJ685" s="201"/>
      <c r="DIK685" s="201"/>
      <c r="DIL685" s="201"/>
      <c r="DIM685" s="201"/>
      <c r="DIN685" s="201"/>
      <c r="DIO685" s="201"/>
      <c r="DIP685" s="201"/>
      <c r="DIQ685" s="201"/>
      <c r="DIR685" s="201"/>
      <c r="DIS685" s="201"/>
      <c r="DIT685" s="201"/>
      <c r="DIU685" s="201"/>
      <c r="DIV685" s="201"/>
      <c r="DIW685" s="201"/>
      <c r="DIX685" s="201"/>
      <c r="DIY685" s="201"/>
      <c r="DIZ685" s="201"/>
      <c r="DJA685" s="201"/>
      <c r="DJB685" s="201"/>
      <c r="DJC685" s="201"/>
      <c r="DJD685" s="201"/>
      <c r="DJE685" s="201"/>
      <c r="DJF685" s="201"/>
      <c r="DJG685" s="201"/>
      <c r="DJH685" s="201"/>
      <c r="DJI685" s="201"/>
      <c r="DJJ685" s="201"/>
      <c r="DJK685" s="201"/>
      <c r="DJL685" s="201"/>
      <c r="DJM685" s="201"/>
      <c r="DJN685" s="201"/>
      <c r="DJO685" s="201"/>
      <c r="DJP685" s="201"/>
      <c r="DJQ685" s="201"/>
      <c r="DJR685" s="201"/>
      <c r="DJS685" s="201"/>
      <c r="DJT685" s="201"/>
      <c r="DJU685" s="201"/>
      <c r="DJV685" s="201"/>
      <c r="DJW685" s="201"/>
      <c r="DJX685" s="201"/>
      <c r="DJY685" s="201"/>
      <c r="DJZ685" s="201"/>
      <c r="DKA685" s="201"/>
      <c r="DKB685" s="201"/>
      <c r="DKC685" s="201"/>
      <c r="DKD685" s="201"/>
      <c r="DKE685" s="201"/>
      <c r="DKF685" s="201"/>
      <c r="DKG685" s="201"/>
      <c r="DKH685" s="201"/>
      <c r="DKI685" s="201"/>
      <c r="DKJ685" s="201"/>
      <c r="DKK685" s="201"/>
      <c r="DKL685" s="201"/>
      <c r="DKM685" s="201"/>
      <c r="DKN685" s="201"/>
      <c r="DKO685" s="201"/>
      <c r="DKP685" s="201"/>
      <c r="DKQ685" s="201"/>
      <c r="DKR685" s="201"/>
      <c r="DKS685" s="201"/>
      <c r="DKT685" s="201"/>
      <c r="DKU685" s="201"/>
      <c r="DKV685" s="201"/>
      <c r="DKW685" s="201"/>
      <c r="DKX685" s="201"/>
      <c r="DKY685" s="201"/>
      <c r="DKZ685" s="201"/>
      <c r="DLA685" s="201"/>
      <c r="DLB685" s="201"/>
      <c r="DLC685" s="201"/>
      <c r="DLD685" s="201"/>
      <c r="DLE685" s="201"/>
      <c r="DLF685" s="201"/>
      <c r="DLG685" s="201"/>
      <c r="DLH685" s="201"/>
      <c r="DLI685" s="201"/>
      <c r="DLJ685" s="201"/>
      <c r="DLK685" s="201"/>
      <c r="DLL685" s="201"/>
      <c r="DLM685" s="201"/>
      <c r="DLN685" s="201"/>
      <c r="DLO685" s="201"/>
      <c r="DLP685" s="201"/>
      <c r="DLQ685" s="201"/>
      <c r="DLR685" s="201"/>
      <c r="DLS685" s="201"/>
      <c r="DLT685" s="201"/>
      <c r="DLU685" s="201"/>
      <c r="DLV685" s="201"/>
      <c r="DLW685" s="201"/>
      <c r="DLX685" s="201"/>
      <c r="DLY685" s="201"/>
      <c r="DLZ685" s="201"/>
      <c r="DMA685" s="201"/>
      <c r="DMB685" s="201"/>
      <c r="DMC685" s="201"/>
      <c r="DMD685" s="201"/>
      <c r="DME685" s="201"/>
      <c r="DMF685" s="201"/>
      <c r="DMG685" s="201"/>
      <c r="DMH685" s="201"/>
      <c r="DMI685" s="201"/>
      <c r="DMJ685" s="201"/>
      <c r="DMK685" s="201"/>
      <c r="DML685" s="201"/>
      <c r="DMM685" s="201"/>
      <c r="DMN685" s="201"/>
      <c r="DMO685" s="201"/>
      <c r="DMP685" s="201"/>
      <c r="DMQ685" s="201"/>
      <c r="DMR685" s="201"/>
      <c r="DMS685" s="201"/>
      <c r="DMT685" s="201"/>
      <c r="DMU685" s="201"/>
      <c r="DMV685" s="201"/>
      <c r="DMW685" s="201"/>
      <c r="DMX685" s="201"/>
      <c r="DMY685" s="201"/>
      <c r="DMZ685" s="201"/>
      <c r="DNA685" s="201"/>
      <c r="DNB685" s="201"/>
      <c r="DNC685" s="201"/>
      <c r="DND685" s="201"/>
      <c r="DNE685" s="201"/>
      <c r="DNF685" s="201"/>
      <c r="DNG685" s="201"/>
      <c r="DNH685" s="201"/>
      <c r="DNI685" s="201"/>
      <c r="DNJ685" s="201"/>
      <c r="DNK685" s="201"/>
      <c r="DNL685" s="201"/>
      <c r="DNM685" s="201"/>
      <c r="DNN685" s="201"/>
      <c r="DNO685" s="201"/>
      <c r="DNP685" s="201"/>
      <c r="DNQ685" s="201"/>
      <c r="DNR685" s="201"/>
      <c r="DNS685" s="201"/>
      <c r="DNT685" s="201"/>
      <c r="DNU685" s="201"/>
      <c r="DNV685" s="201"/>
      <c r="DNW685" s="201"/>
      <c r="DNX685" s="201"/>
      <c r="DNY685" s="201"/>
      <c r="DNZ685" s="201"/>
      <c r="DOA685" s="201"/>
      <c r="DOB685" s="201"/>
      <c r="DOC685" s="201"/>
      <c r="DOD685" s="201"/>
      <c r="DOE685" s="201"/>
      <c r="DOF685" s="201"/>
      <c r="DOG685" s="201"/>
      <c r="DOH685" s="201"/>
      <c r="DOI685" s="201"/>
      <c r="DOJ685" s="201"/>
      <c r="DOK685" s="201"/>
      <c r="DOL685" s="201"/>
      <c r="DOM685" s="201"/>
      <c r="DON685" s="201"/>
      <c r="DOO685" s="201"/>
      <c r="DOP685" s="201"/>
      <c r="DOQ685" s="201"/>
      <c r="DOR685" s="201"/>
      <c r="DOS685" s="201"/>
      <c r="DOT685" s="201"/>
      <c r="DOU685" s="201"/>
      <c r="DOV685" s="201"/>
      <c r="DOW685" s="201"/>
      <c r="DOX685" s="201"/>
      <c r="DOY685" s="201"/>
      <c r="DOZ685" s="201"/>
      <c r="DPA685" s="201"/>
      <c r="DPB685" s="201"/>
      <c r="DPC685" s="201"/>
      <c r="DPD685" s="201"/>
      <c r="DPE685" s="201"/>
      <c r="DPF685" s="201"/>
      <c r="DPG685" s="201"/>
      <c r="DPH685" s="201"/>
      <c r="DPI685" s="201"/>
      <c r="DPJ685" s="201"/>
      <c r="DPK685" s="201"/>
      <c r="DPL685" s="201"/>
      <c r="DPM685" s="201"/>
      <c r="DPN685" s="201"/>
      <c r="DPO685" s="201"/>
      <c r="DPP685" s="201"/>
      <c r="DPQ685" s="201"/>
      <c r="DPR685" s="201"/>
      <c r="DPS685" s="201"/>
      <c r="DPT685" s="201"/>
      <c r="DPU685" s="201"/>
      <c r="DPV685" s="201"/>
      <c r="DPW685" s="201"/>
      <c r="DPX685" s="201"/>
      <c r="DPY685" s="201"/>
      <c r="DPZ685" s="201"/>
      <c r="DQA685" s="201"/>
      <c r="DQB685" s="201"/>
      <c r="DQC685" s="201"/>
      <c r="DQD685" s="201"/>
      <c r="DQE685" s="201"/>
      <c r="DQF685" s="201"/>
      <c r="DQG685" s="201"/>
      <c r="DQH685" s="201"/>
      <c r="DQI685" s="201"/>
      <c r="DQJ685" s="201"/>
      <c r="DQK685" s="201"/>
      <c r="DQL685" s="201"/>
      <c r="DQM685" s="201"/>
      <c r="DQN685" s="201"/>
      <c r="DQO685" s="201"/>
      <c r="DQP685" s="201"/>
      <c r="DQQ685" s="201"/>
      <c r="DQR685" s="201"/>
      <c r="DQS685" s="201"/>
      <c r="DQT685" s="201"/>
      <c r="DQU685" s="201"/>
      <c r="DQV685" s="201"/>
      <c r="DQW685" s="201"/>
      <c r="DQX685" s="201"/>
      <c r="DQY685" s="201"/>
      <c r="DQZ685" s="201"/>
      <c r="DRA685" s="201"/>
      <c r="DRB685" s="201"/>
      <c r="DRC685" s="201"/>
      <c r="DRD685" s="201"/>
      <c r="DRE685" s="201"/>
      <c r="DRF685" s="201"/>
      <c r="DRG685" s="201"/>
      <c r="DRH685" s="201"/>
      <c r="DRI685" s="201"/>
      <c r="DRJ685" s="201"/>
      <c r="DRK685" s="201"/>
      <c r="DRL685" s="201"/>
      <c r="DRM685" s="201"/>
      <c r="DRN685" s="201"/>
      <c r="DRO685" s="201"/>
      <c r="DRP685" s="201"/>
      <c r="DRQ685" s="201"/>
      <c r="DRR685" s="201"/>
      <c r="DRS685" s="201"/>
      <c r="DRT685" s="201"/>
      <c r="DRU685" s="201"/>
      <c r="DRV685" s="201"/>
      <c r="DRW685" s="201"/>
      <c r="DRX685" s="201"/>
      <c r="DRY685" s="201"/>
      <c r="DRZ685" s="201"/>
      <c r="DSA685" s="201"/>
      <c r="DSB685" s="201"/>
      <c r="DSC685" s="201"/>
      <c r="DSD685" s="201"/>
      <c r="DSE685" s="201"/>
      <c r="DSF685" s="201"/>
      <c r="DSG685" s="201"/>
      <c r="DSH685" s="201"/>
      <c r="DSI685" s="201"/>
      <c r="DSJ685" s="201"/>
      <c r="DSK685" s="201"/>
      <c r="DSL685" s="201"/>
      <c r="DSM685" s="201"/>
      <c r="DSN685" s="201"/>
      <c r="DSO685" s="201"/>
      <c r="DSP685" s="201"/>
      <c r="DSQ685" s="201"/>
      <c r="DSR685" s="201"/>
      <c r="DSS685" s="201"/>
      <c r="DST685" s="201"/>
      <c r="DSU685" s="201"/>
      <c r="DSV685" s="201"/>
      <c r="DSW685" s="201"/>
      <c r="DSX685" s="201"/>
      <c r="DSY685" s="201"/>
      <c r="DSZ685" s="201"/>
      <c r="DTA685" s="201"/>
      <c r="DTB685" s="201"/>
      <c r="DTC685" s="201"/>
      <c r="DTD685" s="201"/>
      <c r="DTE685" s="201"/>
      <c r="DTF685" s="201"/>
      <c r="DTG685" s="201"/>
      <c r="DTH685" s="201"/>
      <c r="DTI685" s="201"/>
      <c r="DTJ685" s="201"/>
      <c r="DTK685" s="201"/>
      <c r="DTL685" s="201"/>
      <c r="DTM685" s="201"/>
      <c r="DTN685" s="201"/>
      <c r="DTO685" s="201"/>
      <c r="DTP685" s="201"/>
      <c r="DTQ685" s="201"/>
      <c r="DTR685" s="201"/>
      <c r="DTS685" s="201"/>
      <c r="DTT685" s="201"/>
      <c r="DTU685" s="201"/>
      <c r="DTV685" s="201"/>
      <c r="DTW685" s="201"/>
      <c r="DTX685" s="201"/>
      <c r="DTY685" s="201"/>
      <c r="DTZ685" s="201"/>
      <c r="DUA685" s="201"/>
      <c r="DUB685" s="201"/>
      <c r="DUC685" s="201"/>
      <c r="DUD685" s="201"/>
      <c r="DUE685" s="201"/>
      <c r="DUF685" s="201"/>
      <c r="DUG685" s="201"/>
      <c r="DUH685" s="201"/>
      <c r="DUI685" s="201"/>
      <c r="DUJ685" s="201"/>
      <c r="DUK685" s="201"/>
      <c r="DUL685" s="201"/>
      <c r="DUM685" s="201"/>
      <c r="DUN685" s="201"/>
      <c r="DUO685" s="201"/>
      <c r="DUP685" s="201"/>
      <c r="DUQ685" s="201"/>
      <c r="DUR685" s="201"/>
      <c r="DUS685" s="201"/>
      <c r="DUT685" s="201"/>
      <c r="DUU685" s="201"/>
      <c r="DUV685" s="201"/>
      <c r="DUW685" s="201"/>
      <c r="DUX685" s="201"/>
      <c r="DUY685" s="201"/>
      <c r="DUZ685" s="201"/>
      <c r="DVA685" s="201"/>
      <c r="DVB685" s="201"/>
      <c r="DVC685" s="201"/>
      <c r="DVD685" s="201"/>
      <c r="DVE685" s="201"/>
      <c r="DVF685" s="201"/>
      <c r="DVG685" s="201"/>
      <c r="DVH685" s="201"/>
      <c r="DVI685" s="201"/>
      <c r="DVJ685" s="201"/>
      <c r="DVK685" s="201"/>
      <c r="DVL685" s="201"/>
      <c r="DVM685" s="201"/>
      <c r="DVN685" s="201"/>
      <c r="DVO685" s="201"/>
      <c r="DVP685" s="201"/>
      <c r="DVQ685" s="201"/>
      <c r="DVR685" s="201"/>
      <c r="DVS685" s="201"/>
      <c r="DVT685" s="201"/>
      <c r="DVU685" s="201"/>
      <c r="DVV685" s="201"/>
      <c r="DVW685" s="201"/>
      <c r="DVX685" s="201"/>
      <c r="DVY685" s="201"/>
      <c r="DVZ685" s="201"/>
      <c r="DWA685" s="201"/>
      <c r="DWB685" s="201"/>
      <c r="DWC685" s="201"/>
      <c r="DWD685" s="201"/>
      <c r="DWE685" s="201"/>
      <c r="DWF685" s="201"/>
      <c r="DWG685" s="201"/>
      <c r="DWH685" s="201"/>
      <c r="DWI685" s="201"/>
      <c r="DWJ685" s="201"/>
      <c r="DWK685" s="201"/>
      <c r="DWL685" s="201"/>
      <c r="DWM685" s="201"/>
      <c r="DWN685" s="201"/>
      <c r="DWO685" s="201"/>
      <c r="DWP685" s="201"/>
      <c r="DWQ685" s="201"/>
      <c r="DWR685" s="201"/>
      <c r="DWS685" s="201"/>
      <c r="DWT685" s="201"/>
      <c r="DWU685" s="201"/>
      <c r="DWV685" s="201"/>
      <c r="DWW685" s="201"/>
      <c r="DWX685" s="201"/>
      <c r="DWY685" s="201"/>
      <c r="DWZ685" s="201"/>
      <c r="DXA685" s="201"/>
      <c r="DXB685" s="201"/>
      <c r="DXC685" s="201"/>
      <c r="DXD685" s="201"/>
      <c r="DXE685" s="201"/>
      <c r="DXF685" s="201"/>
      <c r="DXG685" s="201"/>
      <c r="DXH685" s="201"/>
      <c r="DXI685" s="201"/>
      <c r="DXJ685" s="201"/>
      <c r="DXK685" s="201"/>
      <c r="DXL685" s="201"/>
      <c r="DXM685" s="201"/>
      <c r="DXN685" s="201"/>
      <c r="DXO685" s="201"/>
      <c r="DXP685" s="201"/>
      <c r="DXQ685" s="201"/>
      <c r="DXR685" s="201"/>
      <c r="DXS685" s="201"/>
      <c r="DXT685" s="201"/>
      <c r="DXU685" s="201"/>
      <c r="DXV685" s="201"/>
      <c r="DXW685" s="201"/>
      <c r="DXX685" s="201"/>
      <c r="DXY685" s="201"/>
      <c r="DXZ685" s="201"/>
      <c r="DYA685" s="201"/>
      <c r="DYB685" s="201"/>
      <c r="DYC685" s="201"/>
      <c r="DYD685" s="201"/>
      <c r="DYE685" s="201"/>
      <c r="DYF685" s="201"/>
      <c r="DYG685" s="201"/>
      <c r="DYH685" s="201"/>
      <c r="DYI685" s="201"/>
      <c r="DYJ685" s="201"/>
      <c r="DYK685" s="201"/>
      <c r="DYL685" s="201"/>
      <c r="DYM685" s="201"/>
      <c r="DYN685" s="201"/>
      <c r="DYO685" s="201"/>
      <c r="DYP685" s="201"/>
      <c r="DYQ685" s="201"/>
      <c r="DYR685" s="201"/>
      <c r="DYS685" s="201"/>
      <c r="DYT685" s="201"/>
      <c r="DYU685" s="201"/>
      <c r="DYV685" s="201"/>
      <c r="DYW685" s="201"/>
      <c r="DYX685" s="201"/>
      <c r="DYY685" s="201"/>
      <c r="DYZ685" s="201"/>
      <c r="DZA685" s="201"/>
      <c r="DZB685" s="201"/>
      <c r="DZC685" s="201"/>
      <c r="DZD685" s="201"/>
      <c r="DZE685" s="201"/>
      <c r="DZF685" s="201"/>
      <c r="DZG685" s="201"/>
      <c r="DZH685" s="201"/>
      <c r="DZI685" s="201"/>
      <c r="DZJ685" s="201"/>
      <c r="DZK685" s="201"/>
      <c r="DZL685" s="201"/>
      <c r="DZM685" s="201"/>
      <c r="DZN685" s="201"/>
      <c r="DZO685" s="201"/>
      <c r="DZP685" s="201"/>
      <c r="DZQ685" s="201"/>
      <c r="DZR685" s="201"/>
      <c r="DZS685" s="201"/>
      <c r="DZT685" s="201"/>
      <c r="DZU685" s="201"/>
      <c r="DZV685" s="201"/>
      <c r="DZW685" s="201"/>
      <c r="DZX685" s="201"/>
      <c r="DZY685" s="201"/>
      <c r="DZZ685" s="201"/>
      <c r="EAA685" s="201"/>
      <c r="EAB685" s="201"/>
      <c r="EAC685" s="201"/>
      <c r="EAD685" s="201"/>
      <c r="EAE685" s="201"/>
      <c r="EAF685" s="201"/>
      <c r="EAG685" s="201"/>
      <c r="EAH685" s="201"/>
      <c r="EAI685" s="201"/>
      <c r="EAJ685" s="201"/>
      <c r="EAK685" s="201"/>
      <c r="EAL685" s="201"/>
      <c r="EAM685" s="201"/>
      <c r="EAN685" s="201"/>
      <c r="EAO685" s="201"/>
      <c r="EAP685" s="201"/>
      <c r="EAQ685" s="201"/>
      <c r="EAR685" s="201"/>
      <c r="EAS685" s="201"/>
      <c r="EAT685" s="201"/>
      <c r="EAU685" s="201"/>
      <c r="EAV685" s="201"/>
      <c r="EAW685" s="201"/>
      <c r="EAX685" s="201"/>
      <c r="EAY685" s="201"/>
      <c r="EAZ685" s="201"/>
      <c r="EBA685" s="201"/>
      <c r="EBB685" s="201"/>
      <c r="EBC685" s="201"/>
      <c r="EBD685" s="201"/>
      <c r="EBE685" s="201"/>
      <c r="EBF685" s="201"/>
      <c r="EBG685" s="201"/>
      <c r="EBH685" s="201"/>
      <c r="EBI685" s="201"/>
      <c r="EBJ685" s="201"/>
      <c r="EBK685" s="201"/>
      <c r="EBL685" s="201"/>
      <c r="EBM685" s="201"/>
      <c r="EBN685" s="201"/>
      <c r="EBO685" s="201"/>
      <c r="EBP685" s="201"/>
      <c r="EBQ685" s="201"/>
      <c r="EBR685" s="201"/>
      <c r="EBS685" s="201"/>
      <c r="EBT685" s="201"/>
      <c r="EBU685" s="201"/>
      <c r="EBV685" s="201"/>
      <c r="EBW685" s="201"/>
      <c r="EBX685" s="201"/>
      <c r="EBY685" s="201"/>
      <c r="EBZ685" s="201"/>
      <c r="ECA685" s="201"/>
      <c r="ECB685" s="201"/>
      <c r="ECC685" s="201"/>
      <c r="ECD685" s="201"/>
      <c r="ECE685" s="201"/>
      <c r="ECF685" s="201"/>
      <c r="ECG685" s="201"/>
      <c r="ECH685" s="201"/>
      <c r="ECI685" s="201"/>
      <c r="ECJ685" s="201"/>
      <c r="ECK685" s="201"/>
      <c r="ECL685" s="201"/>
      <c r="ECM685" s="201"/>
      <c r="ECN685" s="201"/>
      <c r="ECO685" s="201"/>
      <c r="ECP685" s="201"/>
      <c r="ECQ685" s="201"/>
      <c r="ECR685" s="201"/>
      <c r="ECS685" s="201"/>
      <c r="ECT685" s="201"/>
      <c r="ECU685" s="201"/>
      <c r="ECV685" s="201"/>
      <c r="ECW685" s="201"/>
      <c r="ECX685" s="201"/>
      <c r="ECY685" s="201"/>
      <c r="ECZ685" s="201"/>
      <c r="EDA685" s="201"/>
      <c r="EDB685" s="201"/>
      <c r="EDC685" s="201"/>
      <c r="EDD685" s="201"/>
      <c r="EDE685" s="201"/>
      <c r="EDF685" s="201"/>
      <c r="EDG685" s="201"/>
      <c r="EDH685" s="201"/>
      <c r="EDI685" s="201"/>
      <c r="EDJ685" s="201"/>
      <c r="EDK685" s="201"/>
      <c r="EDL685" s="201"/>
      <c r="EDM685" s="201"/>
      <c r="EDN685" s="201"/>
      <c r="EDO685" s="201"/>
      <c r="EDP685" s="201"/>
      <c r="EDQ685" s="201"/>
      <c r="EDR685" s="201"/>
      <c r="EDS685" s="201"/>
      <c r="EDT685" s="201"/>
      <c r="EDU685" s="201"/>
      <c r="EDV685" s="201"/>
      <c r="EDW685" s="201"/>
      <c r="EDX685" s="201"/>
      <c r="EDY685" s="201"/>
      <c r="EDZ685" s="201"/>
      <c r="EEA685" s="201"/>
      <c r="EEB685" s="201"/>
      <c r="EEC685" s="201"/>
      <c r="EED685" s="201"/>
      <c r="EEE685" s="201"/>
      <c r="EEF685" s="201"/>
      <c r="EEG685" s="201"/>
      <c r="EEH685" s="201"/>
      <c r="EEI685" s="201"/>
      <c r="EEJ685" s="201"/>
      <c r="EEK685" s="201"/>
      <c r="EEL685" s="201"/>
      <c r="EEM685" s="201"/>
      <c r="EEN685" s="201"/>
      <c r="EEO685" s="201"/>
      <c r="EEP685" s="201"/>
      <c r="EEQ685" s="201"/>
      <c r="EER685" s="201"/>
      <c r="EES685" s="201"/>
      <c r="EET685" s="201"/>
      <c r="EEU685" s="201"/>
      <c r="EEV685" s="201"/>
      <c r="EEW685" s="201"/>
      <c r="EEX685" s="201"/>
      <c r="EEY685" s="201"/>
      <c r="EEZ685" s="201"/>
      <c r="EFA685" s="201"/>
      <c r="EFB685" s="201"/>
      <c r="EFC685" s="201"/>
      <c r="EFD685" s="201"/>
      <c r="EFE685" s="201"/>
      <c r="EFF685" s="201"/>
      <c r="EFG685" s="201"/>
      <c r="EFH685" s="201"/>
      <c r="EFI685" s="201"/>
      <c r="EFJ685" s="201"/>
      <c r="EFK685" s="201"/>
      <c r="EFL685" s="201"/>
      <c r="EFM685" s="201"/>
      <c r="EFN685" s="201"/>
      <c r="EFO685" s="201"/>
      <c r="EFP685" s="201"/>
      <c r="EFQ685" s="201"/>
      <c r="EFR685" s="201"/>
      <c r="EFS685" s="201"/>
      <c r="EFT685" s="201"/>
      <c r="EFU685" s="201"/>
      <c r="EFV685" s="201"/>
      <c r="EFW685" s="201"/>
      <c r="EFX685" s="201"/>
      <c r="EFY685" s="201"/>
      <c r="EFZ685" s="201"/>
      <c r="EGA685" s="201"/>
      <c r="EGB685" s="201"/>
      <c r="EGC685" s="201"/>
      <c r="EGD685" s="201"/>
      <c r="EGE685" s="201"/>
      <c r="EGF685" s="201"/>
      <c r="EGG685" s="201"/>
      <c r="EGH685" s="201"/>
      <c r="EGI685" s="201"/>
      <c r="EGJ685" s="201"/>
      <c r="EGK685" s="201"/>
      <c r="EGL685" s="201"/>
      <c r="EGM685" s="201"/>
      <c r="EGN685" s="201"/>
      <c r="EGO685" s="201"/>
      <c r="EGP685" s="201"/>
      <c r="EGQ685" s="201"/>
      <c r="EGR685" s="201"/>
      <c r="EGS685" s="201"/>
      <c r="EGT685" s="201"/>
      <c r="EGU685" s="201"/>
      <c r="EGV685" s="201"/>
      <c r="EGW685" s="201"/>
      <c r="EGX685" s="201"/>
      <c r="EGY685" s="201"/>
      <c r="EGZ685" s="201"/>
      <c r="EHA685" s="201"/>
      <c r="EHB685" s="201"/>
      <c r="EHC685" s="201"/>
      <c r="EHD685" s="201"/>
      <c r="EHE685" s="201"/>
      <c r="EHF685" s="201"/>
      <c r="EHG685" s="201"/>
      <c r="EHH685" s="201"/>
      <c r="EHI685" s="201"/>
      <c r="EHJ685" s="201"/>
      <c r="EHK685" s="201"/>
      <c r="EHL685" s="201"/>
      <c r="EHM685" s="201"/>
      <c r="EHN685" s="201"/>
      <c r="EHO685" s="201"/>
      <c r="EHP685" s="201"/>
      <c r="EHQ685" s="201"/>
      <c r="EHR685" s="201"/>
      <c r="EHS685" s="201"/>
      <c r="EHT685" s="201"/>
      <c r="EHU685" s="201"/>
      <c r="EHV685" s="201"/>
      <c r="EHW685" s="201"/>
      <c r="EHX685" s="201"/>
      <c r="EHY685" s="201"/>
      <c r="EHZ685" s="201"/>
      <c r="EIA685" s="201"/>
      <c r="EIB685" s="201"/>
      <c r="EIC685" s="201"/>
      <c r="EID685" s="201"/>
      <c r="EIE685" s="201"/>
      <c r="EIF685" s="201"/>
      <c r="EIG685" s="201"/>
      <c r="EIH685" s="201"/>
      <c r="EII685" s="201"/>
      <c r="EIJ685" s="201"/>
      <c r="EIK685" s="201"/>
      <c r="EIL685" s="201"/>
      <c r="EIM685" s="201"/>
      <c r="EIN685" s="201"/>
      <c r="EIO685" s="201"/>
      <c r="EIP685" s="201"/>
      <c r="EIQ685" s="201"/>
      <c r="EIR685" s="201"/>
      <c r="EIS685" s="201"/>
      <c r="EIT685" s="201"/>
      <c r="EIU685" s="201"/>
      <c r="EIV685" s="201"/>
      <c r="EIW685" s="201"/>
      <c r="EIX685" s="201"/>
      <c r="EIY685" s="201"/>
      <c r="EIZ685" s="201"/>
      <c r="EJA685" s="201"/>
      <c r="EJB685" s="201"/>
      <c r="EJC685" s="201"/>
      <c r="EJD685" s="201"/>
      <c r="EJE685" s="201"/>
      <c r="EJF685" s="201"/>
      <c r="EJG685" s="201"/>
      <c r="EJH685" s="201"/>
      <c r="EJI685" s="201"/>
      <c r="EJJ685" s="201"/>
      <c r="EJK685" s="201"/>
      <c r="EJL685" s="201"/>
      <c r="EJM685" s="201"/>
      <c r="EJN685" s="201"/>
      <c r="EJO685" s="201"/>
      <c r="EJP685" s="201"/>
      <c r="EJQ685" s="201"/>
      <c r="EJR685" s="201"/>
      <c r="EJS685" s="201"/>
      <c r="EJT685" s="201"/>
      <c r="EJU685" s="201"/>
      <c r="EJV685" s="201"/>
      <c r="EJW685" s="201"/>
      <c r="EJX685" s="201"/>
      <c r="EJY685" s="201"/>
      <c r="EJZ685" s="201"/>
      <c r="EKA685" s="201"/>
      <c r="EKB685" s="201"/>
      <c r="EKC685" s="201"/>
      <c r="EKD685" s="201"/>
      <c r="EKE685" s="201"/>
      <c r="EKF685" s="201"/>
      <c r="EKG685" s="201"/>
      <c r="EKH685" s="201"/>
      <c r="EKI685" s="201"/>
      <c r="EKJ685" s="201"/>
      <c r="EKK685" s="201"/>
      <c r="EKL685" s="201"/>
      <c r="EKM685" s="201"/>
      <c r="EKN685" s="201"/>
      <c r="EKO685" s="201"/>
      <c r="EKP685" s="201"/>
      <c r="EKQ685" s="201"/>
      <c r="EKR685" s="201"/>
      <c r="EKS685" s="201"/>
      <c r="EKT685" s="201"/>
      <c r="EKU685" s="201"/>
      <c r="EKV685" s="201"/>
      <c r="EKW685" s="201"/>
      <c r="EKX685" s="201"/>
      <c r="EKY685" s="201"/>
      <c r="EKZ685" s="201"/>
      <c r="ELA685" s="201"/>
      <c r="ELB685" s="201"/>
      <c r="ELC685" s="201"/>
      <c r="ELD685" s="201"/>
      <c r="ELE685" s="201"/>
      <c r="ELF685" s="201"/>
      <c r="ELG685" s="201"/>
      <c r="ELH685" s="201"/>
      <c r="ELI685" s="201"/>
      <c r="ELJ685" s="201"/>
      <c r="ELK685" s="201"/>
      <c r="ELL685" s="201"/>
      <c r="ELM685" s="201"/>
      <c r="ELN685" s="201"/>
      <c r="ELO685" s="201"/>
      <c r="ELP685" s="201"/>
      <c r="ELQ685" s="201"/>
      <c r="ELR685" s="201"/>
      <c r="ELS685" s="201"/>
      <c r="ELT685" s="201"/>
      <c r="ELU685" s="201"/>
      <c r="ELV685" s="201"/>
      <c r="ELW685" s="201"/>
      <c r="ELX685" s="201"/>
      <c r="ELY685" s="201"/>
      <c r="ELZ685" s="201"/>
      <c r="EMA685" s="201"/>
      <c r="EMB685" s="201"/>
      <c r="EMC685" s="201"/>
      <c r="EMD685" s="201"/>
      <c r="EME685" s="201"/>
      <c r="EMF685" s="201"/>
      <c r="EMG685" s="201"/>
      <c r="EMH685" s="201"/>
      <c r="EMI685" s="201"/>
      <c r="EMJ685" s="201"/>
      <c r="EMK685" s="201"/>
      <c r="EML685" s="201"/>
      <c r="EMM685" s="201"/>
      <c r="EMN685" s="201"/>
      <c r="EMO685" s="201"/>
      <c r="EMP685" s="201"/>
      <c r="EMQ685" s="201"/>
      <c r="EMR685" s="201"/>
      <c r="EMS685" s="201"/>
      <c r="EMT685" s="201"/>
      <c r="EMU685" s="201"/>
      <c r="EMV685" s="201"/>
      <c r="EMW685" s="201"/>
      <c r="EMX685" s="201"/>
      <c r="EMY685" s="201"/>
      <c r="EMZ685" s="201"/>
      <c r="ENA685" s="201"/>
      <c r="ENB685" s="201"/>
      <c r="ENC685" s="201"/>
      <c r="END685" s="201"/>
      <c r="ENE685" s="201"/>
      <c r="ENF685" s="201"/>
      <c r="ENG685" s="201"/>
      <c r="ENH685" s="201"/>
      <c r="ENI685" s="201"/>
      <c r="ENJ685" s="201"/>
      <c r="ENK685" s="201"/>
      <c r="ENL685" s="201"/>
      <c r="ENM685" s="201"/>
      <c r="ENN685" s="201"/>
      <c r="ENO685" s="201"/>
      <c r="ENP685" s="201"/>
      <c r="ENQ685" s="201"/>
      <c r="ENR685" s="201"/>
      <c r="ENS685" s="201"/>
      <c r="ENT685" s="201"/>
      <c r="ENU685" s="201"/>
      <c r="ENV685" s="201"/>
      <c r="ENW685" s="201"/>
      <c r="ENX685" s="201"/>
      <c r="ENY685" s="201"/>
      <c r="ENZ685" s="201"/>
      <c r="EOA685" s="201"/>
      <c r="EOB685" s="201"/>
      <c r="EOC685" s="201"/>
      <c r="EOD685" s="201"/>
      <c r="EOE685" s="201"/>
      <c r="EOF685" s="201"/>
      <c r="EOG685" s="201"/>
      <c r="EOH685" s="201"/>
      <c r="EOI685" s="201"/>
      <c r="EOJ685" s="201"/>
      <c r="EOK685" s="201"/>
      <c r="EOL685" s="201"/>
      <c r="EOM685" s="201"/>
      <c r="EON685" s="201"/>
      <c r="EOO685" s="201"/>
      <c r="EOP685" s="201"/>
      <c r="EOQ685" s="201"/>
      <c r="EOR685" s="201"/>
      <c r="EOS685" s="201"/>
      <c r="EOT685" s="201"/>
      <c r="EOU685" s="201"/>
      <c r="EOV685" s="201"/>
      <c r="EOW685" s="201"/>
      <c r="EOX685" s="201"/>
      <c r="EOY685" s="201"/>
      <c r="EOZ685" s="201"/>
      <c r="EPA685" s="201"/>
      <c r="EPB685" s="201"/>
      <c r="EPC685" s="201"/>
      <c r="EPD685" s="201"/>
      <c r="EPE685" s="201"/>
      <c r="EPF685" s="201"/>
      <c r="EPG685" s="201"/>
      <c r="EPH685" s="201"/>
      <c r="EPI685" s="201"/>
      <c r="EPJ685" s="201"/>
      <c r="EPK685" s="201"/>
      <c r="EPL685" s="201"/>
      <c r="EPM685" s="201"/>
      <c r="EPN685" s="201"/>
      <c r="EPO685" s="201"/>
      <c r="EPP685" s="201"/>
      <c r="EPQ685" s="201"/>
      <c r="EPR685" s="201"/>
      <c r="EPS685" s="201"/>
      <c r="EPT685" s="201"/>
      <c r="EPU685" s="201"/>
      <c r="EPV685" s="201"/>
      <c r="EPW685" s="201"/>
      <c r="EPX685" s="201"/>
      <c r="EPY685" s="201"/>
      <c r="EPZ685" s="201"/>
      <c r="EQA685" s="201"/>
      <c r="EQB685" s="201"/>
      <c r="EQC685" s="201"/>
      <c r="EQD685" s="201"/>
      <c r="EQE685" s="201"/>
      <c r="EQF685" s="201"/>
      <c r="EQG685" s="201"/>
      <c r="EQH685" s="201"/>
      <c r="EQI685" s="201"/>
      <c r="EQJ685" s="201"/>
      <c r="EQK685" s="201"/>
      <c r="EQL685" s="201"/>
      <c r="EQM685" s="201"/>
      <c r="EQN685" s="201"/>
      <c r="EQO685" s="201"/>
      <c r="EQP685" s="201"/>
      <c r="EQQ685" s="201"/>
      <c r="EQR685" s="201"/>
      <c r="EQS685" s="201"/>
      <c r="EQT685" s="201"/>
      <c r="EQU685" s="201"/>
      <c r="EQV685" s="201"/>
      <c r="EQW685" s="201"/>
      <c r="EQX685" s="201"/>
      <c r="EQY685" s="201"/>
      <c r="EQZ685" s="201"/>
      <c r="ERA685" s="201"/>
      <c r="ERB685" s="201"/>
      <c r="ERC685" s="201"/>
      <c r="ERD685" s="201"/>
      <c r="ERE685" s="201"/>
      <c r="ERF685" s="201"/>
      <c r="ERG685" s="201"/>
      <c r="ERH685" s="201"/>
      <c r="ERI685" s="201"/>
      <c r="ERJ685" s="201"/>
      <c r="ERK685" s="201"/>
      <c r="ERL685" s="201"/>
      <c r="ERM685" s="201"/>
      <c r="ERN685" s="201"/>
      <c r="ERO685" s="201"/>
      <c r="ERP685" s="201"/>
      <c r="ERQ685" s="201"/>
      <c r="ERR685" s="201"/>
      <c r="ERS685" s="201"/>
      <c r="ERT685" s="201"/>
      <c r="ERU685" s="201"/>
      <c r="ERV685" s="201"/>
      <c r="ERW685" s="201"/>
      <c r="ERX685" s="201"/>
      <c r="ERY685" s="201"/>
      <c r="ERZ685" s="201"/>
      <c r="ESA685" s="201"/>
      <c r="ESB685" s="201"/>
      <c r="ESC685" s="201"/>
      <c r="ESD685" s="201"/>
      <c r="ESE685" s="201"/>
      <c r="ESF685" s="201"/>
      <c r="ESG685" s="201"/>
      <c r="ESH685" s="201"/>
      <c r="ESI685" s="201"/>
      <c r="ESJ685" s="201"/>
      <c r="ESK685" s="201"/>
      <c r="ESL685" s="201"/>
      <c r="ESM685" s="201"/>
      <c r="ESN685" s="201"/>
      <c r="ESO685" s="201"/>
      <c r="ESP685" s="201"/>
      <c r="ESQ685" s="201"/>
      <c r="ESR685" s="201"/>
      <c r="ESS685" s="201"/>
      <c r="EST685" s="201"/>
      <c r="ESU685" s="201"/>
      <c r="ESV685" s="201"/>
      <c r="ESW685" s="201"/>
      <c r="ESX685" s="201"/>
      <c r="ESY685" s="201"/>
      <c r="ESZ685" s="201"/>
      <c r="ETA685" s="201"/>
      <c r="ETB685" s="201"/>
      <c r="ETC685" s="201"/>
      <c r="ETD685" s="201"/>
      <c r="ETE685" s="201"/>
      <c r="ETF685" s="201"/>
      <c r="ETG685" s="201"/>
      <c r="ETH685" s="201"/>
      <c r="ETI685" s="201"/>
      <c r="ETJ685" s="201"/>
      <c r="ETK685" s="201"/>
      <c r="ETL685" s="201"/>
      <c r="ETM685" s="201"/>
      <c r="ETN685" s="201"/>
      <c r="ETO685" s="201"/>
      <c r="ETP685" s="201"/>
      <c r="ETQ685" s="201"/>
      <c r="ETR685" s="201"/>
      <c r="ETS685" s="201"/>
      <c r="ETT685" s="201"/>
      <c r="ETU685" s="201"/>
      <c r="ETV685" s="201"/>
      <c r="ETW685" s="201"/>
      <c r="ETX685" s="201"/>
      <c r="ETY685" s="201"/>
      <c r="ETZ685" s="201"/>
      <c r="EUA685" s="201"/>
      <c r="EUB685" s="201"/>
      <c r="EUC685" s="201"/>
      <c r="EUD685" s="201"/>
      <c r="EUE685" s="201"/>
      <c r="EUF685" s="201"/>
      <c r="EUG685" s="201"/>
      <c r="EUH685" s="201"/>
      <c r="EUI685" s="201"/>
      <c r="EUJ685" s="201"/>
      <c r="EUK685" s="201"/>
      <c r="EUL685" s="201"/>
      <c r="EUM685" s="201"/>
      <c r="EUN685" s="201"/>
      <c r="EUO685" s="201"/>
      <c r="EUP685" s="201"/>
      <c r="EUQ685" s="201"/>
      <c r="EUR685" s="201"/>
      <c r="EUS685" s="201"/>
      <c r="EUT685" s="201"/>
      <c r="EUU685" s="201"/>
      <c r="EUV685" s="201"/>
      <c r="EUW685" s="201"/>
      <c r="EUX685" s="201"/>
      <c r="EUY685" s="201"/>
      <c r="EUZ685" s="201"/>
      <c r="EVA685" s="201"/>
      <c r="EVB685" s="201"/>
      <c r="EVC685" s="201"/>
      <c r="EVD685" s="201"/>
      <c r="EVE685" s="201"/>
      <c r="EVF685" s="201"/>
      <c r="EVG685" s="201"/>
      <c r="EVH685" s="201"/>
      <c r="EVI685" s="201"/>
      <c r="EVJ685" s="201"/>
      <c r="EVK685" s="201"/>
      <c r="EVL685" s="201"/>
      <c r="EVM685" s="201"/>
      <c r="EVN685" s="201"/>
      <c r="EVO685" s="201"/>
      <c r="EVP685" s="201"/>
      <c r="EVQ685" s="201"/>
      <c r="EVR685" s="201"/>
      <c r="EVS685" s="201"/>
      <c r="EVT685" s="201"/>
      <c r="EVU685" s="201"/>
      <c r="EVV685" s="201"/>
      <c r="EVW685" s="201"/>
      <c r="EVX685" s="201"/>
      <c r="EVY685" s="201"/>
      <c r="EVZ685" s="201"/>
      <c r="EWA685" s="201"/>
      <c r="EWB685" s="201"/>
      <c r="EWC685" s="201"/>
      <c r="EWD685" s="201"/>
      <c r="EWE685" s="201"/>
      <c r="EWF685" s="201"/>
      <c r="EWG685" s="201"/>
      <c r="EWH685" s="201"/>
      <c r="EWI685" s="201"/>
      <c r="EWJ685" s="201"/>
      <c r="EWK685" s="201"/>
      <c r="EWL685" s="201"/>
      <c r="EWM685" s="201"/>
      <c r="EWN685" s="201"/>
      <c r="EWO685" s="201"/>
      <c r="EWP685" s="201"/>
      <c r="EWQ685" s="201"/>
      <c r="EWR685" s="201"/>
      <c r="EWS685" s="201"/>
      <c r="EWT685" s="201"/>
      <c r="EWU685" s="201"/>
      <c r="EWV685" s="201"/>
      <c r="EWW685" s="201"/>
      <c r="EWX685" s="201"/>
      <c r="EWY685" s="201"/>
      <c r="EWZ685" s="201"/>
      <c r="EXA685" s="201"/>
      <c r="EXB685" s="201"/>
      <c r="EXC685" s="201"/>
      <c r="EXD685" s="201"/>
      <c r="EXE685" s="201"/>
      <c r="EXF685" s="201"/>
      <c r="EXG685" s="201"/>
      <c r="EXH685" s="201"/>
      <c r="EXI685" s="201"/>
      <c r="EXJ685" s="201"/>
      <c r="EXK685" s="201"/>
      <c r="EXL685" s="201"/>
      <c r="EXM685" s="201"/>
      <c r="EXN685" s="201"/>
      <c r="EXO685" s="201"/>
      <c r="EXP685" s="201"/>
      <c r="EXQ685" s="201"/>
      <c r="EXR685" s="201"/>
      <c r="EXS685" s="201"/>
      <c r="EXT685" s="201"/>
      <c r="EXU685" s="201"/>
      <c r="EXV685" s="201"/>
      <c r="EXW685" s="201"/>
      <c r="EXX685" s="201"/>
      <c r="EXY685" s="201"/>
      <c r="EXZ685" s="201"/>
      <c r="EYA685" s="201"/>
      <c r="EYB685" s="201"/>
      <c r="EYC685" s="201"/>
      <c r="EYD685" s="201"/>
      <c r="EYE685" s="201"/>
      <c r="EYF685" s="201"/>
      <c r="EYG685" s="201"/>
      <c r="EYH685" s="201"/>
      <c r="EYI685" s="201"/>
      <c r="EYJ685" s="201"/>
      <c r="EYK685" s="201"/>
      <c r="EYL685" s="201"/>
      <c r="EYM685" s="201"/>
      <c r="EYN685" s="201"/>
      <c r="EYO685" s="201"/>
      <c r="EYP685" s="201"/>
      <c r="EYQ685" s="201"/>
      <c r="EYR685" s="201"/>
      <c r="EYS685" s="201"/>
      <c r="EYT685" s="201"/>
      <c r="EYU685" s="201"/>
      <c r="EYV685" s="201"/>
      <c r="EYW685" s="201"/>
      <c r="EYX685" s="201"/>
      <c r="EYY685" s="201"/>
      <c r="EYZ685" s="201"/>
      <c r="EZA685" s="201"/>
      <c r="EZB685" s="201"/>
      <c r="EZC685" s="201"/>
      <c r="EZD685" s="201"/>
      <c r="EZE685" s="201"/>
      <c r="EZF685" s="201"/>
      <c r="EZG685" s="201"/>
      <c r="EZH685" s="201"/>
      <c r="EZI685" s="201"/>
      <c r="EZJ685" s="201"/>
      <c r="EZK685" s="201"/>
      <c r="EZL685" s="201"/>
      <c r="EZM685" s="201"/>
      <c r="EZN685" s="201"/>
      <c r="EZO685" s="201"/>
      <c r="EZP685" s="201"/>
      <c r="EZQ685" s="201"/>
      <c r="EZR685" s="201"/>
      <c r="EZS685" s="201"/>
      <c r="EZT685" s="201"/>
      <c r="EZU685" s="201"/>
      <c r="EZV685" s="201"/>
      <c r="EZW685" s="201"/>
      <c r="EZX685" s="201"/>
      <c r="EZY685" s="201"/>
      <c r="EZZ685" s="201"/>
      <c r="FAA685" s="201"/>
      <c r="FAB685" s="201"/>
      <c r="FAC685" s="201"/>
      <c r="FAD685" s="201"/>
      <c r="FAE685" s="201"/>
      <c r="FAF685" s="201"/>
      <c r="FAG685" s="201"/>
      <c r="FAH685" s="201"/>
      <c r="FAI685" s="201"/>
      <c r="FAJ685" s="201"/>
      <c r="FAK685" s="201"/>
      <c r="FAL685" s="201"/>
      <c r="FAM685" s="201"/>
      <c r="FAN685" s="201"/>
      <c r="FAO685" s="201"/>
      <c r="FAP685" s="201"/>
      <c r="FAQ685" s="201"/>
      <c r="FAR685" s="201"/>
      <c r="FAS685" s="201"/>
      <c r="FAT685" s="201"/>
      <c r="FAU685" s="201"/>
      <c r="FAV685" s="201"/>
      <c r="FAW685" s="201"/>
      <c r="FAX685" s="201"/>
      <c r="FAY685" s="201"/>
      <c r="FAZ685" s="201"/>
      <c r="FBA685" s="201"/>
      <c r="FBB685" s="201"/>
      <c r="FBC685" s="201"/>
      <c r="FBD685" s="201"/>
      <c r="FBE685" s="201"/>
      <c r="FBF685" s="201"/>
      <c r="FBG685" s="201"/>
      <c r="FBH685" s="201"/>
      <c r="FBI685" s="201"/>
      <c r="FBJ685" s="201"/>
      <c r="FBK685" s="201"/>
      <c r="FBL685" s="201"/>
      <c r="FBM685" s="201"/>
      <c r="FBN685" s="201"/>
      <c r="FBO685" s="201"/>
      <c r="FBP685" s="201"/>
      <c r="FBQ685" s="201"/>
      <c r="FBR685" s="201"/>
      <c r="FBS685" s="201"/>
      <c r="FBT685" s="201"/>
      <c r="FBU685" s="201"/>
      <c r="FBV685" s="201"/>
      <c r="FBW685" s="201"/>
      <c r="FBX685" s="201"/>
      <c r="FBY685" s="201"/>
      <c r="FBZ685" s="201"/>
      <c r="FCA685" s="201"/>
      <c r="FCB685" s="201"/>
      <c r="FCC685" s="201"/>
      <c r="FCD685" s="201"/>
      <c r="FCE685" s="201"/>
      <c r="FCF685" s="201"/>
      <c r="FCG685" s="201"/>
      <c r="FCH685" s="201"/>
      <c r="FCI685" s="201"/>
      <c r="FCJ685" s="201"/>
      <c r="FCK685" s="201"/>
      <c r="FCL685" s="201"/>
      <c r="FCM685" s="201"/>
      <c r="FCN685" s="201"/>
      <c r="FCO685" s="201"/>
      <c r="FCP685" s="201"/>
      <c r="FCQ685" s="201"/>
      <c r="FCR685" s="201"/>
      <c r="FCS685" s="201"/>
      <c r="FCT685" s="201"/>
      <c r="FCU685" s="201"/>
      <c r="FCV685" s="201"/>
      <c r="FCW685" s="201"/>
      <c r="FCX685" s="201"/>
      <c r="FCY685" s="201"/>
      <c r="FCZ685" s="201"/>
      <c r="FDA685" s="201"/>
      <c r="FDB685" s="201"/>
      <c r="FDC685" s="201"/>
      <c r="FDD685" s="201"/>
      <c r="FDE685" s="201"/>
      <c r="FDF685" s="201"/>
      <c r="FDG685" s="201"/>
      <c r="FDH685" s="201"/>
      <c r="FDI685" s="201"/>
      <c r="FDJ685" s="201"/>
      <c r="FDK685" s="201"/>
      <c r="FDL685" s="201"/>
      <c r="FDM685" s="201"/>
      <c r="FDN685" s="201"/>
      <c r="FDO685" s="201"/>
      <c r="FDP685" s="201"/>
      <c r="FDQ685" s="201"/>
      <c r="FDR685" s="201"/>
      <c r="FDS685" s="201"/>
      <c r="FDT685" s="201"/>
      <c r="FDU685" s="201"/>
      <c r="FDV685" s="201"/>
      <c r="FDW685" s="201"/>
      <c r="FDX685" s="201"/>
      <c r="FDY685" s="201"/>
      <c r="FDZ685" s="201"/>
      <c r="FEA685" s="201"/>
      <c r="FEB685" s="201"/>
      <c r="FEC685" s="201"/>
      <c r="FED685" s="201"/>
      <c r="FEE685" s="201"/>
      <c r="FEF685" s="201"/>
      <c r="FEG685" s="201"/>
      <c r="FEH685" s="201"/>
      <c r="FEI685" s="201"/>
      <c r="FEJ685" s="201"/>
      <c r="FEK685" s="201"/>
      <c r="FEL685" s="201"/>
      <c r="FEM685" s="201"/>
      <c r="FEN685" s="201"/>
      <c r="FEO685" s="201"/>
      <c r="FEP685" s="201"/>
      <c r="FEQ685" s="201"/>
      <c r="FER685" s="201"/>
      <c r="FES685" s="201"/>
      <c r="FET685" s="201"/>
      <c r="FEU685" s="201"/>
      <c r="FEV685" s="201"/>
      <c r="FEW685" s="201"/>
      <c r="FEX685" s="201"/>
      <c r="FEY685" s="201"/>
      <c r="FEZ685" s="201"/>
      <c r="FFA685" s="201"/>
      <c r="FFB685" s="201"/>
      <c r="FFC685" s="201"/>
      <c r="FFD685" s="201"/>
      <c r="FFE685" s="201"/>
      <c r="FFF685" s="201"/>
      <c r="FFG685" s="201"/>
      <c r="FFH685" s="201"/>
      <c r="FFI685" s="201"/>
      <c r="FFJ685" s="201"/>
      <c r="FFK685" s="201"/>
      <c r="FFL685" s="201"/>
      <c r="FFM685" s="201"/>
      <c r="FFN685" s="201"/>
      <c r="FFO685" s="201"/>
      <c r="FFP685" s="201"/>
      <c r="FFQ685" s="201"/>
      <c r="FFR685" s="201"/>
      <c r="FFS685" s="201"/>
      <c r="FFT685" s="201"/>
      <c r="FFU685" s="201"/>
      <c r="FFV685" s="201"/>
      <c r="FFW685" s="201"/>
      <c r="FFX685" s="201"/>
      <c r="FFY685" s="201"/>
      <c r="FFZ685" s="201"/>
      <c r="FGA685" s="201"/>
      <c r="FGB685" s="201"/>
      <c r="FGC685" s="201"/>
      <c r="FGD685" s="201"/>
      <c r="FGE685" s="201"/>
      <c r="FGF685" s="201"/>
      <c r="FGG685" s="201"/>
      <c r="FGH685" s="201"/>
      <c r="FGI685" s="201"/>
      <c r="FGJ685" s="201"/>
      <c r="FGK685" s="201"/>
      <c r="FGL685" s="201"/>
      <c r="FGM685" s="201"/>
      <c r="FGN685" s="201"/>
      <c r="FGO685" s="201"/>
      <c r="FGP685" s="201"/>
      <c r="FGQ685" s="201"/>
      <c r="FGR685" s="201"/>
      <c r="FGS685" s="201"/>
      <c r="FGT685" s="201"/>
      <c r="FGU685" s="201"/>
      <c r="FGV685" s="201"/>
      <c r="FGW685" s="201"/>
      <c r="FGX685" s="201"/>
      <c r="FGY685" s="201"/>
      <c r="FGZ685" s="201"/>
      <c r="FHA685" s="201"/>
      <c r="FHB685" s="201"/>
      <c r="FHC685" s="201"/>
      <c r="FHD685" s="201"/>
      <c r="FHE685" s="201"/>
      <c r="FHF685" s="201"/>
      <c r="FHG685" s="201"/>
      <c r="FHH685" s="201"/>
      <c r="FHI685" s="201"/>
      <c r="FHJ685" s="201"/>
      <c r="FHK685" s="201"/>
      <c r="FHL685" s="201"/>
      <c r="FHM685" s="201"/>
      <c r="FHN685" s="201"/>
      <c r="FHO685" s="201"/>
      <c r="FHP685" s="201"/>
      <c r="FHQ685" s="201"/>
      <c r="FHR685" s="201"/>
      <c r="FHS685" s="201"/>
      <c r="FHT685" s="201"/>
      <c r="FHU685" s="201"/>
      <c r="FHV685" s="201"/>
      <c r="FHW685" s="201"/>
      <c r="FHX685" s="201"/>
      <c r="FHY685" s="201"/>
      <c r="FHZ685" s="201"/>
      <c r="FIA685" s="201"/>
      <c r="FIB685" s="201"/>
      <c r="FIC685" s="201"/>
      <c r="FID685" s="201"/>
      <c r="FIE685" s="201"/>
      <c r="FIF685" s="201"/>
      <c r="FIG685" s="201"/>
      <c r="FIH685" s="201"/>
      <c r="FII685" s="201"/>
      <c r="FIJ685" s="201"/>
      <c r="FIK685" s="201"/>
      <c r="FIL685" s="201"/>
      <c r="FIM685" s="201"/>
      <c r="FIN685" s="201"/>
      <c r="FIO685" s="201"/>
      <c r="FIP685" s="201"/>
      <c r="FIQ685" s="201"/>
      <c r="FIR685" s="201"/>
      <c r="FIS685" s="201"/>
      <c r="FIT685" s="201"/>
      <c r="FIU685" s="201"/>
      <c r="FIV685" s="201"/>
      <c r="FIW685" s="201"/>
      <c r="FIX685" s="201"/>
      <c r="FIY685" s="201"/>
      <c r="FIZ685" s="201"/>
      <c r="FJA685" s="201"/>
      <c r="FJB685" s="201"/>
      <c r="FJC685" s="201"/>
      <c r="FJD685" s="201"/>
      <c r="FJE685" s="201"/>
      <c r="FJF685" s="201"/>
      <c r="FJG685" s="201"/>
      <c r="FJH685" s="201"/>
      <c r="FJI685" s="201"/>
      <c r="FJJ685" s="201"/>
      <c r="FJK685" s="201"/>
      <c r="FJL685" s="201"/>
      <c r="FJM685" s="201"/>
      <c r="FJN685" s="201"/>
      <c r="FJO685" s="201"/>
      <c r="FJP685" s="201"/>
      <c r="FJQ685" s="201"/>
      <c r="FJR685" s="201"/>
      <c r="FJS685" s="201"/>
      <c r="FJT685" s="201"/>
      <c r="FJU685" s="201"/>
      <c r="FJV685" s="201"/>
      <c r="FJW685" s="201"/>
      <c r="FJX685" s="201"/>
      <c r="FJY685" s="201"/>
      <c r="FJZ685" s="201"/>
      <c r="FKA685" s="201"/>
      <c r="FKB685" s="201"/>
      <c r="FKC685" s="201"/>
      <c r="FKD685" s="201"/>
      <c r="FKE685" s="201"/>
      <c r="FKF685" s="201"/>
      <c r="FKG685" s="201"/>
      <c r="FKH685" s="201"/>
      <c r="FKI685" s="201"/>
      <c r="FKJ685" s="201"/>
      <c r="FKK685" s="201"/>
      <c r="FKL685" s="201"/>
      <c r="FKM685" s="201"/>
      <c r="FKN685" s="201"/>
      <c r="FKO685" s="201"/>
      <c r="FKP685" s="201"/>
      <c r="FKQ685" s="201"/>
      <c r="FKR685" s="201"/>
      <c r="FKS685" s="201"/>
      <c r="FKT685" s="201"/>
      <c r="FKU685" s="201"/>
      <c r="FKV685" s="201"/>
      <c r="FKW685" s="201"/>
      <c r="FKX685" s="201"/>
      <c r="FKY685" s="201"/>
      <c r="FKZ685" s="201"/>
      <c r="FLA685" s="201"/>
      <c r="FLB685" s="201"/>
      <c r="FLC685" s="201"/>
      <c r="FLD685" s="201"/>
      <c r="FLE685" s="201"/>
      <c r="FLF685" s="201"/>
      <c r="FLG685" s="201"/>
      <c r="FLH685" s="201"/>
      <c r="FLI685" s="201"/>
      <c r="FLJ685" s="201"/>
      <c r="FLK685" s="201"/>
      <c r="FLL685" s="201"/>
      <c r="FLM685" s="201"/>
      <c r="FLN685" s="201"/>
      <c r="FLO685" s="201"/>
      <c r="FLP685" s="201"/>
      <c r="FLQ685" s="201"/>
      <c r="FLR685" s="201"/>
      <c r="FLS685" s="201"/>
      <c r="FLT685" s="201"/>
      <c r="FLU685" s="201"/>
      <c r="FLV685" s="201"/>
      <c r="FLW685" s="201"/>
      <c r="FLX685" s="201"/>
      <c r="FLY685" s="201"/>
      <c r="FLZ685" s="201"/>
      <c r="FMA685" s="201"/>
      <c r="FMB685" s="201"/>
      <c r="FMC685" s="201"/>
      <c r="FMD685" s="201"/>
      <c r="FME685" s="201"/>
      <c r="FMF685" s="201"/>
      <c r="FMG685" s="201"/>
      <c r="FMH685" s="201"/>
      <c r="FMI685" s="201"/>
      <c r="FMJ685" s="201"/>
      <c r="FMK685" s="201"/>
      <c r="FML685" s="201"/>
      <c r="FMM685" s="201"/>
      <c r="FMN685" s="201"/>
      <c r="FMO685" s="201"/>
      <c r="FMP685" s="201"/>
      <c r="FMQ685" s="201"/>
      <c r="FMR685" s="201"/>
      <c r="FMS685" s="201"/>
      <c r="FMT685" s="201"/>
      <c r="FMU685" s="201"/>
      <c r="FMV685" s="201"/>
      <c r="FMW685" s="201"/>
      <c r="FMX685" s="201"/>
      <c r="FMY685" s="201"/>
      <c r="FMZ685" s="201"/>
      <c r="FNA685" s="201"/>
      <c r="FNB685" s="201"/>
      <c r="FNC685" s="201"/>
      <c r="FND685" s="201"/>
      <c r="FNE685" s="201"/>
      <c r="FNF685" s="201"/>
      <c r="FNG685" s="201"/>
      <c r="FNH685" s="201"/>
      <c r="FNI685" s="201"/>
      <c r="FNJ685" s="201"/>
      <c r="FNK685" s="201"/>
      <c r="FNL685" s="201"/>
      <c r="FNM685" s="201"/>
      <c r="FNN685" s="201"/>
      <c r="FNO685" s="201"/>
      <c r="FNP685" s="201"/>
      <c r="FNQ685" s="201"/>
      <c r="FNR685" s="201"/>
      <c r="FNS685" s="201"/>
      <c r="FNT685" s="201"/>
      <c r="FNU685" s="201"/>
      <c r="FNV685" s="201"/>
      <c r="FNW685" s="201"/>
      <c r="FNX685" s="201"/>
      <c r="FNY685" s="201"/>
      <c r="FNZ685" s="201"/>
      <c r="FOA685" s="201"/>
      <c r="FOB685" s="201"/>
      <c r="FOC685" s="201"/>
      <c r="FOD685" s="201"/>
      <c r="FOE685" s="201"/>
      <c r="FOF685" s="201"/>
      <c r="FOG685" s="201"/>
      <c r="FOH685" s="201"/>
      <c r="FOI685" s="201"/>
      <c r="FOJ685" s="201"/>
      <c r="FOK685" s="201"/>
      <c r="FOL685" s="201"/>
      <c r="FOM685" s="201"/>
      <c r="FON685" s="201"/>
      <c r="FOO685" s="201"/>
      <c r="FOP685" s="201"/>
      <c r="FOQ685" s="201"/>
      <c r="FOR685" s="201"/>
      <c r="FOS685" s="201"/>
      <c r="FOT685" s="201"/>
      <c r="FOU685" s="201"/>
      <c r="FOV685" s="201"/>
      <c r="FOW685" s="201"/>
      <c r="FOX685" s="201"/>
      <c r="FOY685" s="201"/>
      <c r="FOZ685" s="201"/>
      <c r="FPA685" s="201"/>
      <c r="FPB685" s="201"/>
      <c r="FPC685" s="201"/>
      <c r="FPD685" s="201"/>
      <c r="FPE685" s="201"/>
      <c r="FPF685" s="201"/>
      <c r="FPG685" s="201"/>
      <c r="FPH685" s="201"/>
      <c r="FPI685" s="201"/>
      <c r="FPJ685" s="201"/>
      <c r="FPK685" s="201"/>
      <c r="FPL685" s="201"/>
      <c r="FPM685" s="201"/>
      <c r="FPN685" s="201"/>
      <c r="FPO685" s="201"/>
      <c r="FPP685" s="201"/>
      <c r="FPQ685" s="201"/>
      <c r="FPR685" s="201"/>
      <c r="FPS685" s="201"/>
      <c r="FPT685" s="201"/>
      <c r="FPU685" s="201"/>
      <c r="FPV685" s="201"/>
      <c r="FPW685" s="201"/>
      <c r="FPX685" s="201"/>
      <c r="FPY685" s="201"/>
      <c r="FPZ685" s="201"/>
      <c r="FQA685" s="201"/>
      <c r="FQB685" s="201"/>
      <c r="FQC685" s="201"/>
      <c r="FQD685" s="201"/>
      <c r="FQE685" s="201"/>
      <c r="FQF685" s="201"/>
      <c r="FQG685" s="201"/>
      <c r="FQH685" s="201"/>
      <c r="FQI685" s="201"/>
      <c r="FQJ685" s="201"/>
      <c r="FQK685" s="201"/>
      <c r="FQL685" s="201"/>
      <c r="FQM685" s="201"/>
      <c r="FQN685" s="201"/>
      <c r="FQO685" s="201"/>
      <c r="FQP685" s="201"/>
      <c r="FQQ685" s="201"/>
      <c r="FQR685" s="201"/>
      <c r="FQS685" s="201"/>
      <c r="FQT685" s="201"/>
      <c r="FQU685" s="201"/>
      <c r="FQV685" s="201"/>
      <c r="FQW685" s="201"/>
      <c r="FQX685" s="201"/>
      <c r="FQY685" s="201"/>
      <c r="FQZ685" s="201"/>
      <c r="FRA685" s="201"/>
      <c r="FRB685" s="201"/>
      <c r="FRC685" s="201"/>
      <c r="FRD685" s="201"/>
      <c r="FRE685" s="201"/>
      <c r="FRF685" s="201"/>
      <c r="FRG685" s="201"/>
      <c r="FRH685" s="201"/>
      <c r="FRI685" s="201"/>
      <c r="FRJ685" s="201"/>
      <c r="FRK685" s="201"/>
      <c r="FRL685" s="201"/>
      <c r="FRM685" s="201"/>
      <c r="FRN685" s="201"/>
      <c r="FRO685" s="201"/>
      <c r="FRP685" s="201"/>
      <c r="FRQ685" s="201"/>
      <c r="FRR685" s="201"/>
      <c r="FRS685" s="201"/>
      <c r="FRT685" s="201"/>
      <c r="FRU685" s="201"/>
      <c r="FRV685" s="201"/>
      <c r="FRW685" s="201"/>
      <c r="FRX685" s="201"/>
      <c r="FRY685" s="201"/>
      <c r="FRZ685" s="201"/>
      <c r="FSA685" s="201"/>
      <c r="FSB685" s="201"/>
      <c r="FSC685" s="201"/>
      <c r="FSD685" s="201"/>
      <c r="FSE685" s="201"/>
      <c r="FSF685" s="201"/>
      <c r="FSG685" s="201"/>
      <c r="FSH685" s="201"/>
      <c r="FSI685" s="201"/>
      <c r="FSJ685" s="201"/>
      <c r="FSK685" s="201"/>
      <c r="FSL685" s="201"/>
      <c r="FSM685" s="201"/>
      <c r="FSN685" s="201"/>
      <c r="FSO685" s="201"/>
      <c r="FSP685" s="201"/>
      <c r="FSQ685" s="201"/>
      <c r="FSR685" s="201"/>
      <c r="FSS685" s="201"/>
      <c r="FST685" s="201"/>
      <c r="FSU685" s="201"/>
      <c r="FSV685" s="201"/>
      <c r="FSW685" s="201"/>
      <c r="FSX685" s="201"/>
      <c r="FSY685" s="201"/>
      <c r="FSZ685" s="201"/>
      <c r="FTA685" s="201"/>
      <c r="FTB685" s="201"/>
      <c r="FTC685" s="201"/>
      <c r="FTD685" s="201"/>
      <c r="FTE685" s="201"/>
      <c r="FTF685" s="201"/>
      <c r="FTG685" s="201"/>
      <c r="FTH685" s="201"/>
      <c r="FTI685" s="201"/>
      <c r="FTJ685" s="201"/>
      <c r="FTK685" s="201"/>
      <c r="FTL685" s="201"/>
      <c r="FTM685" s="201"/>
      <c r="FTN685" s="201"/>
      <c r="FTO685" s="201"/>
      <c r="FTP685" s="201"/>
      <c r="FTQ685" s="201"/>
      <c r="FTR685" s="201"/>
      <c r="FTS685" s="201"/>
      <c r="FTT685" s="201"/>
      <c r="FTU685" s="201"/>
      <c r="FTV685" s="201"/>
      <c r="FTW685" s="201"/>
      <c r="FTX685" s="201"/>
      <c r="FTY685" s="201"/>
      <c r="FTZ685" s="201"/>
      <c r="FUA685" s="201"/>
      <c r="FUB685" s="201"/>
      <c r="FUC685" s="201"/>
      <c r="FUD685" s="201"/>
      <c r="FUE685" s="201"/>
      <c r="FUF685" s="201"/>
      <c r="FUG685" s="201"/>
      <c r="FUH685" s="201"/>
      <c r="FUI685" s="201"/>
      <c r="FUJ685" s="201"/>
      <c r="FUK685" s="201"/>
      <c r="FUL685" s="201"/>
      <c r="FUM685" s="201"/>
      <c r="FUN685" s="201"/>
      <c r="FUO685" s="201"/>
      <c r="FUP685" s="201"/>
      <c r="FUQ685" s="201"/>
      <c r="FUR685" s="201"/>
      <c r="FUS685" s="201"/>
      <c r="FUT685" s="201"/>
      <c r="FUU685" s="201"/>
      <c r="FUV685" s="201"/>
      <c r="FUW685" s="201"/>
      <c r="FUX685" s="201"/>
      <c r="FUY685" s="201"/>
      <c r="FUZ685" s="201"/>
      <c r="FVA685" s="201"/>
      <c r="FVB685" s="201"/>
      <c r="FVC685" s="201"/>
      <c r="FVD685" s="201"/>
      <c r="FVE685" s="201"/>
      <c r="FVF685" s="201"/>
      <c r="FVG685" s="201"/>
      <c r="FVH685" s="201"/>
      <c r="FVI685" s="201"/>
      <c r="FVJ685" s="201"/>
      <c r="FVK685" s="201"/>
      <c r="FVL685" s="201"/>
      <c r="FVM685" s="201"/>
      <c r="FVN685" s="201"/>
      <c r="FVO685" s="201"/>
      <c r="FVP685" s="201"/>
      <c r="FVQ685" s="201"/>
      <c r="FVR685" s="201"/>
      <c r="FVS685" s="201"/>
      <c r="FVT685" s="201"/>
      <c r="FVU685" s="201"/>
      <c r="FVV685" s="201"/>
      <c r="FVW685" s="201"/>
      <c r="FVX685" s="201"/>
      <c r="FVY685" s="201"/>
      <c r="FVZ685" s="201"/>
      <c r="FWA685" s="201"/>
      <c r="FWB685" s="201"/>
      <c r="FWC685" s="201"/>
      <c r="FWD685" s="201"/>
      <c r="FWE685" s="201"/>
      <c r="FWF685" s="201"/>
      <c r="FWG685" s="201"/>
      <c r="FWH685" s="201"/>
      <c r="FWI685" s="201"/>
      <c r="FWJ685" s="201"/>
      <c r="FWK685" s="201"/>
      <c r="FWL685" s="201"/>
      <c r="FWM685" s="201"/>
      <c r="FWN685" s="201"/>
      <c r="FWO685" s="201"/>
      <c r="FWP685" s="201"/>
      <c r="FWQ685" s="201"/>
      <c r="FWR685" s="201"/>
      <c r="FWS685" s="201"/>
      <c r="FWT685" s="201"/>
      <c r="FWU685" s="201"/>
      <c r="FWV685" s="201"/>
      <c r="FWW685" s="201"/>
      <c r="FWX685" s="201"/>
      <c r="FWY685" s="201"/>
      <c r="FWZ685" s="201"/>
      <c r="FXA685" s="201"/>
      <c r="FXB685" s="201"/>
      <c r="FXC685" s="201"/>
      <c r="FXD685" s="201"/>
      <c r="FXE685" s="201"/>
      <c r="FXF685" s="201"/>
      <c r="FXG685" s="201"/>
      <c r="FXH685" s="201"/>
      <c r="FXI685" s="201"/>
      <c r="FXJ685" s="201"/>
      <c r="FXK685" s="201"/>
      <c r="FXL685" s="201"/>
      <c r="FXM685" s="201"/>
      <c r="FXN685" s="201"/>
      <c r="FXO685" s="201"/>
      <c r="FXP685" s="201"/>
      <c r="FXQ685" s="201"/>
      <c r="FXR685" s="201"/>
      <c r="FXS685" s="201"/>
      <c r="FXT685" s="201"/>
      <c r="FXU685" s="201"/>
      <c r="FXV685" s="201"/>
      <c r="FXW685" s="201"/>
      <c r="FXX685" s="201"/>
      <c r="FXY685" s="201"/>
      <c r="FXZ685" s="201"/>
      <c r="FYA685" s="201"/>
      <c r="FYB685" s="201"/>
      <c r="FYC685" s="201"/>
      <c r="FYD685" s="201"/>
      <c r="FYE685" s="201"/>
      <c r="FYF685" s="201"/>
      <c r="FYG685" s="201"/>
      <c r="FYH685" s="201"/>
      <c r="FYI685" s="201"/>
      <c r="FYJ685" s="201"/>
      <c r="FYK685" s="201"/>
      <c r="FYL685" s="201"/>
      <c r="FYM685" s="201"/>
      <c r="FYN685" s="201"/>
      <c r="FYO685" s="201"/>
      <c r="FYP685" s="201"/>
      <c r="FYQ685" s="201"/>
      <c r="FYR685" s="201"/>
      <c r="FYS685" s="201"/>
      <c r="FYT685" s="201"/>
      <c r="FYU685" s="201"/>
      <c r="FYV685" s="201"/>
      <c r="FYW685" s="201"/>
      <c r="FYX685" s="201"/>
      <c r="FYY685" s="201"/>
      <c r="FYZ685" s="201"/>
      <c r="FZA685" s="201"/>
      <c r="FZB685" s="201"/>
      <c r="FZC685" s="201"/>
      <c r="FZD685" s="201"/>
      <c r="FZE685" s="201"/>
      <c r="FZF685" s="201"/>
      <c r="FZG685" s="201"/>
      <c r="FZH685" s="201"/>
      <c r="FZI685" s="201"/>
      <c r="FZJ685" s="201"/>
      <c r="FZK685" s="201"/>
      <c r="FZL685" s="201"/>
      <c r="FZM685" s="201"/>
      <c r="FZN685" s="201"/>
      <c r="FZO685" s="201"/>
      <c r="FZP685" s="201"/>
      <c r="FZQ685" s="201"/>
      <c r="FZR685" s="201"/>
      <c r="FZS685" s="201"/>
      <c r="FZT685" s="201"/>
      <c r="FZU685" s="201"/>
      <c r="FZV685" s="201"/>
      <c r="FZW685" s="201"/>
      <c r="FZX685" s="201"/>
      <c r="FZY685" s="201"/>
      <c r="FZZ685" s="201"/>
      <c r="GAA685" s="201"/>
      <c r="GAB685" s="201"/>
      <c r="GAC685" s="201"/>
      <c r="GAD685" s="201"/>
      <c r="GAE685" s="201"/>
      <c r="GAF685" s="201"/>
      <c r="GAG685" s="201"/>
      <c r="GAH685" s="201"/>
      <c r="GAI685" s="201"/>
      <c r="GAJ685" s="201"/>
      <c r="GAK685" s="201"/>
      <c r="GAL685" s="201"/>
      <c r="GAM685" s="201"/>
      <c r="GAN685" s="201"/>
      <c r="GAO685" s="201"/>
      <c r="GAP685" s="201"/>
      <c r="GAQ685" s="201"/>
      <c r="GAR685" s="201"/>
      <c r="GAS685" s="201"/>
      <c r="GAT685" s="201"/>
      <c r="GAU685" s="201"/>
      <c r="GAV685" s="201"/>
      <c r="GAW685" s="201"/>
      <c r="GAX685" s="201"/>
      <c r="GAY685" s="201"/>
      <c r="GAZ685" s="201"/>
      <c r="GBA685" s="201"/>
      <c r="GBB685" s="201"/>
      <c r="GBC685" s="201"/>
      <c r="GBD685" s="201"/>
      <c r="GBE685" s="201"/>
      <c r="GBF685" s="201"/>
      <c r="GBG685" s="201"/>
      <c r="GBH685" s="201"/>
      <c r="GBI685" s="201"/>
      <c r="GBJ685" s="201"/>
      <c r="GBK685" s="201"/>
      <c r="GBL685" s="201"/>
      <c r="GBM685" s="201"/>
      <c r="GBN685" s="201"/>
      <c r="GBO685" s="201"/>
      <c r="GBP685" s="201"/>
      <c r="GBQ685" s="201"/>
      <c r="GBR685" s="201"/>
      <c r="GBS685" s="201"/>
      <c r="GBT685" s="201"/>
      <c r="GBU685" s="201"/>
      <c r="GBV685" s="201"/>
      <c r="GBW685" s="201"/>
      <c r="GBX685" s="201"/>
      <c r="GBY685" s="201"/>
      <c r="GBZ685" s="201"/>
      <c r="GCA685" s="201"/>
      <c r="GCB685" s="201"/>
      <c r="GCC685" s="201"/>
      <c r="GCD685" s="201"/>
      <c r="GCE685" s="201"/>
      <c r="GCF685" s="201"/>
      <c r="GCG685" s="201"/>
      <c r="GCH685" s="201"/>
      <c r="GCI685" s="201"/>
      <c r="GCJ685" s="201"/>
      <c r="GCK685" s="201"/>
      <c r="GCL685" s="201"/>
      <c r="GCM685" s="201"/>
      <c r="GCN685" s="201"/>
      <c r="GCO685" s="201"/>
      <c r="GCP685" s="201"/>
      <c r="GCQ685" s="201"/>
      <c r="GCR685" s="201"/>
      <c r="GCS685" s="201"/>
      <c r="GCT685" s="201"/>
      <c r="GCU685" s="201"/>
      <c r="GCV685" s="201"/>
      <c r="GCW685" s="201"/>
      <c r="GCX685" s="201"/>
      <c r="GCY685" s="201"/>
      <c r="GCZ685" s="201"/>
      <c r="GDA685" s="201"/>
      <c r="GDB685" s="201"/>
      <c r="GDC685" s="201"/>
      <c r="GDD685" s="201"/>
      <c r="GDE685" s="201"/>
      <c r="GDF685" s="201"/>
      <c r="GDG685" s="201"/>
      <c r="GDH685" s="201"/>
      <c r="GDI685" s="201"/>
      <c r="GDJ685" s="201"/>
      <c r="GDK685" s="201"/>
      <c r="GDL685" s="201"/>
      <c r="GDM685" s="201"/>
      <c r="GDN685" s="201"/>
      <c r="GDO685" s="201"/>
      <c r="GDP685" s="201"/>
      <c r="GDQ685" s="201"/>
      <c r="GDR685" s="201"/>
      <c r="GDS685" s="201"/>
      <c r="GDT685" s="201"/>
      <c r="GDU685" s="201"/>
      <c r="GDV685" s="201"/>
      <c r="GDW685" s="201"/>
      <c r="GDX685" s="201"/>
      <c r="GDY685" s="201"/>
      <c r="GDZ685" s="201"/>
      <c r="GEA685" s="201"/>
      <c r="GEB685" s="201"/>
      <c r="GEC685" s="201"/>
      <c r="GED685" s="201"/>
      <c r="GEE685" s="201"/>
      <c r="GEF685" s="201"/>
      <c r="GEG685" s="201"/>
      <c r="GEH685" s="201"/>
      <c r="GEI685" s="201"/>
      <c r="GEJ685" s="201"/>
      <c r="GEK685" s="201"/>
      <c r="GEL685" s="201"/>
      <c r="GEM685" s="201"/>
      <c r="GEN685" s="201"/>
      <c r="GEO685" s="201"/>
      <c r="GEP685" s="201"/>
      <c r="GEQ685" s="201"/>
      <c r="GER685" s="201"/>
      <c r="GES685" s="201"/>
      <c r="GET685" s="201"/>
      <c r="GEU685" s="201"/>
      <c r="GEV685" s="201"/>
      <c r="GEW685" s="201"/>
      <c r="GEX685" s="201"/>
      <c r="GEY685" s="201"/>
      <c r="GEZ685" s="201"/>
      <c r="GFA685" s="201"/>
      <c r="GFB685" s="201"/>
      <c r="GFC685" s="201"/>
      <c r="GFD685" s="201"/>
      <c r="GFE685" s="201"/>
      <c r="GFF685" s="201"/>
      <c r="GFG685" s="201"/>
      <c r="GFH685" s="201"/>
      <c r="GFI685" s="201"/>
      <c r="GFJ685" s="201"/>
      <c r="GFK685" s="201"/>
      <c r="GFL685" s="201"/>
      <c r="GFM685" s="201"/>
      <c r="GFN685" s="201"/>
      <c r="GFO685" s="201"/>
      <c r="GFP685" s="201"/>
      <c r="GFQ685" s="201"/>
      <c r="GFR685" s="201"/>
      <c r="GFS685" s="201"/>
      <c r="GFT685" s="201"/>
      <c r="GFU685" s="201"/>
      <c r="GFV685" s="201"/>
      <c r="GFW685" s="201"/>
      <c r="GFX685" s="201"/>
      <c r="GFY685" s="201"/>
      <c r="GFZ685" s="201"/>
      <c r="GGA685" s="201"/>
      <c r="GGB685" s="201"/>
      <c r="GGC685" s="201"/>
      <c r="GGD685" s="201"/>
      <c r="GGE685" s="201"/>
      <c r="GGF685" s="201"/>
      <c r="GGG685" s="201"/>
      <c r="GGH685" s="201"/>
      <c r="GGI685" s="201"/>
      <c r="GGJ685" s="201"/>
      <c r="GGK685" s="201"/>
      <c r="GGL685" s="201"/>
      <c r="GGM685" s="201"/>
      <c r="GGN685" s="201"/>
      <c r="GGO685" s="201"/>
      <c r="GGP685" s="201"/>
      <c r="GGQ685" s="201"/>
      <c r="GGR685" s="201"/>
      <c r="GGS685" s="201"/>
      <c r="GGT685" s="201"/>
      <c r="GGU685" s="201"/>
      <c r="GGV685" s="201"/>
      <c r="GGW685" s="201"/>
      <c r="GGX685" s="201"/>
      <c r="GGY685" s="201"/>
      <c r="GGZ685" s="201"/>
      <c r="GHA685" s="201"/>
      <c r="GHB685" s="201"/>
      <c r="GHC685" s="201"/>
      <c r="GHD685" s="201"/>
      <c r="GHE685" s="201"/>
      <c r="GHF685" s="201"/>
      <c r="GHG685" s="201"/>
      <c r="GHH685" s="201"/>
      <c r="GHI685" s="201"/>
      <c r="GHJ685" s="201"/>
      <c r="GHK685" s="201"/>
      <c r="GHL685" s="201"/>
      <c r="GHM685" s="201"/>
      <c r="GHN685" s="201"/>
      <c r="GHO685" s="201"/>
      <c r="GHP685" s="201"/>
      <c r="GHQ685" s="201"/>
      <c r="GHR685" s="201"/>
      <c r="GHS685" s="201"/>
      <c r="GHT685" s="201"/>
      <c r="GHU685" s="201"/>
      <c r="GHV685" s="201"/>
      <c r="GHW685" s="201"/>
      <c r="GHX685" s="201"/>
      <c r="GHY685" s="201"/>
      <c r="GHZ685" s="201"/>
      <c r="GIA685" s="201"/>
      <c r="GIB685" s="201"/>
      <c r="GIC685" s="201"/>
      <c r="GID685" s="201"/>
      <c r="GIE685" s="201"/>
      <c r="GIF685" s="201"/>
      <c r="GIG685" s="201"/>
      <c r="GIH685" s="201"/>
      <c r="GII685" s="201"/>
      <c r="GIJ685" s="201"/>
      <c r="GIK685" s="201"/>
      <c r="GIL685" s="201"/>
      <c r="GIM685" s="201"/>
      <c r="GIN685" s="201"/>
      <c r="GIO685" s="201"/>
      <c r="GIP685" s="201"/>
      <c r="GIQ685" s="201"/>
      <c r="GIR685" s="201"/>
      <c r="GIS685" s="201"/>
      <c r="GIT685" s="201"/>
      <c r="GIU685" s="201"/>
      <c r="GIV685" s="201"/>
      <c r="GIW685" s="201"/>
      <c r="GIX685" s="201"/>
      <c r="GIY685" s="201"/>
      <c r="GIZ685" s="201"/>
      <c r="GJA685" s="201"/>
      <c r="GJB685" s="201"/>
      <c r="GJC685" s="201"/>
      <c r="GJD685" s="201"/>
      <c r="GJE685" s="201"/>
      <c r="GJF685" s="201"/>
      <c r="GJG685" s="201"/>
      <c r="GJH685" s="201"/>
      <c r="GJI685" s="201"/>
      <c r="GJJ685" s="201"/>
      <c r="GJK685" s="201"/>
      <c r="GJL685" s="201"/>
      <c r="GJM685" s="201"/>
      <c r="GJN685" s="201"/>
      <c r="GJO685" s="201"/>
      <c r="GJP685" s="201"/>
      <c r="GJQ685" s="201"/>
      <c r="GJR685" s="201"/>
      <c r="GJS685" s="201"/>
      <c r="GJT685" s="201"/>
      <c r="GJU685" s="201"/>
      <c r="GJV685" s="201"/>
      <c r="GJW685" s="201"/>
      <c r="GJX685" s="201"/>
      <c r="GJY685" s="201"/>
      <c r="GJZ685" s="201"/>
      <c r="GKA685" s="201"/>
      <c r="GKB685" s="201"/>
      <c r="GKC685" s="201"/>
      <c r="GKD685" s="201"/>
      <c r="GKE685" s="201"/>
      <c r="GKF685" s="201"/>
      <c r="GKG685" s="201"/>
      <c r="GKH685" s="201"/>
      <c r="GKI685" s="201"/>
      <c r="GKJ685" s="201"/>
      <c r="GKK685" s="201"/>
      <c r="GKL685" s="201"/>
      <c r="GKM685" s="201"/>
      <c r="GKN685" s="201"/>
      <c r="GKO685" s="201"/>
      <c r="GKP685" s="201"/>
      <c r="GKQ685" s="201"/>
      <c r="GKR685" s="201"/>
      <c r="GKS685" s="201"/>
      <c r="GKT685" s="201"/>
      <c r="GKU685" s="201"/>
      <c r="GKV685" s="201"/>
      <c r="GKW685" s="201"/>
      <c r="GKX685" s="201"/>
      <c r="GKY685" s="201"/>
      <c r="GKZ685" s="201"/>
      <c r="GLA685" s="201"/>
      <c r="GLB685" s="201"/>
      <c r="GLC685" s="201"/>
      <c r="GLD685" s="201"/>
      <c r="GLE685" s="201"/>
      <c r="GLF685" s="201"/>
      <c r="GLG685" s="201"/>
      <c r="GLH685" s="201"/>
      <c r="GLI685" s="201"/>
      <c r="GLJ685" s="201"/>
      <c r="GLK685" s="201"/>
      <c r="GLL685" s="201"/>
      <c r="GLM685" s="201"/>
      <c r="GLN685" s="201"/>
      <c r="GLO685" s="201"/>
      <c r="GLP685" s="201"/>
      <c r="GLQ685" s="201"/>
      <c r="GLR685" s="201"/>
      <c r="GLS685" s="201"/>
      <c r="GLT685" s="201"/>
      <c r="GLU685" s="201"/>
      <c r="GLV685" s="201"/>
      <c r="GLW685" s="201"/>
      <c r="GLX685" s="201"/>
      <c r="GLY685" s="201"/>
      <c r="GLZ685" s="201"/>
      <c r="GMA685" s="201"/>
      <c r="GMB685" s="201"/>
      <c r="GMC685" s="201"/>
      <c r="GMD685" s="201"/>
      <c r="GME685" s="201"/>
      <c r="GMF685" s="201"/>
      <c r="GMG685" s="201"/>
      <c r="GMH685" s="201"/>
      <c r="GMI685" s="201"/>
      <c r="GMJ685" s="201"/>
      <c r="GMK685" s="201"/>
      <c r="GML685" s="201"/>
      <c r="GMM685" s="201"/>
      <c r="GMN685" s="201"/>
      <c r="GMO685" s="201"/>
      <c r="GMP685" s="201"/>
      <c r="GMQ685" s="201"/>
      <c r="GMR685" s="201"/>
      <c r="GMS685" s="201"/>
      <c r="GMT685" s="201"/>
      <c r="GMU685" s="201"/>
      <c r="GMV685" s="201"/>
      <c r="GMW685" s="201"/>
      <c r="GMX685" s="201"/>
      <c r="GMY685" s="201"/>
      <c r="GMZ685" s="201"/>
      <c r="GNA685" s="201"/>
      <c r="GNB685" s="201"/>
      <c r="GNC685" s="201"/>
      <c r="GND685" s="201"/>
      <c r="GNE685" s="201"/>
      <c r="GNF685" s="201"/>
      <c r="GNG685" s="201"/>
      <c r="GNH685" s="201"/>
      <c r="GNI685" s="201"/>
      <c r="GNJ685" s="201"/>
      <c r="GNK685" s="201"/>
      <c r="GNL685" s="201"/>
      <c r="GNM685" s="201"/>
      <c r="GNN685" s="201"/>
      <c r="GNO685" s="201"/>
      <c r="GNP685" s="201"/>
      <c r="GNQ685" s="201"/>
      <c r="GNR685" s="201"/>
      <c r="GNS685" s="201"/>
      <c r="GNT685" s="201"/>
      <c r="GNU685" s="201"/>
      <c r="GNV685" s="201"/>
      <c r="GNW685" s="201"/>
      <c r="GNX685" s="201"/>
      <c r="GNY685" s="201"/>
      <c r="GNZ685" s="201"/>
      <c r="GOA685" s="201"/>
      <c r="GOB685" s="201"/>
      <c r="GOC685" s="201"/>
      <c r="GOD685" s="201"/>
      <c r="GOE685" s="201"/>
      <c r="GOF685" s="201"/>
      <c r="GOG685" s="201"/>
      <c r="GOH685" s="201"/>
      <c r="GOI685" s="201"/>
      <c r="GOJ685" s="201"/>
      <c r="GOK685" s="201"/>
      <c r="GOL685" s="201"/>
      <c r="GOM685" s="201"/>
      <c r="GON685" s="201"/>
      <c r="GOO685" s="201"/>
      <c r="GOP685" s="201"/>
      <c r="GOQ685" s="201"/>
      <c r="GOR685" s="201"/>
      <c r="GOS685" s="201"/>
      <c r="GOT685" s="201"/>
      <c r="GOU685" s="201"/>
      <c r="GOV685" s="201"/>
      <c r="GOW685" s="201"/>
      <c r="GOX685" s="201"/>
      <c r="GOY685" s="201"/>
      <c r="GOZ685" s="201"/>
      <c r="GPA685" s="201"/>
      <c r="GPB685" s="201"/>
      <c r="GPC685" s="201"/>
      <c r="GPD685" s="201"/>
      <c r="GPE685" s="201"/>
      <c r="GPF685" s="201"/>
      <c r="GPG685" s="201"/>
      <c r="GPH685" s="201"/>
      <c r="GPI685" s="201"/>
      <c r="GPJ685" s="201"/>
      <c r="GPK685" s="201"/>
      <c r="GPL685" s="201"/>
      <c r="GPM685" s="201"/>
      <c r="GPN685" s="201"/>
      <c r="GPO685" s="201"/>
      <c r="GPP685" s="201"/>
      <c r="GPQ685" s="201"/>
      <c r="GPR685" s="201"/>
      <c r="GPS685" s="201"/>
      <c r="GPT685" s="201"/>
      <c r="GPU685" s="201"/>
      <c r="GPV685" s="201"/>
      <c r="GPW685" s="201"/>
      <c r="GPX685" s="201"/>
      <c r="GPY685" s="201"/>
      <c r="GPZ685" s="201"/>
      <c r="GQA685" s="201"/>
      <c r="GQB685" s="201"/>
      <c r="GQC685" s="201"/>
      <c r="GQD685" s="201"/>
      <c r="GQE685" s="201"/>
      <c r="GQF685" s="201"/>
      <c r="GQG685" s="201"/>
      <c r="GQH685" s="201"/>
      <c r="GQI685" s="201"/>
      <c r="GQJ685" s="201"/>
      <c r="GQK685" s="201"/>
      <c r="GQL685" s="201"/>
      <c r="GQM685" s="201"/>
      <c r="GQN685" s="201"/>
      <c r="GQO685" s="201"/>
      <c r="GQP685" s="201"/>
      <c r="GQQ685" s="201"/>
      <c r="GQR685" s="201"/>
      <c r="GQS685" s="201"/>
      <c r="GQT685" s="201"/>
      <c r="GQU685" s="201"/>
      <c r="GQV685" s="201"/>
      <c r="GQW685" s="201"/>
      <c r="GQX685" s="201"/>
      <c r="GQY685" s="201"/>
      <c r="GQZ685" s="201"/>
      <c r="GRA685" s="201"/>
      <c r="GRB685" s="201"/>
      <c r="GRC685" s="201"/>
      <c r="GRD685" s="201"/>
      <c r="GRE685" s="201"/>
      <c r="GRF685" s="201"/>
      <c r="GRG685" s="201"/>
      <c r="GRH685" s="201"/>
      <c r="GRI685" s="201"/>
      <c r="GRJ685" s="201"/>
      <c r="GRK685" s="201"/>
      <c r="GRL685" s="201"/>
      <c r="GRM685" s="201"/>
      <c r="GRN685" s="201"/>
      <c r="GRO685" s="201"/>
      <c r="GRP685" s="201"/>
      <c r="GRQ685" s="201"/>
      <c r="GRR685" s="201"/>
      <c r="GRS685" s="201"/>
      <c r="GRT685" s="201"/>
      <c r="GRU685" s="201"/>
      <c r="GRV685" s="201"/>
      <c r="GRW685" s="201"/>
      <c r="GRX685" s="201"/>
      <c r="GRY685" s="201"/>
      <c r="GRZ685" s="201"/>
      <c r="GSA685" s="201"/>
      <c r="GSB685" s="201"/>
      <c r="GSC685" s="201"/>
      <c r="GSD685" s="201"/>
      <c r="GSE685" s="201"/>
      <c r="GSF685" s="201"/>
      <c r="GSG685" s="201"/>
      <c r="GSH685" s="201"/>
      <c r="GSI685" s="201"/>
      <c r="GSJ685" s="201"/>
      <c r="GSK685" s="201"/>
      <c r="GSL685" s="201"/>
      <c r="GSM685" s="201"/>
      <c r="GSN685" s="201"/>
      <c r="GSO685" s="201"/>
      <c r="GSP685" s="201"/>
      <c r="GSQ685" s="201"/>
      <c r="GSR685" s="201"/>
      <c r="GSS685" s="201"/>
      <c r="GST685" s="201"/>
      <c r="GSU685" s="201"/>
      <c r="GSV685" s="201"/>
      <c r="GSW685" s="201"/>
      <c r="GSX685" s="201"/>
      <c r="GSY685" s="201"/>
      <c r="GSZ685" s="201"/>
      <c r="GTA685" s="201"/>
      <c r="GTB685" s="201"/>
      <c r="GTC685" s="201"/>
      <c r="GTD685" s="201"/>
      <c r="GTE685" s="201"/>
      <c r="GTF685" s="201"/>
      <c r="GTG685" s="201"/>
      <c r="GTH685" s="201"/>
      <c r="GTI685" s="201"/>
      <c r="GTJ685" s="201"/>
      <c r="GTK685" s="201"/>
      <c r="GTL685" s="201"/>
      <c r="GTM685" s="201"/>
      <c r="GTN685" s="201"/>
      <c r="GTO685" s="201"/>
      <c r="GTP685" s="201"/>
      <c r="GTQ685" s="201"/>
      <c r="GTR685" s="201"/>
      <c r="GTS685" s="201"/>
      <c r="GTT685" s="201"/>
      <c r="GTU685" s="201"/>
      <c r="GTV685" s="201"/>
      <c r="GTW685" s="201"/>
      <c r="GTX685" s="201"/>
      <c r="GTY685" s="201"/>
      <c r="GTZ685" s="201"/>
      <c r="GUA685" s="201"/>
      <c r="GUB685" s="201"/>
      <c r="GUC685" s="201"/>
      <c r="GUD685" s="201"/>
      <c r="GUE685" s="201"/>
      <c r="GUF685" s="201"/>
      <c r="GUG685" s="201"/>
      <c r="GUH685" s="201"/>
      <c r="GUI685" s="201"/>
      <c r="GUJ685" s="201"/>
      <c r="GUK685" s="201"/>
      <c r="GUL685" s="201"/>
      <c r="GUM685" s="201"/>
      <c r="GUN685" s="201"/>
      <c r="GUO685" s="201"/>
      <c r="GUP685" s="201"/>
      <c r="GUQ685" s="201"/>
      <c r="GUR685" s="201"/>
      <c r="GUS685" s="201"/>
      <c r="GUT685" s="201"/>
      <c r="GUU685" s="201"/>
      <c r="GUV685" s="201"/>
      <c r="GUW685" s="201"/>
      <c r="GUX685" s="201"/>
      <c r="GUY685" s="201"/>
      <c r="GUZ685" s="201"/>
      <c r="GVA685" s="201"/>
      <c r="GVB685" s="201"/>
      <c r="GVC685" s="201"/>
      <c r="GVD685" s="201"/>
      <c r="GVE685" s="201"/>
      <c r="GVF685" s="201"/>
      <c r="GVG685" s="201"/>
      <c r="GVH685" s="201"/>
      <c r="GVI685" s="201"/>
      <c r="GVJ685" s="201"/>
      <c r="GVK685" s="201"/>
      <c r="GVL685" s="201"/>
      <c r="GVM685" s="201"/>
      <c r="GVN685" s="201"/>
      <c r="GVO685" s="201"/>
      <c r="GVP685" s="201"/>
      <c r="GVQ685" s="201"/>
      <c r="GVR685" s="201"/>
      <c r="GVS685" s="201"/>
      <c r="GVT685" s="201"/>
      <c r="GVU685" s="201"/>
      <c r="GVV685" s="201"/>
      <c r="GVW685" s="201"/>
      <c r="GVX685" s="201"/>
      <c r="GVY685" s="201"/>
      <c r="GVZ685" s="201"/>
      <c r="GWA685" s="201"/>
      <c r="GWB685" s="201"/>
      <c r="GWC685" s="201"/>
      <c r="GWD685" s="201"/>
      <c r="GWE685" s="201"/>
      <c r="GWF685" s="201"/>
      <c r="GWG685" s="201"/>
      <c r="GWH685" s="201"/>
      <c r="GWI685" s="201"/>
      <c r="GWJ685" s="201"/>
      <c r="GWK685" s="201"/>
      <c r="GWL685" s="201"/>
      <c r="GWM685" s="201"/>
      <c r="GWN685" s="201"/>
      <c r="GWO685" s="201"/>
      <c r="GWP685" s="201"/>
      <c r="GWQ685" s="201"/>
      <c r="GWR685" s="201"/>
      <c r="GWS685" s="201"/>
      <c r="GWT685" s="201"/>
      <c r="GWU685" s="201"/>
      <c r="GWV685" s="201"/>
      <c r="GWW685" s="201"/>
      <c r="GWX685" s="201"/>
      <c r="GWY685" s="201"/>
      <c r="GWZ685" s="201"/>
      <c r="GXA685" s="201"/>
      <c r="GXB685" s="201"/>
      <c r="GXC685" s="201"/>
      <c r="GXD685" s="201"/>
      <c r="GXE685" s="201"/>
      <c r="GXF685" s="201"/>
      <c r="GXG685" s="201"/>
      <c r="GXH685" s="201"/>
      <c r="GXI685" s="201"/>
      <c r="GXJ685" s="201"/>
      <c r="GXK685" s="201"/>
      <c r="GXL685" s="201"/>
      <c r="GXM685" s="201"/>
      <c r="GXN685" s="201"/>
      <c r="GXO685" s="201"/>
      <c r="GXP685" s="201"/>
      <c r="GXQ685" s="201"/>
      <c r="GXR685" s="201"/>
      <c r="GXS685" s="201"/>
      <c r="GXT685" s="201"/>
      <c r="GXU685" s="201"/>
      <c r="GXV685" s="201"/>
      <c r="GXW685" s="201"/>
      <c r="GXX685" s="201"/>
      <c r="GXY685" s="201"/>
      <c r="GXZ685" s="201"/>
      <c r="GYA685" s="201"/>
      <c r="GYB685" s="201"/>
      <c r="GYC685" s="201"/>
      <c r="GYD685" s="201"/>
      <c r="GYE685" s="201"/>
      <c r="GYF685" s="201"/>
      <c r="GYG685" s="201"/>
      <c r="GYH685" s="201"/>
      <c r="GYI685" s="201"/>
      <c r="GYJ685" s="201"/>
      <c r="GYK685" s="201"/>
      <c r="GYL685" s="201"/>
      <c r="GYM685" s="201"/>
      <c r="GYN685" s="201"/>
      <c r="GYO685" s="201"/>
      <c r="GYP685" s="201"/>
      <c r="GYQ685" s="201"/>
      <c r="GYR685" s="201"/>
      <c r="GYS685" s="201"/>
      <c r="GYT685" s="201"/>
      <c r="GYU685" s="201"/>
      <c r="GYV685" s="201"/>
      <c r="GYW685" s="201"/>
      <c r="GYX685" s="201"/>
      <c r="GYY685" s="201"/>
      <c r="GYZ685" s="201"/>
      <c r="GZA685" s="201"/>
      <c r="GZB685" s="201"/>
      <c r="GZC685" s="201"/>
      <c r="GZD685" s="201"/>
      <c r="GZE685" s="201"/>
      <c r="GZF685" s="201"/>
      <c r="GZG685" s="201"/>
      <c r="GZH685" s="201"/>
      <c r="GZI685" s="201"/>
      <c r="GZJ685" s="201"/>
      <c r="GZK685" s="201"/>
      <c r="GZL685" s="201"/>
      <c r="GZM685" s="201"/>
      <c r="GZN685" s="201"/>
      <c r="GZO685" s="201"/>
      <c r="GZP685" s="201"/>
      <c r="GZQ685" s="201"/>
      <c r="GZR685" s="201"/>
      <c r="GZS685" s="201"/>
      <c r="GZT685" s="201"/>
      <c r="GZU685" s="201"/>
      <c r="GZV685" s="201"/>
      <c r="GZW685" s="201"/>
      <c r="GZX685" s="201"/>
      <c r="GZY685" s="201"/>
      <c r="GZZ685" s="201"/>
      <c r="HAA685" s="201"/>
      <c r="HAB685" s="201"/>
      <c r="HAC685" s="201"/>
      <c r="HAD685" s="201"/>
      <c r="HAE685" s="201"/>
      <c r="HAF685" s="201"/>
      <c r="HAG685" s="201"/>
      <c r="HAH685" s="201"/>
      <c r="HAI685" s="201"/>
      <c r="HAJ685" s="201"/>
      <c r="HAK685" s="201"/>
      <c r="HAL685" s="201"/>
      <c r="HAM685" s="201"/>
      <c r="HAN685" s="201"/>
      <c r="HAO685" s="201"/>
      <c r="HAP685" s="201"/>
      <c r="HAQ685" s="201"/>
      <c r="HAR685" s="201"/>
      <c r="HAS685" s="201"/>
      <c r="HAT685" s="201"/>
      <c r="HAU685" s="201"/>
      <c r="HAV685" s="201"/>
      <c r="HAW685" s="201"/>
      <c r="HAX685" s="201"/>
      <c r="HAY685" s="201"/>
      <c r="HAZ685" s="201"/>
      <c r="HBA685" s="201"/>
      <c r="HBB685" s="201"/>
      <c r="HBC685" s="201"/>
      <c r="HBD685" s="201"/>
      <c r="HBE685" s="201"/>
      <c r="HBF685" s="201"/>
      <c r="HBG685" s="201"/>
      <c r="HBH685" s="201"/>
      <c r="HBI685" s="201"/>
      <c r="HBJ685" s="201"/>
      <c r="HBK685" s="201"/>
      <c r="HBL685" s="201"/>
      <c r="HBM685" s="201"/>
      <c r="HBN685" s="201"/>
      <c r="HBO685" s="201"/>
      <c r="HBP685" s="201"/>
      <c r="HBQ685" s="201"/>
      <c r="HBR685" s="201"/>
      <c r="HBS685" s="201"/>
      <c r="HBT685" s="201"/>
      <c r="HBU685" s="201"/>
      <c r="HBV685" s="201"/>
      <c r="HBW685" s="201"/>
      <c r="HBX685" s="201"/>
      <c r="HBY685" s="201"/>
      <c r="HBZ685" s="201"/>
      <c r="HCA685" s="201"/>
      <c r="HCB685" s="201"/>
      <c r="HCC685" s="201"/>
      <c r="HCD685" s="201"/>
      <c r="HCE685" s="201"/>
      <c r="HCF685" s="201"/>
      <c r="HCG685" s="201"/>
      <c r="HCH685" s="201"/>
      <c r="HCI685" s="201"/>
      <c r="HCJ685" s="201"/>
      <c r="HCK685" s="201"/>
      <c r="HCL685" s="201"/>
      <c r="HCM685" s="201"/>
      <c r="HCN685" s="201"/>
      <c r="HCO685" s="201"/>
      <c r="HCP685" s="201"/>
      <c r="HCQ685" s="201"/>
      <c r="HCR685" s="201"/>
      <c r="HCS685" s="201"/>
      <c r="HCT685" s="201"/>
      <c r="HCU685" s="201"/>
      <c r="HCV685" s="201"/>
      <c r="HCW685" s="201"/>
      <c r="HCX685" s="201"/>
      <c r="HCY685" s="201"/>
      <c r="HCZ685" s="201"/>
      <c r="HDA685" s="201"/>
      <c r="HDB685" s="201"/>
      <c r="HDC685" s="201"/>
      <c r="HDD685" s="201"/>
      <c r="HDE685" s="201"/>
      <c r="HDF685" s="201"/>
      <c r="HDG685" s="201"/>
      <c r="HDH685" s="201"/>
      <c r="HDI685" s="201"/>
      <c r="HDJ685" s="201"/>
      <c r="HDK685" s="201"/>
      <c r="HDL685" s="201"/>
      <c r="HDM685" s="201"/>
      <c r="HDN685" s="201"/>
      <c r="HDO685" s="201"/>
      <c r="HDP685" s="201"/>
      <c r="HDQ685" s="201"/>
      <c r="HDR685" s="201"/>
      <c r="HDS685" s="201"/>
      <c r="HDT685" s="201"/>
      <c r="HDU685" s="201"/>
      <c r="HDV685" s="201"/>
      <c r="HDW685" s="201"/>
      <c r="HDX685" s="201"/>
      <c r="HDY685" s="201"/>
      <c r="HDZ685" s="201"/>
      <c r="HEA685" s="201"/>
      <c r="HEB685" s="201"/>
      <c r="HEC685" s="201"/>
      <c r="HED685" s="201"/>
      <c r="HEE685" s="201"/>
      <c r="HEF685" s="201"/>
      <c r="HEG685" s="201"/>
      <c r="HEH685" s="201"/>
      <c r="HEI685" s="201"/>
      <c r="HEJ685" s="201"/>
      <c r="HEK685" s="201"/>
      <c r="HEL685" s="201"/>
      <c r="HEM685" s="201"/>
      <c r="HEN685" s="201"/>
      <c r="HEO685" s="201"/>
      <c r="HEP685" s="201"/>
      <c r="HEQ685" s="201"/>
      <c r="HER685" s="201"/>
      <c r="HES685" s="201"/>
      <c r="HET685" s="201"/>
      <c r="HEU685" s="201"/>
      <c r="HEV685" s="201"/>
      <c r="HEW685" s="201"/>
      <c r="HEX685" s="201"/>
      <c r="HEY685" s="201"/>
      <c r="HEZ685" s="201"/>
      <c r="HFA685" s="201"/>
      <c r="HFB685" s="201"/>
      <c r="HFC685" s="201"/>
      <c r="HFD685" s="201"/>
      <c r="HFE685" s="201"/>
      <c r="HFF685" s="201"/>
      <c r="HFG685" s="201"/>
      <c r="HFH685" s="201"/>
      <c r="HFI685" s="201"/>
      <c r="HFJ685" s="201"/>
      <c r="HFK685" s="201"/>
      <c r="HFL685" s="201"/>
      <c r="HFM685" s="201"/>
      <c r="HFN685" s="201"/>
      <c r="HFO685" s="201"/>
      <c r="HFP685" s="201"/>
      <c r="HFQ685" s="201"/>
      <c r="HFR685" s="201"/>
      <c r="HFS685" s="201"/>
      <c r="HFT685" s="201"/>
      <c r="HFU685" s="201"/>
      <c r="HFV685" s="201"/>
      <c r="HFW685" s="201"/>
      <c r="HFX685" s="201"/>
      <c r="HFY685" s="201"/>
      <c r="HFZ685" s="201"/>
      <c r="HGA685" s="201"/>
      <c r="HGB685" s="201"/>
      <c r="HGC685" s="201"/>
      <c r="HGD685" s="201"/>
      <c r="HGE685" s="201"/>
      <c r="HGF685" s="201"/>
      <c r="HGG685" s="201"/>
      <c r="HGH685" s="201"/>
      <c r="HGI685" s="201"/>
      <c r="HGJ685" s="201"/>
      <c r="HGK685" s="201"/>
      <c r="HGL685" s="201"/>
      <c r="HGM685" s="201"/>
      <c r="HGN685" s="201"/>
      <c r="HGO685" s="201"/>
      <c r="HGP685" s="201"/>
      <c r="HGQ685" s="201"/>
      <c r="HGR685" s="201"/>
      <c r="HGS685" s="201"/>
      <c r="HGT685" s="201"/>
      <c r="HGU685" s="201"/>
      <c r="HGV685" s="201"/>
      <c r="HGW685" s="201"/>
      <c r="HGX685" s="201"/>
      <c r="HGY685" s="201"/>
      <c r="HGZ685" s="201"/>
      <c r="HHA685" s="201"/>
      <c r="HHB685" s="201"/>
      <c r="HHC685" s="201"/>
      <c r="HHD685" s="201"/>
      <c r="HHE685" s="201"/>
      <c r="HHF685" s="201"/>
      <c r="HHG685" s="201"/>
      <c r="HHH685" s="201"/>
      <c r="HHI685" s="201"/>
      <c r="HHJ685" s="201"/>
      <c r="HHK685" s="201"/>
      <c r="HHL685" s="201"/>
      <c r="HHM685" s="201"/>
      <c r="HHN685" s="201"/>
      <c r="HHO685" s="201"/>
      <c r="HHP685" s="201"/>
      <c r="HHQ685" s="201"/>
      <c r="HHR685" s="201"/>
      <c r="HHS685" s="201"/>
      <c r="HHT685" s="201"/>
      <c r="HHU685" s="201"/>
      <c r="HHV685" s="201"/>
      <c r="HHW685" s="201"/>
      <c r="HHX685" s="201"/>
      <c r="HHY685" s="201"/>
      <c r="HHZ685" s="201"/>
      <c r="HIA685" s="201"/>
      <c r="HIB685" s="201"/>
      <c r="HIC685" s="201"/>
      <c r="HID685" s="201"/>
      <c r="HIE685" s="201"/>
      <c r="HIF685" s="201"/>
      <c r="HIG685" s="201"/>
      <c r="HIH685" s="201"/>
      <c r="HII685" s="201"/>
      <c r="HIJ685" s="201"/>
      <c r="HIK685" s="201"/>
      <c r="HIL685" s="201"/>
      <c r="HIM685" s="201"/>
      <c r="HIN685" s="201"/>
      <c r="HIO685" s="201"/>
      <c r="HIP685" s="201"/>
      <c r="HIQ685" s="201"/>
      <c r="HIR685" s="201"/>
      <c r="HIS685" s="201"/>
      <c r="HIT685" s="201"/>
      <c r="HIU685" s="201"/>
      <c r="HIV685" s="201"/>
      <c r="HIW685" s="201"/>
      <c r="HIX685" s="201"/>
      <c r="HIY685" s="201"/>
      <c r="HIZ685" s="201"/>
      <c r="HJA685" s="201"/>
      <c r="HJB685" s="201"/>
      <c r="HJC685" s="201"/>
      <c r="HJD685" s="201"/>
      <c r="HJE685" s="201"/>
      <c r="HJF685" s="201"/>
      <c r="HJG685" s="201"/>
      <c r="HJH685" s="201"/>
      <c r="HJI685" s="201"/>
      <c r="HJJ685" s="201"/>
      <c r="HJK685" s="201"/>
      <c r="HJL685" s="201"/>
      <c r="HJM685" s="201"/>
      <c r="HJN685" s="201"/>
      <c r="HJO685" s="201"/>
      <c r="HJP685" s="201"/>
      <c r="HJQ685" s="201"/>
      <c r="HJR685" s="201"/>
      <c r="HJS685" s="201"/>
      <c r="HJT685" s="201"/>
      <c r="HJU685" s="201"/>
      <c r="HJV685" s="201"/>
      <c r="HJW685" s="201"/>
      <c r="HJX685" s="201"/>
      <c r="HJY685" s="201"/>
      <c r="HJZ685" s="201"/>
      <c r="HKA685" s="201"/>
      <c r="HKB685" s="201"/>
      <c r="HKC685" s="201"/>
      <c r="HKD685" s="201"/>
      <c r="HKE685" s="201"/>
      <c r="HKF685" s="201"/>
      <c r="HKG685" s="201"/>
      <c r="HKH685" s="201"/>
      <c r="HKI685" s="201"/>
      <c r="HKJ685" s="201"/>
      <c r="HKK685" s="201"/>
      <c r="HKL685" s="201"/>
      <c r="HKM685" s="201"/>
      <c r="HKN685" s="201"/>
      <c r="HKO685" s="201"/>
      <c r="HKP685" s="201"/>
      <c r="HKQ685" s="201"/>
      <c r="HKR685" s="201"/>
      <c r="HKS685" s="201"/>
      <c r="HKT685" s="201"/>
      <c r="HKU685" s="201"/>
      <c r="HKV685" s="201"/>
      <c r="HKW685" s="201"/>
      <c r="HKX685" s="201"/>
      <c r="HKY685" s="201"/>
      <c r="HKZ685" s="201"/>
      <c r="HLA685" s="201"/>
      <c r="HLB685" s="201"/>
      <c r="HLC685" s="201"/>
      <c r="HLD685" s="201"/>
      <c r="HLE685" s="201"/>
      <c r="HLF685" s="201"/>
      <c r="HLG685" s="201"/>
      <c r="HLH685" s="201"/>
      <c r="HLI685" s="201"/>
      <c r="HLJ685" s="201"/>
      <c r="HLK685" s="201"/>
      <c r="HLL685" s="201"/>
      <c r="HLM685" s="201"/>
      <c r="HLN685" s="201"/>
      <c r="HLO685" s="201"/>
      <c r="HLP685" s="201"/>
      <c r="HLQ685" s="201"/>
      <c r="HLR685" s="201"/>
      <c r="HLS685" s="201"/>
      <c r="HLT685" s="201"/>
      <c r="HLU685" s="201"/>
      <c r="HLV685" s="201"/>
      <c r="HLW685" s="201"/>
      <c r="HLX685" s="201"/>
      <c r="HLY685" s="201"/>
      <c r="HLZ685" s="201"/>
      <c r="HMA685" s="201"/>
      <c r="HMB685" s="201"/>
      <c r="HMC685" s="201"/>
      <c r="HMD685" s="201"/>
      <c r="HME685" s="201"/>
      <c r="HMF685" s="201"/>
      <c r="HMG685" s="201"/>
      <c r="HMH685" s="201"/>
      <c r="HMI685" s="201"/>
      <c r="HMJ685" s="201"/>
      <c r="HMK685" s="201"/>
      <c r="HML685" s="201"/>
      <c r="HMM685" s="201"/>
      <c r="HMN685" s="201"/>
      <c r="HMO685" s="201"/>
      <c r="HMP685" s="201"/>
      <c r="HMQ685" s="201"/>
      <c r="HMR685" s="201"/>
      <c r="HMS685" s="201"/>
      <c r="HMT685" s="201"/>
      <c r="HMU685" s="201"/>
      <c r="HMV685" s="201"/>
      <c r="HMW685" s="201"/>
      <c r="HMX685" s="201"/>
      <c r="HMY685" s="201"/>
      <c r="HMZ685" s="201"/>
      <c r="HNA685" s="201"/>
      <c r="HNB685" s="201"/>
      <c r="HNC685" s="201"/>
      <c r="HND685" s="201"/>
      <c r="HNE685" s="201"/>
      <c r="HNF685" s="201"/>
      <c r="HNG685" s="201"/>
      <c r="HNH685" s="201"/>
      <c r="HNI685" s="201"/>
      <c r="HNJ685" s="201"/>
      <c r="HNK685" s="201"/>
      <c r="HNL685" s="201"/>
      <c r="HNM685" s="201"/>
      <c r="HNN685" s="201"/>
      <c r="HNO685" s="201"/>
      <c r="HNP685" s="201"/>
      <c r="HNQ685" s="201"/>
      <c r="HNR685" s="201"/>
      <c r="HNS685" s="201"/>
      <c r="HNT685" s="201"/>
      <c r="HNU685" s="201"/>
      <c r="HNV685" s="201"/>
      <c r="HNW685" s="201"/>
      <c r="HNX685" s="201"/>
      <c r="HNY685" s="201"/>
      <c r="HNZ685" s="201"/>
      <c r="HOA685" s="201"/>
      <c r="HOB685" s="201"/>
      <c r="HOC685" s="201"/>
      <c r="HOD685" s="201"/>
      <c r="HOE685" s="201"/>
      <c r="HOF685" s="201"/>
      <c r="HOG685" s="201"/>
      <c r="HOH685" s="201"/>
      <c r="HOI685" s="201"/>
      <c r="HOJ685" s="201"/>
      <c r="HOK685" s="201"/>
      <c r="HOL685" s="201"/>
      <c r="HOM685" s="201"/>
      <c r="HON685" s="201"/>
      <c r="HOO685" s="201"/>
      <c r="HOP685" s="201"/>
      <c r="HOQ685" s="201"/>
      <c r="HOR685" s="201"/>
      <c r="HOS685" s="201"/>
      <c r="HOT685" s="201"/>
      <c r="HOU685" s="201"/>
      <c r="HOV685" s="201"/>
      <c r="HOW685" s="201"/>
      <c r="HOX685" s="201"/>
      <c r="HOY685" s="201"/>
      <c r="HOZ685" s="201"/>
      <c r="HPA685" s="201"/>
      <c r="HPB685" s="201"/>
      <c r="HPC685" s="201"/>
      <c r="HPD685" s="201"/>
      <c r="HPE685" s="201"/>
      <c r="HPF685" s="201"/>
      <c r="HPG685" s="201"/>
      <c r="HPH685" s="201"/>
      <c r="HPI685" s="201"/>
      <c r="HPJ685" s="201"/>
      <c r="HPK685" s="201"/>
      <c r="HPL685" s="201"/>
      <c r="HPM685" s="201"/>
      <c r="HPN685" s="201"/>
      <c r="HPO685" s="201"/>
      <c r="HPP685" s="201"/>
      <c r="HPQ685" s="201"/>
      <c r="HPR685" s="201"/>
      <c r="HPS685" s="201"/>
      <c r="HPT685" s="201"/>
      <c r="HPU685" s="201"/>
      <c r="HPV685" s="201"/>
      <c r="HPW685" s="201"/>
      <c r="HPX685" s="201"/>
      <c r="HPY685" s="201"/>
      <c r="HPZ685" s="201"/>
      <c r="HQA685" s="201"/>
      <c r="HQB685" s="201"/>
      <c r="HQC685" s="201"/>
      <c r="HQD685" s="201"/>
      <c r="HQE685" s="201"/>
      <c r="HQF685" s="201"/>
      <c r="HQG685" s="201"/>
      <c r="HQH685" s="201"/>
      <c r="HQI685" s="201"/>
      <c r="HQJ685" s="201"/>
      <c r="HQK685" s="201"/>
      <c r="HQL685" s="201"/>
      <c r="HQM685" s="201"/>
      <c r="HQN685" s="201"/>
      <c r="HQO685" s="201"/>
      <c r="HQP685" s="201"/>
      <c r="HQQ685" s="201"/>
      <c r="HQR685" s="201"/>
      <c r="HQS685" s="201"/>
      <c r="HQT685" s="201"/>
      <c r="HQU685" s="201"/>
      <c r="HQV685" s="201"/>
      <c r="HQW685" s="201"/>
      <c r="HQX685" s="201"/>
      <c r="HQY685" s="201"/>
      <c r="HQZ685" s="201"/>
      <c r="HRA685" s="201"/>
      <c r="HRB685" s="201"/>
      <c r="HRC685" s="201"/>
      <c r="HRD685" s="201"/>
      <c r="HRE685" s="201"/>
      <c r="HRF685" s="201"/>
      <c r="HRG685" s="201"/>
      <c r="HRH685" s="201"/>
      <c r="HRI685" s="201"/>
      <c r="HRJ685" s="201"/>
      <c r="HRK685" s="201"/>
      <c r="HRL685" s="201"/>
      <c r="HRM685" s="201"/>
      <c r="HRN685" s="201"/>
      <c r="HRO685" s="201"/>
      <c r="HRP685" s="201"/>
      <c r="HRQ685" s="201"/>
      <c r="HRR685" s="201"/>
      <c r="HRS685" s="201"/>
      <c r="HRT685" s="201"/>
      <c r="HRU685" s="201"/>
      <c r="HRV685" s="201"/>
      <c r="HRW685" s="201"/>
      <c r="HRX685" s="201"/>
      <c r="HRY685" s="201"/>
      <c r="HRZ685" s="201"/>
      <c r="HSA685" s="201"/>
      <c r="HSB685" s="201"/>
      <c r="HSC685" s="201"/>
      <c r="HSD685" s="201"/>
      <c r="HSE685" s="201"/>
      <c r="HSF685" s="201"/>
      <c r="HSG685" s="201"/>
      <c r="HSH685" s="201"/>
      <c r="HSI685" s="201"/>
      <c r="HSJ685" s="201"/>
      <c r="HSK685" s="201"/>
      <c r="HSL685" s="201"/>
      <c r="HSM685" s="201"/>
      <c r="HSN685" s="201"/>
      <c r="HSO685" s="201"/>
      <c r="HSP685" s="201"/>
      <c r="HSQ685" s="201"/>
      <c r="HSR685" s="201"/>
      <c r="HSS685" s="201"/>
      <c r="HST685" s="201"/>
      <c r="HSU685" s="201"/>
      <c r="HSV685" s="201"/>
      <c r="HSW685" s="201"/>
      <c r="HSX685" s="201"/>
      <c r="HSY685" s="201"/>
      <c r="HSZ685" s="201"/>
      <c r="HTA685" s="201"/>
      <c r="HTB685" s="201"/>
      <c r="HTC685" s="201"/>
      <c r="HTD685" s="201"/>
      <c r="HTE685" s="201"/>
      <c r="HTF685" s="201"/>
      <c r="HTG685" s="201"/>
      <c r="HTH685" s="201"/>
      <c r="HTI685" s="201"/>
      <c r="HTJ685" s="201"/>
      <c r="HTK685" s="201"/>
      <c r="HTL685" s="201"/>
      <c r="HTM685" s="201"/>
      <c r="HTN685" s="201"/>
      <c r="HTO685" s="201"/>
      <c r="HTP685" s="201"/>
      <c r="HTQ685" s="201"/>
      <c r="HTR685" s="201"/>
      <c r="HTS685" s="201"/>
      <c r="HTT685" s="201"/>
      <c r="HTU685" s="201"/>
      <c r="HTV685" s="201"/>
      <c r="HTW685" s="201"/>
      <c r="HTX685" s="201"/>
      <c r="HTY685" s="201"/>
      <c r="HTZ685" s="201"/>
      <c r="HUA685" s="201"/>
      <c r="HUB685" s="201"/>
      <c r="HUC685" s="201"/>
      <c r="HUD685" s="201"/>
      <c r="HUE685" s="201"/>
      <c r="HUF685" s="201"/>
      <c r="HUG685" s="201"/>
      <c r="HUH685" s="201"/>
      <c r="HUI685" s="201"/>
      <c r="HUJ685" s="201"/>
      <c r="HUK685" s="201"/>
      <c r="HUL685" s="201"/>
      <c r="HUM685" s="201"/>
      <c r="HUN685" s="201"/>
      <c r="HUO685" s="201"/>
      <c r="HUP685" s="201"/>
      <c r="HUQ685" s="201"/>
      <c r="HUR685" s="201"/>
      <c r="HUS685" s="201"/>
      <c r="HUT685" s="201"/>
      <c r="HUU685" s="201"/>
      <c r="HUV685" s="201"/>
      <c r="HUW685" s="201"/>
      <c r="HUX685" s="201"/>
      <c r="HUY685" s="201"/>
      <c r="HUZ685" s="201"/>
      <c r="HVA685" s="201"/>
      <c r="HVB685" s="201"/>
      <c r="HVC685" s="201"/>
      <c r="HVD685" s="201"/>
      <c r="HVE685" s="201"/>
      <c r="HVF685" s="201"/>
      <c r="HVG685" s="201"/>
      <c r="HVH685" s="201"/>
      <c r="HVI685" s="201"/>
      <c r="HVJ685" s="201"/>
      <c r="HVK685" s="201"/>
      <c r="HVL685" s="201"/>
      <c r="HVM685" s="201"/>
      <c r="HVN685" s="201"/>
      <c r="HVO685" s="201"/>
      <c r="HVP685" s="201"/>
      <c r="HVQ685" s="201"/>
      <c r="HVR685" s="201"/>
      <c r="HVS685" s="201"/>
      <c r="HVT685" s="201"/>
      <c r="HVU685" s="201"/>
      <c r="HVV685" s="201"/>
      <c r="HVW685" s="201"/>
      <c r="HVX685" s="201"/>
      <c r="HVY685" s="201"/>
      <c r="HVZ685" s="201"/>
      <c r="HWA685" s="201"/>
      <c r="HWB685" s="201"/>
      <c r="HWC685" s="201"/>
      <c r="HWD685" s="201"/>
      <c r="HWE685" s="201"/>
      <c r="HWF685" s="201"/>
      <c r="HWG685" s="201"/>
      <c r="HWH685" s="201"/>
      <c r="HWI685" s="201"/>
      <c r="HWJ685" s="201"/>
      <c r="HWK685" s="201"/>
      <c r="HWL685" s="201"/>
      <c r="HWM685" s="201"/>
      <c r="HWN685" s="201"/>
      <c r="HWO685" s="201"/>
      <c r="HWP685" s="201"/>
      <c r="HWQ685" s="201"/>
      <c r="HWR685" s="201"/>
      <c r="HWS685" s="201"/>
      <c r="HWT685" s="201"/>
      <c r="HWU685" s="201"/>
      <c r="HWV685" s="201"/>
      <c r="HWW685" s="201"/>
      <c r="HWX685" s="201"/>
      <c r="HWY685" s="201"/>
      <c r="HWZ685" s="201"/>
      <c r="HXA685" s="201"/>
      <c r="HXB685" s="201"/>
      <c r="HXC685" s="201"/>
      <c r="HXD685" s="201"/>
      <c r="HXE685" s="201"/>
      <c r="HXF685" s="201"/>
      <c r="HXG685" s="201"/>
      <c r="HXH685" s="201"/>
      <c r="HXI685" s="201"/>
      <c r="HXJ685" s="201"/>
      <c r="HXK685" s="201"/>
      <c r="HXL685" s="201"/>
      <c r="HXM685" s="201"/>
      <c r="HXN685" s="201"/>
      <c r="HXO685" s="201"/>
      <c r="HXP685" s="201"/>
      <c r="HXQ685" s="201"/>
      <c r="HXR685" s="201"/>
      <c r="HXS685" s="201"/>
      <c r="HXT685" s="201"/>
      <c r="HXU685" s="201"/>
      <c r="HXV685" s="201"/>
      <c r="HXW685" s="201"/>
      <c r="HXX685" s="201"/>
      <c r="HXY685" s="201"/>
      <c r="HXZ685" s="201"/>
      <c r="HYA685" s="201"/>
      <c r="HYB685" s="201"/>
      <c r="HYC685" s="201"/>
      <c r="HYD685" s="201"/>
      <c r="HYE685" s="201"/>
      <c r="HYF685" s="201"/>
      <c r="HYG685" s="201"/>
      <c r="HYH685" s="201"/>
      <c r="HYI685" s="201"/>
      <c r="HYJ685" s="201"/>
      <c r="HYK685" s="201"/>
      <c r="HYL685" s="201"/>
      <c r="HYM685" s="201"/>
      <c r="HYN685" s="201"/>
      <c r="HYO685" s="201"/>
      <c r="HYP685" s="201"/>
      <c r="HYQ685" s="201"/>
      <c r="HYR685" s="201"/>
      <c r="HYS685" s="201"/>
      <c r="HYT685" s="201"/>
      <c r="HYU685" s="201"/>
      <c r="HYV685" s="201"/>
      <c r="HYW685" s="201"/>
      <c r="HYX685" s="201"/>
      <c r="HYY685" s="201"/>
      <c r="HYZ685" s="201"/>
      <c r="HZA685" s="201"/>
      <c r="HZB685" s="201"/>
      <c r="HZC685" s="201"/>
      <c r="HZD685" s="201"/>
      <c r="HZE685" s="201"/>
      <c r="HZF685" s="201"/>
      <c r="HZG685" s="201"/>
      <c r="HZH685" s="201"/>
      <c r="HZI685" s="201"/>
      <c r="HZJ685" s="201"/>
      <c r="HZK685" s="201"/>
      <c r="HZL685" s="201"/>
      <c r="HZM685" s="201"/>
      <c r="HZN685" s="201"/>
      <c r="HZO685" s="201"/>
      <c r="HZP685" s="201"/>
      <c r="HZQ685" s="201"/>
      <c r="HZR685" s="201"/>
      <c r="HZS685" s="201"/>
      <c r="HZT685" s="201"/>
      <c r="HZU685" s="201"/>
      <c r="HZV685" s="201"/>
      <c r="HZW685" s="201"/>
      <c r="HZX685" s="201"/>
      <c r="HZY685" s="201"/>
      <c r="HZZ685" s="201"/>
      <c r="IAA685" s="201"/>
      <c r="IAB685" s="201"/>
      <c r="IAC685" s="201"/>
      <c r="IAD685" s="201"/>
      <c r="IAE685" s="201"/>
      <c r="IAF685" s="201"/>
      <c r="IAG685" s="201"/>
      <c r="IAH685" s="201"/>
      <c r="IAI685" s="201"/>
      <c r="IAJ685" s="201"/>
      <c r="IAK685" s="201"/>
      <c r="IAL685" s="201"/>
      <c r="IAM685" s="201"/>
      <c r="IAN685" s="201"/>
      <c r="IAO685" s="201"/>
      <c r="IAP685" s="201"/>
      <c r="IAQ685" s="201"/>
      <c r="IAR685" s="201"/>
      <c r="IAS685" s="201"/>
      <c r="IAT685" s="201"/>
      <c r="IAU685" s="201"/>
      <c r="IAV685" s="201"/>
      <c r="IAW685" s="201"/>
      <c r="IAX685" s="201"/>
      <c r="IAY685" s="201"/>
      <c r="IAZ685" s="201"/>
      <c r="IBA685" s="201"/>
      <c r="IBB685" s="201"/>
      <c r="IBC685" s="201"/>
      <c r="IBD685" s="201"/>
      <c r="IBE685" s="201"/>
      <c r="IBF685" s="201"/>
      <c r="IBG685" s="201"/>
      <c r="IBH685" s="201"/>
      <c r="IBI685" s="201"/>
      <c r="IBJ685" s="201"/>
      <c r="IBK685" s="201"/>
      <c r="IBL685" s="201"/>
      <c r="IBM685" s="201"/>
      <c r="IBN685" s="201"/>
      <c r="IBO685" s="201"/>
      <c r="IBP685" s="201"/>
      <c r="IBQ685" s="201"/>
      <c r="IBR685" s="201"/>
      <c r="IBS685" s="201"/>
      <c r="IBT685" s="201"/>
      <c r="IBU685" s="201"/>
      <c r="IBV685" s="201"/>
      <c r="IBW685" s="201"/>
      <c r="IBX685" s="201"/>
      <c r="IBY685" s="201"/>
      <c r="IBZ685" s="201"/>
      <c r="ICA685" s="201"/>
      <c r="ICB685" s="201"/>
      <c r="ICC685" s="201"/>
      <c r="ICD685" s="201"/>
      <c r="ICE685" s="201"/>
      <c r="ICF685" s="201"/>
      <c r="ICG685" s="201"/>
      <c r="ICH685" s="201"/>
      <c r="ICI685" s="201"/>
      <c r="ICJ685" s="201"/>
      <c r="ICK685" s="201"/>
      <c r="ICL685" s="201"/>
      <c r="ICM685" s="201"/>
      <c r="ICN685" s="201"/>
      <c r="ICO685" s="201"/>
      <c r="ICP685" s="201"/>
      <c r="ICQ685" s="201"/>
      <c r="ICR685" s="201"/>
      <c r="ICS685" s="201"/>
      <c r="ICT685" s="201"/>
      <c r="ICU685" s="201"/>
      <c r="ICV685" s="201"/>
      <c r="ICW685" s="201"/>
      <c r="ICX685" s="201"/>
      <c r="ICY685" s="201"/>
      <c r="ICZ685" s="201"/>
      <c r="IDA685" s="201"/>
      <c r="IDB685" s="201"/>
      <c r="IDC685" s="201"/>
      <c r="IDD685" s="201"/>
      <c r="IDE685" s="201"/>
      <c r="IDF685" s="201"/>
      <c r="IDG685" s="201"/>
      <c r="IDH685" s="201"/>
      <c r="IDI685" s="201"/>
      <c r="IDJ685" s="201"/>
      <c r="IDK685" s="201"/>
      <c r="IDL685" s="201"/>
      <c r="IDM685" s="201"/>
      <c r="IDN685" s="201"/>
      <c r="IDO685" s="201"/>
      <c r="IDP685" s="201"/>
      <c r="IDQ685" s="201"/>
      <c r="IDR685" s="201"/>
      <c r="IDS685" s="201"/>
      <c r="IDT685" s="201"/>
      <c r="IDU685" s="201"/>
      <c r="IDV685" s="201"/>
      <c r="IDW685" s="201"/>
      <c r="IDX685" s="201"/>
      <c r="IDY685" s="201"/>
      <c r="IDZ685" s="201"/>
      <c r="IEA685" s="201"/>
      <c r="IEB685" s="201"/>
      <c r="IEC685" s="201"/>
      <c r="IED685" s="201"/>
      <c r="IEE685" s="201"/>
      <c r="IEF685" s="201"/>
      <c r="IEG685" s="201"/>
      <c r="IEH685" s="201"/>
      <c r="IEI685" s="201"/>
      <c r="IEJ685" s="201"/>
      <c r="IEK685" s="201"/>
      <c r="IEL685" s="201"/>
      <c r="IEM685" s="201"/>
      <c r="IEN685" s="201"/>
      <c r="IEO685" s="201"/>
      <c r="IEP685" s="201"/>
      <c r="IEQ685" s="201"/>
      <c r="IER685" s="201"/>
      <c r="IES685" s="201"/>
      <c r="IET685" s="201"/>
      <c r="IEU685" s="201"/>
      <c r="IEV685" s="201"/>
      <c r="IEW685" s="201"/>
      <c r="IEX685" s="201"/>
      <c r="IEY685" s="201"/>
      <c r="IEZ685" s="201"/>
      <c r="IFA685" s="201"/>
      <c r="IFB685" s="201"/>
      <c r="IFC685" s="201"/>
      <c r="IFD685" s="201"/>
      <c r="IFE685" s="201"/>
      <c r="IFF685" s="201"/>
      <c r="IFG685" s="201"/>
      <c r="IFH685" s="201"/>
      <c r="IFI685" s="201"/>
      <c r="IFJ685" s="201"/>
      <c r="IFK685" s="201"/>
      <c r="IFL685" s="201"/>
      <c r="IFM685" s="201"/>
      <c r="IFN685" s="201"/>
      <c r="IFO685" s="201"/>
      <c r="IFP685" s="201"/>
      <c r="IFQ685" s="201"/>
      <c r="IFR685" s="201"/>
      <c r="IFS685" s="201"/>
      <c r="IFT685" s="201"/>
      <c r="IFU685" s="201"/>
      <c r="IFV685" s="201"/>
      <c r="IFW685" s="201"/>
      <c r="IFX685" s="201"/>
      <c r="IFY685" s="201"/>
      <c r="IFZ685" s="201"/>
      <c r="IGA685" s="201"/>
      <c r="IGB685" s="201"/>
      <c r="IGC685" s="201"/>
      <c r="IGD685" s="201"/>
      <c r="IGE685" s="201"/>
      <c r="IGF685" s="201"/>
      <c r="IGG685" s="201"/>
      <c r="IGH685" s="201"/>
      <c r="IGI685" s="201"/>
      <c r="IGJ685" s="201"/>
      <c r="IGK685" s="201"/>
      <c r="IGL685" s="201"/>
      <c r="IGM685" s="201"/>
      <c r="IGN685" s="201"/>
      <c r="IGO685" s="201"/>
      <c r="IGP685" s="201"/>
      <c r="IGQ685" s="201"/>
      <c r="IGR685" s="201"/>
      <c r="IGS685" s="201"/>
      <c r="IGT685" s="201"/>
      <c r="IGU685" s="201"/>
      <c r="IGV685" s="201"/>
      <c r="IGW685" s="201"/>
      <c r="IGX685" s="201"/>
      <c r="IGY685" s="201"/>
      <c r="IGZ685" s="201"/>
      <c r="IHA685" s="201"/>
      <c r="IHB685" s="201"/>
      <c r="IHC685" s="201"/>
      <c r="IHD685" s="201"/>
      <c r="IHE685" s="201"/>
      <c r="IHF685" s="201"/>
      <c r="IHG685" s="201"/>
      <c r="IHH685" s="201"/>
      <c r="IHI685" s="201"/>
      <c r="IHJ685" s="201"/>
      <c r="IHK685" s="201"/>
      <c r="IHL685" s="201"/>
      <c r="IHM685" s="201"/>
      <c r="IHN685" s="201"/>
      <c r="IHO685" s="201"/>
      <c r="IHP685" s="201"/>
      <c r="IHQ685" s="201"/>
      <c r="IHR685" s="201"/>
      <c r="IHS685" s="201"/>
      <c r="IHT685" s="201"/>
      <c r="IHU685" s="201"/>
      <c r="IHV685" s="201"/>
      <c r="IHW685" s="201"/>
      <c r="IHX685" s="201"/>
      <c r="IHY685" s="201"/>
      <c r="IHZ685" s="201"/>
      <c r="IIA685" s="201"/>
      <c r="IIB685" s="201"/>
      <c r="IIC685" s="201"/>
      <c r="IID685" s="201"/>
      <c r="IIE685" s="201"/>
      <c r="IIF685" s="201"/>
      <c r="IIG685" s="201"/>
      <c r="IIH685" s="201"/>
      <c r="III685" s="201"/>
      <c r="IIJ685" s="201"/>
      <c r="IIK685" s="201"/>
      <c r="IIL685" s="201"/>
      <c r="IIM685" s="201"/>
      <c r="IIN685" s="201"/>
      <c r="IIO685" s="201"/>
      <c r="IIP685" s="201"/>
      <c r="IIQ685" s="201"/>
      <c r="IIR685" s="201"/>
      <c r="IIS685" s="201"/>
      <c r="IIT685" s="201"/>
      <c r="IIU685" s="201"/>
      <c r="IIV685" s="201"/>
      <c r="IIW685" s="201"/>
      <c r="IIX685" s="201"/>
      <c r="IIY685" s="201"/>
      <c r="IIZ685" s="201"/>
      <c r="IJA685" s="201"/>
      <c r="IJB685" s="201"/>
      <c r="IJC685" s="201"/>
      <c r="IJD685" s="201"/>
      <c r="IJE685" s="201"/>
      <c r="IJF685" s="201"/>
      <c r="IJG685" s="201"/>
      <c r="IJH685" s="201"/>
      <c r="IJI685" s="201"/>
      <c r="IJJ685" s="201"/>
      <c r="IJK685" s="201"/>
      <c r="IJL685" s="201"/>
      <c r="IJM685" s="201"/>
      <c r="IJN685" s="201"/>
      <c r="IJO685" s="201"/>
      <c r="IJP685" s="201"/>
      <c r="IJQ685" s="201"/>
      <c r="IJR685" s="201"/>
      <c r="IJS685" s="201"/>
      <c r="IJT685" s="201"/>
      <c r="IJU685" s="201"/>
      <c r="IJV685" s="201"/>
      <c r="IJW685" s="201"/>
      <c r="IJX685" s="201"/>
      <c r="IJY685" s="201"/>
      <c r="IJZ685" s="201"/>
      <c r="IKA685" s="201"/>
      <c r="IKB685" s="201"/>
      <c r="IKC685" s="201"/>
      <c r="IKD685" s="201"/>
      <c r="IKE685" s="201"/>
      <c r="IKF685" s="201"/>
      <c r="IKG685" s="201"/>
      <c r="IKH685" s="201"/>
      <c r="IKI685" s="201"/>
      <c r="IKJ685" s="201"/>
      <c r="IKK685" s="201"/>
      <c r="IKL685" s="201"/>
      <c r="IKM685" s="201"/>
      <c r="IKN685" s="201"/>
      <c r="IKO685" s="201"/>
      <c r="IKP685" s="201"/>
      <c r="IKQ685" s="201"/>
      <c r="IKR685" s="201"/>
      <c r="IKS685" s="201"/>
      <c r="IKT685" s="201"/>
      <c r="IKU685" s="201"/>
      <c r="IKV685" s="201"/>
      <c r="IKW685" s="201"/>
      <c r="IKX685" s="201"/>
      <c r="IKY685" s="201"/>
      <c r="IKZ685" s="201"/>
      <c r="ILA685" s="201"/>
      <c r="ILB685" s="201"/>
      <c r="ILC685" s="201"/>
      <c r="ILD685" s="201"/>
      <c r="ILE685" s="201"/>
      <c r="ILF685" s="201"/>
      <c r="ILG685" s="201"/>
      <c r="ILH685" s="201"/>
      <c r="ILI685" s="201"/>
      <c r="ILJ685" s="201"/>
      <c r="ILK685" s="201"/>
      <c r="ILL685" s="201"/>
      <c r="ILM685" s="201"/>
      <c r="ILN685" s="201"/>
      <c r="ILO685" s="201"/>
      <c r="ILP685" s="201"/>
      <c r="ILQ685" s="201"/>
      <c r="ILR685" s="201"/>
      <c r="ILS685" s="201"/>
      <c r="ILT685" s="201"/>
      <c r="ILU685" s="201"/>
      <c r="ILV685" s="201"/>
      <c r="ILW685" s="201"/>
      <c r="ILX685" s="201"/>
      <c r="ILY685" s="201"/>
      <c r="ILZ685" s="201"/>
      <c r="IMA685" s="201"/>
      <c r="IMB685" s="201"/>
      <c r="IMC685" s="201"/>
      <c r="IMD685" s="201"/>
      <c r="IME685" s="201"/>
      <c r="IMF685" s="201"/>
      <c r="IMG685" s="201"/>
      <c r="IMH685" s="201"/>
      <c r="IMI685" s="201"/>
      <c r="IMJ685" s="201"/>
      <c r="IMK685" s="201"/>
      <c r="IML685" s="201"/>
      <c r="IMM685" s="201"/>
      <c r="IMN685" s="201"/>
      <c r="IMO685" s="201"/>
      <c r="IMP685" s="201"/>
      <c r="IMQ685" s="201"/>
      <c r="IMR685" s="201"/>
      <c r="IMS685" s="201"/>
      <c r="IMT685" s="201"/>
      <c r="IMU685" s="201"/>
      <c r="IMV685" s="201"/>
      <c r="IMW685" s="201"/>
      <c r="IMX685" s="201"/>
      <c r="IMY685" s="201"/>
      <c r="IMZ685" s="201"/>
      <c r="INA685" s="201"/>
      <c r="INB685" s="201"/>
      <c r="INC685" s="201"/>
      <c r="IND685" s="201"/>
      <c r="INE685" s="201"/>
      <c r="INF685" s="201"/>
      <c r="ING685" s="201"/>
      <c r="INH685" s="201"/>
      <c r="INI685" s="201"/>
      <c r="INJ685" s="201"/>
      <c r="INK685" s="201"/>
      <c r="INL685" s="201"/>
      <c r="INM685" s="201"/>
      <c r="INN685" s="201"/>
      <c r="INO685" s="201"/>
      <c r="INP685" s="201"/>
      <c r="INQ685" s="201"/>
      <c r="INR685" s="201"/>
      <c r="INS685" s="201"/>
      <c r="INT685" s="201"/>
      <c r="INU685" s="201"/>
      <c r="INV685" s="201"/>
      <c r="INW685" s="201"/>
      <c r="INX685" s="201"/>
      <c r="INY685" s="201"/>
      <c r="INZ685" s="201"/>
      <c r="IOA685" s="201"/>
      <c r="IOB685" s="201"/>
      <c r="IOC685" s="201"/>
      <c r="IOD685" s="201"/>
      <c r="IOE685" s="201"/>
      <c r="IOF685" s="201"/>
      <c r="IOG685" s="201"/>
      <c r="IOH685" s="201"/>
      <c r="IOI685" s="201"/>
      <c r="IOJ685" s="201"/>
      <c r="IOK685" s="201"/>
      <c r="IOL685" s="201"/>
      <c r="IOM685" s="201"/>
      <c r="ION685" s="201"/>
      <c r="IOO685" s="201"/>
      <c r="IOP685" s="201"/>
      <c r="IOQ685" s="201"/>
      <c r="IOR685" s="201"/>
      <c r="IOS685" s="201"/>
      <c r="IOT685" s="201"/>
      <c r="IOU685" s="201"/>
      <c r="IOV685" s="201"/>
      <c r="IOW685" s="201"/>
      <c r="IOX685" s="201"/>
      <c r="IOY685" s="201"/>
      <c r="IOZ685" s="201"/>
      <c r="IPA685" s="201"/>
      <c r="IPB685" s="201"/>
      <c r="IPC685" s="201"/>
      <c r="IPD685" s="201"/>
      <c r="IPE685" s="201"/>
      <c r="IPF685" s="201"/>
      <c r="IPG685" s="201"/>
      <c r="IPH685" s="201"/>
      <c r="IPI685" s="201"/>
      <c r="IPJ685" s="201"/>
      <c r="IPK685" s="201"/>
      <c r="IPL685" s="201"/>
      <c r="IPM685" s="201"/>
      <c r="IPN685" s="201"/>
      <c r="IPO685" s="201"/>
      <c r="IPP685" s="201"/>
      <c r="IPQ685" s="201"/>
      <c r="IPR685" s="201"/>
      <c r="IPS685" s="201"/>
      <c r="IPT685" s="201"/>
      <c r="IPU685" s="201"/>
      <c r="IPV685" s="201"/>
      <c r="IPW685" s="201"/>
      <c r="IPX685" s="201"/>
      <c r="IPY685" s="201"/>
      <c r="IPZ685" s="201"/>
      <c r="IQA685" s="201"/>
      <c r="IQB685" s="201"/>
      <c r="IQC685" s="201"/>
      <c r="IQD685" s="201"/>
      <c r="IQE685" s="201"/>
      <c r="IQF685" s="201"/>
      <c r="IQG685" s="201"/>
      <c r="IQH685" s="201"/>
      <c r="IQI685" s="201"/>
      <c r="IQJ685" s="201"/>
      <c r="IQK685" s="201"/>
      <c r="IQL685" s="201"/>
      <c r="IQM685" s="201"/>
      <c r="IQN685" s="201"/>
      <c r="IQO685" s="201"/>
      <c r="IQP685" s="201"/>
      <c r="IQQ685" s="201"/>
      <c r="IQR685" s="201"/>
      <c r="IQS685" s="201"/>
      <c r="IQT685" s="201"/>
      <c r="IQU685" s="201"/>
      <c r="IQV685" s="201"/>
      <c r="IQW685" s="201"/>
      <c r="IQX685" s="201"/>
      <c r="IQY685" s="201"/>
      <c r="IQZ685" s="201"/>
      <c r="IRA685" s="201"/>
      <c r="IRB685" s="201"/>
      <c r="IRC685" s="201"/>
      <c r="IRD685" s="201"/>
      <c r="IRE685" s="201"/>
      <c r="IRF685" s="201"/>
      <c r="IRG685" s="201"/>
      <c r="IRH685" s="201"/>
      <c r="IRI685" s="201"/>
      <c r="IRJ685" s="201"/>
      <c r="IRK685" s="201"/>
      <c r="IRL685" s="201"/>
      <c r="IRM685" s="201"/>
      <c r="IRN685" s="201"/>
      <c r="IRO685" s="201"/>
      <c r="IRP685" s="201"/>
      <c r="IRQ685" s="201"/>
      <c r="IRR685" s="201"/>
      <c r="IRS685" s="201"/>
      <c r="IRT685" s="201"/>
      <c r="IRU685" s="201"/>
      <c r="IRV685" s="201"/>
      <c r="IRW685" s="201"/>
      <c r="IRX685" s="201"/>
      <c r="IRY685" s="201"/>
      <c r="IRZ685" s="201"/>
      <c r="ISA685" s="201"/>
      <c r="ISB685" s="201"/>
      <c r="ISC685" s="201"/>
      <c r="ISD685" s="201"/>
      <c r="ISE685" s="201"/>
      <c r="ISF685" s="201"/>
      <c r="ISG685" s="201"/>
      <c r="ISH685" s="201"/>
      <c r="ISI685" s="201"/>
      <c r="ISJ685" s="201"/>
      <c r="ISK685" s="201"/>
      <c r="ISL685" s="201"/>
      <c r="ISM685" s="201"/>
      <c r="ISN685" s="201"/>
      <c r="ISO685" s="201"/>
      <c r="ISP685" s="201"/>
      <c r="ISQ685" s="201"/>
      <c r="ISR685" s="201"/>
      <c r="ISS685" s="201"/>
      <c r="IST685" s="201"/>
      <c r="ISU685" s="201"/>
      <c r="ISV685" s="201"/>
      <c r="ISW685" s="201"/>
      <c r="ISX685" s="201"/>
      <c r="ISY685" s="201"/>
      <c r="ISZ685" s="201"/>
      <c r="ITA685" s="201"/>
      <c r="ITB685" s="201"/>
      <c r="ITC685" s="201"/>
      <c r="ITD685" s="201"/>
      <c r="ITE685" s="201"/>
      <c r="ITF685" s="201"/>
      <c r="ITG685" s="201"/>
      <c r="ITH685" s="201"/>
      <c r="ITI685" s="201"/>
      <c r="ITJ685" s="201"/>
      <c r="ITK685" s="201"/>
      <c r="ITL685" s="201"/>
      <c r="ITM685" s="201"/>
      <c r="ITN685" s="201"/>
      <c r="ITO685" s="201"/>
      <c r="ITP685" s="201"/>
      <c r="ITQ685" s="201"/>
      <c r="ITR685" s="201"/>
      <c r="ITS685" s="201"/>
      <c r="ITT685" s="201"/>
      <c r="ITU685" s="201"/>
      <c r="ITV685" s="201"/>
      <c r="ITW685" s="201"/>
      <c r="ITX685" s="201"/>
      <c r="ITY685" s="201"/>
      <c r="ITZ685" s="201"/>
      <c r="IUA685" s="201"/>
      <c r="IUB685" s="201"/>
      <c r="IUC685" s="201"/>
      <c r="IUD685" s="201"/>
      <c r="IUE685" s="201"/>
      <c r="IUF685" s="201"/>
      <c r="IUG685" s="201"/>
      <c r="IUH685" s="201"/>
      <c r="IUI685" s="201"/>
      <c r="IUJ685" s="201"/>
      <c r="IUK685" s="201"/>
      <c r="IUL685" s="201"/>
      <c r="IUM685" s="201"/>
      <c r="IUN685" s="201"/>
      <c r="IUO685" s="201"/>
      <c r="IUP685" s="201"/>
      <c r="IUQ685" s="201"/>
      <c r="IUR685" s="201"/>
      <c r="IUS685" s="201"/>
      <c r="IUT685" s="201"/>
      <c r="IUU685" s="201"/>
      <c r="IUV685" s="201"/>
      <c r="IUW685" s="201"/>
      <c r="IUX685" s="201"/>
      <c r="IUY685" s="201"/>
      <c r="IUZ685" s="201"/>
      <c r="IVA685" s="201"/>
      <c r="IVB685" s="201"/>
      <c r="IVC685" s="201"/>
      <c r="IVD685" s="201"/>
      <c r="IVE685" s="201"/>
      <c r="IVF685" s="201"/>
      <c r="IVG685" s="201"/>
      <c r="IVH685" s="201"/>
      <c r="IVI685" s="201"/>
      <c r="IVJ685" s="201"/>
      <c r="IVK685" s="201"/>
      <c r="IVL685" s="201"/>
      <c r="IVM685" s="201"/>
      <c r="IVN685" s="201"/>
      <c r="IVO685" s="201"/>
      <c r="IVP685" s="201"/>
      <c r="IVQ685" s="201"/>
      <c r="IVR685" s="201"/>
      <c r="IVS685" s="201"/>
      <c r="IVT685" s="201"/>
      <c r="IVU685" s="201"/>
      <c r="IVV685" s="201"/>
      <c r="IVW685" s="201"/>
      <c r="IVX685" s="201"/>
      <c r="IVY685" s="201"/>
      <c r="IVZ685" s="201"/>
      <c r="IWA685" s="201"/>
      <c r="IWB685" s="201"/>
      <c r="IWC685" s="201"/>
      <c r="IWD685" s="201"/>
      <c r="IWE685" s="201"/>
      <c r="IWF685" s="201"/>
      <c r="IWG685" s="201"/>
      <c r="IWH685" s="201"/>
      <c r="IWI685" s="201"/>
      <c r="IWJ685" s="201"/>
      <c r="IWK685" s="201"/>
      <c r="IWL685" s="201"/>
      <c r="IWM685" s="201"/>
      <c r="IWN685" s="201"/>
      <c r="IWO685" s="201"/>
      <c r="IWP685" s="201"/>
      <c r="IWQ685" s="201"/>
      <c r="IWR685" s="201"/>
      <c r="IWS685" s="201"/>
      <c r="IWT685" s="201"/>
      <c r="IWU685" s="201"/>
      <c r="IWV685" s="201"/>
      <c r="IWW685" s="201"/>
      <c r="IWX685" s="201"/>
      <c r="IWY685" s="201"/>
      <c r="IWZ685" s="201"/>
      <c r="IXA685" s="201"/>
      <c r="IXB685" s="201"/>
      <c r="IXC685" s="201"/>
      <c r="IXD685" s="201"/>
      <c r="IXE685" s="201"/>
      <c r="IXF685" s="201"/>
      <c r="IXG685" s="201"/>
      <c r="IXH685" s="201"/>
      <c r="IXI685" s="201"/>
      <c r="IXJ685" s="201"/>
      <c r="IXK685" s="201"/>
      <c r="IXL685" s="201"/>
      <c r="IXM685" s="201"/>
      <c r="IXN685" s="201"/>
      <c r="IXO685" s="201"/>
      <c r="IXP685" s="201"/>
      <c r="IXQ685" s="201"/>
      <c r="IXR685" s="201"/>
      <c r="IXS685" s="201"/>
      <c r="IXT685" s="201"/>
      <c r="IXU685" s="201"/>
      <c r="IXV685" s="201"/>
      <c r="IXW685" s="201"/>
      <c r="IXX685" s="201"/>
      <c r="IXY685" s="201"/>
      <c r="IXZ685" s="201"/>
      <c r="IYA685" s="201"/>
      <c r="IYB685" s="201"/>
      <c r="IYC685" s="201"/>
      <c r="IYD685" s="201"/>
      <c r="IYE685" s="201"/>
      <c r="IYF685" s="201"/>
      <c r="IYG685" s="201"/>
      <c r="IYH685" s="201"/>
      <c r="IYI685" s="201"/>
      <c r="IYJ685" s="201"/>
      <c r="IYK685" s="201"/>
      <c r="IYL685" s="201"/>
      <c r="IYM685" s="201"/>
      <c r="IYN685" s="201"/>
      <c r="IYO685" s="201"/>
      <c r="IYP685" s="201"/>
      <c r="IYQ685" s="201"/>
      <c r="IYR685" s="201"/>
      <c r="IYS685" s="201"/>
      <c r="IYT685" s="201"/>
      <c r="IYU685" s="201"/>
      <c r="IYV685" s="201"/>
      <c r="IYW685" s="201"/>
      <c r="IYX685" s="201"/>
      <c r="IYY685" s="201"/>
      <c r="IYZ685" s="201"/>
      <c r="IZA685" s="201"/>
      <c r="IZB685" s="201"/>
      <c r="IZC685" s="201"/>
      <c r="IZD685" s="201"/>
      <c r="IZE685" s="201"/>
      <c r="IZF685" s="201"/>
      <c r="IZG685" s="201"/>
      <c r="IZH685" s="201"/>
      <c r="IZI685" s="201"/>
      <c r="IZJ685" s="201"/>
      <c r="IZK685" s="201"/>
      <c r="IZL685" s="201"/>
      <c r="IZM685" s="201"/>
      <c r="IZN685" s="201"/>
      <c r="IZO685" s="201"/>
      <c r="IZP685" s="201"/>
      <c r="IZQ685" s="201"/>
      <c r="IZR685" s="201"/>
      <c r="IZS685" s="201"/>
      <c r="IZT685" s="201"/>
      <c r="IZU685" s="201"/>
      <c r="IZV685" s="201"/>
      <c r="IZW685" s="201"/>
      <c r="IZX685" s="201"/>
      <c r="IZY685" s="201"/>
      <c r="IZZ685" s="201"/>
      <c r="JAA685" s="201"/>
      <c r="JAB685" s="201"/>
      <c r="JAC685" s="201"/>
      <c r="JAD685" s="201"/>
      <c r="JAE685" s="201"/>
      <c r="JAF685" s="201"/>
      <c r="JAG685" s="201"/>
      <c r="JAH685" s="201"/>
      <c r="JAI685" s="201"/>
      <c r="JAJ685" s="201"/>
      <c r="JAK685" s="201"/>
      <c r="JAL685" s="201"/>
      <c r="JAM685" s="201"/>
      <c r="JAN685" s="201"/>
      <c r="JAO685" s="201"/>
      <c r="JAP685" s="201"/>
      <c r="JAQ685" s="201"/>
      <c r="JAR685" s="201"/>
      <c r="JAS685" s="201"/>
      <c r="JAT685" s="201"/>
      <c r="JAU685" s="201"/>
      <c r="JAV685" s="201"/>
      <c r="JAW685" s="201"/>
      <c r="JAX685" s="201"/>
      <c r="JAY685" s="201"/>
      <c r="JAZ685" s="201"/>
      <c r="JBA685" s="201"/>
      <c r="JBB685" s="201"/>
      <c r="JBC685" s="201"/>
      <c r="JBD685" s="201"/>
      <c r="JBE685" s="201"/>
      <c r="JBF685" s="201"/>
      <c r="JBG685" s="201"/>
      <c r="JBH685" s="201"/>
      <c r="JBI685" s="201"/>
      <c r="JBJ685" s="201"/>
      <c r="JBK685" s="201"/>
      <c r="JBL685" s="201"/>
      <c r="JBM685" s="201"/>
      <c r="JBN685" s="201"/>
      <c r="JBO685" s="201"/>
      <c r="JBP685" s="201"/>
      <c r="JBQ685" s="201"/>
      <c r="JBR685" s="201"/>
      <c r="JBS685" s="201"/>
      <c r="JBT685" s="201"/>
      <c r="JBU685" s="201"/>
      <c r="JBV685" s="201"/>
      <c r="JBW685" s="201"/>
      <c r="JBX685" s="201"/>
      <c r="JBY685" s="201"/>
      <c r="JBZ685" s="201"/>
      <c r="JCA685" s="201"/>
      <c r="JCB685" s="201"/>
      <c r="JCC685" s="201"/>
      <c r="JCD685" s="201"/>
      <c r="JCE685" s="201"/>
      <c r="JCF685" s="201"/>
      <c r="JCG685" s="201"/>
      <c r="JCH685" s="201"/>
      <c r="JCI685" s="201"/>
      <c r="JCJ685" s="201"/>
      <c r="JCK685" s="201"/>
      <c r="JCL685" s="201"/>
      <c r="JCM685" s="201"/>
      <c r="JCN685" s="201"/>
      <c r="JCO685" s="201"/>
      <c r="JCP685" s="201"/>
      <c r="JCQ685" s="201"/>
      <c r="JCR685" s="201"/>
      <c r="JCS685" s="201"/>
      <c r="JCT685" s="201"/>
      <c r="JCU685" s="201"/>
      <c r="JCV685" s="201"/>
      <c r="JCW685" s="201"/>
      <c r="JCX685" s="201"/>
      <c r="JCY685" s="201"/>
      <c r="JCZ685" s="201"/>
      <c r="JDA685" s="201"/>
      <c r="JDB685" s="201"/>
      <c r="JDC685" s="201"/>
      <c r="JDD685" s="201"/>
      <c r="JDE685" s="201"/>
      <c r="JDF685" s="201"/>
      <c r="JDG685" s="201"/>
      <c r="JDH685" s="201"/>
      <c r="JDI685" s="201"/>
      <c r="JDJ685" s="201"/>
      <c r="JDK685" s="201"/>
      <c r="JDL685" s="201"/>
      <c r="JDM685" s="201"/>
      <c r="JDN685" s="201"/>
      <c r="JDO685" s="201"/>
      <c r="JDP685" s="201"/>
      <c r="JDQ685" s="201"/>
      <c r="JDR685" s="201"/>
      <c r="JDS685" s="201"/>
      <c r="JDT685" s="201"/>
      <c r="JDU685" s="201"/>
      <c r="JDV685" s="201"/>
      <c r="JDW685" s="201"/>
      <c r="JDX685" s="201"/>
      <c r="JDY685" s="201"/>
      <c r="JDZ685" s="201"/>
      <c r="JEA685" s="201"/>
      <c r="JEB685" s="201"/>
      <c r="JEC685" s="201"/>
      <c r="JED685" s="201"/>
      <c r="JEE685" s="201"/>
      <c r="JEF685" s="201"/>
      <c r="JEG685" s="201"/>
      <c r="JEH685" s="201"/>
      <c r="JEI685" s="201"/>
      <c r="JEJ685" s="201"/>
      <c r="JEK685" s="201"/>
      <c r="JEL685" s="201"/>
      <c r="JEM685" s="201"/>
      <c r="JEN685" s="201"/>
      <c r="JEO685" s="201"/>
      <c r="JEP685" s="201"/>
      <c r="JEQ685" s="201"/>
      <c r="JER685" s="201"/>
      <c r="JES685" s="201"/>
      <c r="JET685" s="201"/>
      <c r="JEU685" s="201"/>
      <c r="JEV685" s="201"/>
      <c r="JEW685" s="201"/>
      <c r="JEX685" s="201"/>
      <c r="JEY685" s="201"/>
      <c r="JEZ685" s="201"/>
      <c r="JFA685" s="201"/>
      <c r="JFB685" s="201"/>
      <c r="JFC685" s="201"/>
      <c r="JFD685" s="201"/>
      <c r="JFE685" s="201"/>
      <c r="JFF685" s="201"/>
      <c r="JFG685" s="201"/>
      <c r="JFH685" s="201"/>
      <c r="JFI685" s="201"/>
      <c r="JFJ685" s="201"/>
      <c r="JFK685" s="201"/>
      <c r="JFL685" s="201"/>
      <c r="JFM685" s="201"/>
      <c r="JFN685" s="201"/>
      <c r="JFO685" s="201"/>
      <c r="JFP685" s="201"/>
      <c r="JFQ685" s="201"/>
      <c r="JFR685" s="201"/>
      <c r="JFS685" s="201"/>
      <c r="JFT685" s="201"/>
      <c r="JFU685" s="201"/>
      <c r="JFV685" s="201"/>
      <c r="JFW685" s="201"/>
      <c r="JFX685" s="201"/>
      <c r="JFY685" s="201"/>
      <c r="JFZ685" s="201"/>
      <c r="JGA685" s="201"/>
      <c r="JGB685" s="201"/>
      <c r="JGC685" s="201"/>
      <c r="JGD685" s="201"/>
      <c r="JGE685" s="201"/>
      <c r="JGF685" s="201"/>
      <c r="JGG685" s="201"/>
      <c r="JGH685" s="201"/>
      <c r="JGI685" s="201"/>
      <c r="JGJ685" s="201"/>
      <c r="JGK685" s="201"/>
      <c r="JGL685" s="201"/>
      <c r="JGM685" s="201"/>
      <c r="JGN685" s="201"/>
      <c r="JGO685" s="201"/>
      <c r="JGP685" s="201"/>
      <c r="JGQ685" s="201"/>
      <c r="JGR685" s="201"/>
      <c r="JGS685" s="201"/>
      <c r="JGT685" s="201"/>
      <c r="JGU685" s="201"/>
      <c r="JGV685" s="201"/>
      <c r="JGW685" s="201"/>
      <c r="JGX685" s="201"/>
      <c r="JGY685" s="201"/>
      <c r="JGZ685" s="201"/>
      <c r="JHA685" s="201"/>
      <c r="JHB685" s="201"/>
      <c r="JHC685" s="201"/>
      <c r="JHD685" s="201"/>
      <c r="JHE685" s="201"/>
      <c r="JHF685" s="201"/>
      <c r="JHG685" s="201"/>
      <c r="JHH685" s="201"/>
      <c r="JHI685" s="201"/>
      <c r="JHJ685" s="201"/>
      <c r="JHK685" s="201"/>
      <c r="JHL685" s="201"/>
      <c r="JHM685" s="201"/>
      <c r="JHN685" s="201"/>
      <c r="JHO685" s="201"/>
      <c r="JHP685" s="201"/>
      <c r="JHQ685" s="201"/>
      <c r="JHR685" s="201"/>
      <c r="JHS685" s="201"/>
      <c r="JHT685" s="201"/>
      <c r="JHU685" s="201"/>
      <c r="JHV685" s="201"/>
      <c r="JHW685" s="201"/>
      <c r="JHX685" s="201"/>
      <c r="JHY685" s="201"/>
      <c r="JHZ685" s="201"/>
      <c r="JIA685" s="201"/>
      <c r="JIB685" s="201"/>
      <c r="JIC685" s="201"/>
      <c r="JID685" s="201"/>
      <c r="JIE685" s="201"/>
      <c r="JIF685" s="201"/>
      <c r="JIG685" s="201"/>
      <c r="JIH685" s="201"/>
      <c r="JII685" s="201"/>
      <c r="JIJ685" s="201"/>
      <c r="JIK685" s="201"/>
      <c r="JIL685" s="201"/>
      <c r="JIM685" s="201"/>
      <c r="JIN685" s="201"/>
      <c r="JIO685" s="201"/>
      <c r="JIP685" s="201"/>
      <c r="JIQ685" s="201"/>
      <c r="JIR685" s="201"/>
      <c r="JIS685" s="201"/>
      <c r="JIT685" s="201"/>
      <c r="JIU685" s="201"/>
      <c r="JIV685" s="201"/>
      <c r="JIW685" s="201"/>
      <c r="JIX685" s="201"/>
      <c r="JIY685" s="201"/>
      <c r="JIZ685" s="201"/>
      <c r="JJA685" s="201"/>
      <c r="JJB685" s="201"/>
      <c r="JJC685" s="201"/>
      <c r="JJD685" s="201"/>
      <c r="JJE685" s="201"/>
      <c r="JJF685" s="201"/>
      <c r="JJG685" s="201"/>
      <c r="JJH685" s="201"/>
      <c r="JJI685" s="201"/>
      <c r="JJJ685" s="201"/>
      <c r="JJK685" s="201"/>
      <c r="JJL685" s="201"/>
      <c r="JJM685" s="201"/>
      <c r="JJN685" s="201"/>
      <c r="JJO685" s="201"/>
      <c r="JJP685" s="201"/>
      <c r="JJQ685" s="201"/>
      <c r="JJR685" s="201"/>
      <c r="JJS685" s="201"/>
      <c r="JJT685" s="201"/>
      <c r="JJU685" s="201"/>
      <c r="JJV685" s="201"/>
      <c r="JJW685" s="201"/>
      <c r="JJX685" s="201"/>
      <c r="JJY685" s="201"/>
      <c r="JJZ685" s="201"/>
      <c r="JKA685" s="201"/>
      <c r="JKB685" s="201"/>
      <c r="JKC685" s="201"/>
      <c r="JKD685" s="201"/>
      <c r="JKE685" s="201"/>
      <c r="JKF685" s="201"/>
      <c r="JKG685" s="201"/>
      <c r="JKH685" s="201"/>
      <c r="JKI685" s="201"/>
      <c r="JKJ685" s="201"/>
      <c r="JKK685" s="201"/>
      <c r="JKL685" s="201"/>
      <c r="JKM685" s="201"/>
      <c r="JKN685" s="201"/>
      <c r="JKO685" s="201"/>
      <c r="JKP685" s="201"/>
      <c r="JKQ685" s="201"/>
      <c r="JKR685" s="201"/>
      <c r="JKS685" s="201"/>
      <c r="JKT685" s="201"/>
      <c r="JKU685" s="201"/>
      <c r="JKV685" s="201"/>
      <c r="JKW685" s="201"/>
      <c r="JKX685" s="201"/>
      <c r="JKY685" s="201"/>
      <c r="JKZ685" s="201"/>
      <c r="JLA685" s="201"/>
      <c r="JLB685" s="201"/>
      <c r="JLC685" s="201"/>
      <c r="JLD685" s="201"/>
      <c r="JLE685" s="201"/>
      <c r="JLF685" s="201"/>
      <c r="JLG685" s="201"/>
      <c r="JLH685" s="201"/>
      <c r="JLI685" s="201"/>
      <c r="JLJ685" s="201"/>
      <c r="JLK685" s="201"/>
      <c r="JLL685" s="201"/>
      <c r="JLM685" s="201"/>
      <c r="JLN685" s="201"/>
      <c r="JLO685" s="201"/>
      <c r="JLP685" s="201"/>
      <c r="JLQ685" s="201"/>
      <c r="JLR685" s="201"/>
      <c r="JLS685" s="201"/>
      <c r="JLT685" s="201"/>
      <c r="JLU685" s="201"/>
      <c r="JLV685" s="201"/>
      <c r="JLW685" s="201"/>
      <c r="JLX685" s="201"/>
      <c r="JLY685" s="201"/>
      <c r="JLZ685" s="201"/>
      <c r="JMA685" s="201"/>
      <c r="JMB685" s="201"/>
      <c r="JMC685" s="201"/>
      <c r="JMD685" s="201"/>
      <c r="JME685" s="201"/>
      <c r="JMF685" s="201"/>
      <c r="JMG685" s="201"/>
      <c r="JMH685" s="201"/>
      <c r="JMI685" s="201"/>
      <c r="JMJ685" s="201"/>
      <c r="JMK685" s="201"/>
      <c r="JML685" s="201"/>
      <c r="JMM685" s="201"/>
      <c r="JMN685" s="201"/>
      <c r="JMO685" s="201"/>
      <c r="JMP685" s="201"/>
      <c r="JMQ685" s="201"/>
      <c r="JMR685" s="201"/>
      <c r="JMS685" s="201"/>
      <c r="JMT685" s="201"/>
      <c r="JMU685" s="201"/>
      <c r="JMV685" s="201"/>
      <c r="JMW685" s="201"/>
      <c r="JMX685" s="201"/>
      <c r="JMY685" s="201"/>
      <c r="JMZ685" s="201"/>
      <c r="JNA685" s="201"/>
      <c r="JNB685" s="201"/>
      <c r="JNC685" s="201"/>
      <c r="JND685" s="201"/>
      <c r="JNE685" s="201"/>
      <c r="JNF685" s="201"/>
      <c r="JNG685" s="201"/>
      <c r="JNH685" s="201"/>
      <c r="JNI685" s="201"/>
      <c r="JNJ685" s="201"/>
      <c r="JNK685" s="201"/>
      <c r="JNL685" s="201"/>
      <c r="JNM685" s="201"/>
      <c r="JNN685" s="201"/>
      <c r="JNO685" s="201"/>
      <c r="JNP685" s="201"/>
      <c r="JNQ685" s="201"/>
      <c r="JNR685" s="201"/>
      <c r="JNS685" s="201"/>
      <c r="JNT685" s="201"/>
      <c r="JNU685" s="201"/>
      <c r="JNV685" s="201"/>
      <c r="JNW685" s="201"/>
      <c r="JNX685" s="201"/>
      <c r="JNY685" s="201"/>
      <c r="JNZ685" s="201"/>
      <c r="JOA685" s="201"/>
      <c r="JOB685" s="201"/>
      <c r="JOC685" s="201"/>
      <c r="JOD685" s="201"/>
      <c r="JOE685" s="201"/>
      <c r="JOF685" s="201"/>
      <c r="JOG685" s="201"/>
      <c r="JOH685" s="201"/>
      <c r="JOI685" s="201"/>
      <c r="JOJ685" s="201"/>
      <c r="JOK685" s="201"/>
      <c r="JOL685" s="201"/>
      <c r="JOM685" s="201"/>
      <c r="JON685" s="201"/>
      <c r="JOO685" s="201"/>
      <c r="JOP685" s="201"/>
      <c r="JOQ685" s="201"/>
      <c r="JOR685" s="201"/>
      <c r="JOS685" s="201"/>
      <c r="JOT685" s="201"/>
      <c r="JOU685" s="201"/>
      <c r="JOV685" s="201"/>
      <c r="JOW685" s="201"/>
      <c r="JOX685" s="201"/>
      <c r="JOY685" s="201"/>
      <c r="JOZ685" s="201"/>
      <c r="JPA685" s="201"/>
      <c r="JPB685" s="201"/>
      <c r="JPC685" s="201"/>
      <c r="JPD685" s="201"/>
      <c r="JPE685" s="201"/>
      <c r="JPF685" s="201"/>
      <c r="JPG685" s="201"/>
      <c r="JPH685" s="201"/>
      <c r="JPI685" s="201"/>
      <c r="JPJ685" s="201"/>
      <c r="JPK685" s="201"/>
      <c r="JPL685" s="201"/>
      <c r="JPM685" s="201"/>
      <c r="JPN685" s="201"/>
      <c r="JPO685" s="201"/>
      <c r="JPP685" s="201"/>
      <c r="JPQ685" s="201"/>
      <c r="JPR685" s="201"/>
      <c r="JPS685" s="201"/>
      <c r="JPT685" s="201"/>
      <c r="JPU685" s="201"/>
      <c r="JPV685" s="201"/>
      <c r="JPW685" s="201"/>
      <c r="JPX685" s="201"/>
      <c r="JPY685" s="201"/>
      <c r="JPZ685" s="201"/>
      <c r="JQA685" s="201"/>
      <c r="JQB685" s="201"/>
      <c r="JQC685" s="201"/>
      <c r="JQD685" s="201"/>
      <c r="JQE685" s="201"/>
      <c r="JQF685" s="201"/>
      <c r="JQG685" s="201"/>
      <c r="JQH685" s="201"/>
      <c r="JQI685" s="201"/>
      <c r="JQJ685" s="201"/>
      <c r="JQK685" s="201"/>
      <c r="JQL685" s="201"/>
      <c r="JQM685" s="201"/>
      <c r="JQN685" s="201"/>
      <c r="JQO685" s="201"/>
      <c r="JQP685" s="201"/>
      <c r="JQQ685" s="201"/>
      <c r="JQR685" s="201"/>
      <c r="JQS685" s="201"/>
      <c r="JQT685" s="201"/>
      <c r="JQU685" s="201"/>
      <c r="JQV685" s="201"/>
      <c r="JQW685" s="201"/>
      <c r="JQX685" s="201"/>
      <c r="JQY685" s="201"/>
      <c r="JQZ685" s="201"/>
      <c r="JRA685" s="201"/>
      <c r="JRB685" s="201"/>
      <c r="JRC685" s="201"/>
      <c r="JRD685" s="201"/>
      <c r="JRE685" s="201"/>
      <c r="JRF685" s="201"/>
      <c r="JRG685" s="201"/>
      <c r="JRH685" s="201"/>
      <c r="JRI685" s="201"/>
      <c r="JRJ685" s="201"/>
      <c r="JRK685" s="201"/>
      <c r="JRL685" s="201"/>
      <c r="JRM685" s="201"/>
      <c r="JRN685" s="201"/>
      <c r="JRO685" s="201"/>
      <c r="JRP685" s="201"/>
      <c r="JRQ685" s="201"/>
      <c r="JRR685" s="201"/>
      <c r="JRS685" s="201"/>
      <c r="JRT685" s="201"/>
      <c r="JRU685" s="201"/>
      <c r="JRV685" s="201"/>
      <c r="JRW685" s="201"/>
      <c r="JRX685" s="201"/>
      <c r="JRY685" s="201"/>
      <c r="JRZ685" s="201"/>
      <c r="JSA685" s="201"/>
      <c r="JSB685" s="201"/>
      <c r="JSC685" s="201"/>
      <c r="JSD685" s="201"/>
      <c r="JSE685" s="201"/>
      <c r="JSF685" s="201"/>
      <c r="JSG685" s="201"/>
      <c r="JSH685" s="201"/>
      <c r="JSI685" s="201"/>
      <c r="JSJ685" s="201"/>
      <c r="JSK685" s="201"/>
      <c r="JSL685" s="201"/>
      <c r="JSM685" s="201"/>
      <c r="JSN685" s="201"/>
      <c r="JSO685" s="201"/>
      <c r="JSP685" s="201"/>
      <c r="JSQ685" s="201"/>
      <c r="JSR685" s="201"/>
      <c r="JSS685" s="201"/>
      <c r="JST685" s="201"/>
      <c r="JSU685" s="201"/>
      <c r="JSV685" s="201"/>
      <c r="JSW685" s="201"/>
      <c r="JSX685" s="201"/>
      <c r="JSY685" s="201"/>
      <c r="JSZ685" s="201"/>
      <c r="JTA685" s="201"/>
      <c r="JTB685" s="201"/>
      <c r="JTC685" s="201"/>
      <c r="JTD685" s="201"/>
      <c r="JTE685" s="201"/>
      <c r="JTF685" s="201"/>
      <c r="JTG685" s="201"/>
      <c r="JTH685" s="201"/>
      <c r="JTI685" s="201"/>
      <c r="JTJ685" s="201"/>
      <c r="JTK685" s="201"/>
      <c r="JTL685" s="201"/>
      <c r="JTM685" s="201"/>
      <c r="JTN685" s="201"/>
      <c r="JTO685" s="201"/>
      <c r="JTP685" s="201"/>
      <c r="JTQ685" s="201"/>
      <c r="JTR685" s="201"/>
      <c r="JTS685" s="201"/>
      <c r="JTT685" s="201"/>
      <c r="JTU685" s="201"/>
      <c r="JTV685" s="201"/>
      <c r="JTW685" s="201"/>
      <c r="JTX685" s="201"/>
      <c r="JTY685" s="201"/>
      <c r="JTZ685" s="201"/>
      <c r="JUA685" s="201"/>
      <c r="JUB685" s="201"/>
      <c r="JUC685" s="201"/>
      <c r="JUD685" s="201"/>
      <c r="JUE685" s="201"/>
      <c r="JUF685" s="201"/>
      <c r="JUG685" s="201"/>
      <c r="JUH685" s="201"/>
      <c r="JUI685" s="201"/>
      <c r="JUJ685" s="201"/>
      <c r="JUK685" s="201"/>
      <c r="JUL685" s="201"/>
      <c r="JUM685" s="201"/>
      <c r="JUN685" s="201"/>
      <c r="JUO685" s="201"/>
      <c r="JUP685" s="201"/>
      <c r="JUQ685" s="201"/>
      <c r="JUR685" s="201"/>
      <c r="JUS685" s="201"/>
      <c r="JUT685" s="201"/>
      <c r="JUU685" s="201"/>
      <c r="JUV685" s="201"/>
      <c r="JUW685" s="201"/>
      <c r="JUX685" s="201"/>
      <c r="JUY685" s="201"/>
      <c r="JUZ685" s="201"/>
      <c r="JVA685" s="201"/>
      <c r="JVB685" s="201"/>
      <c r="JVC685" s="201"/>
      <c r="JVD685" s="201"/>
      <c r="JVE685" s="201"/>
      <c r="JVF685" s="201"/>
      <c r="JVG685" s="201"/>
      <c r="JVH685" s="201"/>
      <c r="JVI685" s="201"/>
      <c r="JVJ685" s="201"/>
      <c r="JVK685" s="201"/>
      <c r="JVL685" s="201"/>
      <c r="JVM685" s="201"/>
      <c r="JVN685" s="201"/>
      <c r="JVO685" s="201"/>
      <c r="JVP685" s="201"/>
      <c r="JVQ685" s="201"/>
      <c r="JVR685" s="201"/>
      <c r="JVS685" s="201"/>
      <c r="JVT685" s="201"/>
      <c r="JVU685" s="201"/>
      <c r="JVV685" s="201"/>
      <c r="JVW685" s="201"/>
      <c r="JVX685" s="201"/>
      <c r="JVY685" s="201"/>
      <c r="JVZ685" s="201"/>
      <c r="JWA685" s="201"/>
      <c r="JWB685" s="201"/>
      <c r="JWC685" s="201"/>
      <c r="JWD685" s="201"/>
      <c r="JWE685" s="201"/>
      <c r="JWF685" s="201"/>
      <c r="JWG685" s="201"/>
      <c r="JWH685" s="201"/>
      <c r="JWI685" s="201"/>
      <c r="JWJ685" s="201"/>
      <c r="JWK685" s="201"/>
      <c r="JWL685" s="201"/>
      <c r="JWM685" s="201"/>
      <c r="JWN685" s="201"/>
      <c r="JWO685" s="201"/>
      <c r="JWP685" s="201"/>
      <c r="JWQ685" s="201"/>
      <c r="JWR685" s="201"/>
      <c r="JWS685" s="201"/>
      <c r="JWT685" s="201"/>
      <c r="JWU685" s="201"/>
      <c r="JWV685" s="201"/>
      <c r="JWW685" s="201"/>
      <c r="JWX685" s="201"/>
      <c r="JWY685" s="201"/>
      <c r="JWZ685" s="201"/>
      <c r="JXA685" s="201"/>
      <c r="JXB685" s="201"/>
      <c r="JXC685" s="201"/>
      <c r="JXD685" s="201"/>
      <c r="JXE685" s="201"/>
      <c r="JXF685" s="201"/>
      <c r="JXG685" s="201"/>
      <c r="JXH685" s="201"/>
      <c r="JXI685" s="201"/>
      <c r="JXJ685" s="201"/>
      <c r="JXK685" s="201"/>
      <c r="JXL685" s="201"/>
      <c r="JXM685" s="201"/>
      <c r="JXN685" s="201"/>
      <c r="JXO685" s="201"/>
      <c r="JXP685" s="201"/>
      <c r="JXQ685" s="201"/>
      <c r="JXR685" s="201"/>
      <c r="JXS685" s="201"/>
      <c r="JXT685" s="201"/>
      <c r="JXU685" s="201"/>
      <c r="JXV685" s="201"/>
      <c r="JXW685" s="201"/>
      <c r="JXX685" s="201"/>
      <c r="JXY685" s="201"/>
      <c r="JXZ685" s="201"/>
      <c r="JYA685" s="201"/>
      <c r="JYB685" s="201"/>
      <c r="JYC685" s="201"/>
      <c r="JYD685" s="201"/>
      <c r="JYE685" s="201"/>
      <c r="JYF685" s="201"/>
      <c r="JYG685" s="201"/>
      <c r="JYH685" s="201"/>
      <c r="JYI685" s="201"/>
      <c r="JYJ685" s="201"/>
      <c r="JYK685" s="201"/>
      <c r="JYL685" s="201"/>
      <c r="JYM685" s="201"/>
      <c r="JYN685" s="201"/>
      <c r="JYO685" s="201"/>
      <c r="JYP685" s="201"/>
      <c r="JYQ685" s="201"/>
      <c r="JYR685" s="201"/>
      <c r="JYS685" s="201"/>
      <c r="JYT685" s="201"/>
      <c r="JYU685" s="201"/>
      <c r="JYV685" s="201"/>
      <c r="JYW685" s="201"/>
      <c r="JYX685" s="201"/>
      <c r="JYY685" s="201"/>
      <c r="JYZ685" s="201"/>
      <c r="JZA685" s="201"/>
      <c r="JZB685" s="201"/>
      <c r="JZC685" s="201"/>
      <c r="JZD685" s="201"/>
      <c r="JZE685" s="201"/>
      <c r="JZF685" s="201"/>
      <c r="JZG685" s="201"/>
      <c r="JZH685" s="201"/>
      <c r="JZI685" s="201"/>
      <c r="JZJ685" s="201"/>
      <c r="JZK685" s="201"/>
      <c r="JZL685" s="201"/>
      <c r="JZM685" s="201"/>
      <c r="JZN685" s="201"/>
      <c r="JZO685" s="201"/>
      <c r="JZP685" s="201"/>
      <c r="JZQ685" s="201"/>
      <c r="JZR685" s="201"/>
      <c r="JZS685" s="201"/>
      <c r="JZT685" s="201"/>
      <c r="JZU685" s="201"/>
      <c r="JZV685" s="201"/>
      <c r="JZW685" s="201"/>
      <c r="JZX685" s="201"/>
      <c r="JZY685" s="201"/>
      <c r="JZZ685" s="201"/>
      <c r="KAA685" s="201"/>
      <c r="KAB685" s="201"/>
      <c r="KAC685" s="201"/>
      <c r="KAD685" s="201"/>
      <c r="KAE685" s="201"/>
      <c r="KAF685" s="201"/>
      <c r="KAG685" s="201"/>
      <c r="KAH685" s="201"/>
      <c r="KAI685" s="201"/>
      <c r="KAJ685" s="201"/>
      <c r="KAK685" s="201"/>
      <c r="KAL685" s="201"/>
      <c r="KAM685" s="201"/>
      <c r="KAN685" s="201"/>
      <c r="KAO685" s="201"/>
      <c r="KAP685" s="201"/>
      <c r="KAQ685" s="201"/>
      <c r="KAR685" s="201"/>
      <c r="KAS685" s="201"/>
      <c r="KAT685" s="201"/>
      <c r="KAU685" s="201"/>
      <c r="KAV685" s="201"/>
      <c r="KAW685" s="201"/>
      <c r="KAX685" s="201"/>
      <c r="KAY685" s="201"/>
      <c r="KAZ685" s="201"/>
      <c r="KBA685" s="201"/>
      <c r="KBB685" s="201"/>
      <c r="KBC685" s="201"/>
      <c r="KBD685" s="201"/>
      <c r="KBE685" s="201"/>
      <c r="KBF685" s="201"/>
      <c r="KBG685" s="201"/>
      <c r="KBH685" s="201"/>
      <c r="KBI685" s="201"/>
      <c r="KBJ685" s="201"/>
      <c r="KBK685" s="201"/>
      <c r="KBL685" s="201"/>
      <c r="KBM685" s="201"/>
      <c r="KBN685" s="201"/>
      <c r="KBO685" s="201"/>
      <c r="KBP685" s="201"/>
      <c r="KBQ685" s="201"/>
      <c r="KBR685" s="201"/>
      <c r="KBS685" s="201"/>
      <c r="KBT685" s="201"/>
      <c r="KBU685" s="201"/>
      <c r="KBV685" s="201"/>
      <c r="KBW685" s="201"/>
      <c r="KBX685" s="201"/>
      <c r="KBY685" s="201"/>
      <c r="KBZ685" s="201"/>
      <c r="KCA685" s="201"/>
      <c r="KCB685" s="201"/>
      <c r="KCC685" s="201"/>
      <c r="KCD685" s="201"/>
      <c r="KCE685" s="201"/>
      <c r="KCF685" s="201"/>
      <c r="KCG685" s="201"/>
      <c r="KCH685" s="201"/>
      <c r="KCI685" s="201"/>
      <c r="KCJ685" s="201"/>
      <c r="KCK685" s="201"/>
      <c r="KCL685" s="201"/>
      <c r="KCM685" s="201"/>
      <c r="KCN685" s="201"/>
      <c r="KCO685" s="201"/>
      <c r="KCP685" s="201"/>
      <c r="KCQ685" s="201"/>
      <c r="KCR685" s="201"/>
      <c r="KCS685" s="201"/>
      <c r="KCT685" s="201"/>
      <c r="KCU685" s="201"/>
      <c r="KCV685" s="201"/>
      <c r="KCW685" s="201"/>
      <c r="KCX685" s="201"/>
      <c r="KCY685" s="201"/>
      <c r="KCZ685" s="201"/>
      <c r="KDA685" s="201"/>
      <c r="KDB685" s="201"/>
      <c r="KDC685" s="201"/>
      <c r="KDD685" s="201"/>
      <c r="KDE685" s="201"/>
      <c r="KDF685" s="201"/>
      <c r="KDG685" s="201"/>
      <c r="KDH685" s="201"/>
      <c r="KDI685" s="201"/>
      <c r="KDJ685" s="201"/>
      <c r="KDK685" s="201"/>
      <c r="KDL685" s="201"/>
      <c r="KDM685" s="201"/>
      <c r="KDN685" s="201"/>
      <c r="KDO685" s="201"/>
      <c r="KDP685" s="201"/>
      <c r="KDQ685" s="201"/>
      <c r="KDR685" s="201"/>
      <c r="KDS685" s="201"/>
      <c r="KDT685" s="201"/>
      <c r="KDU685" s="201"/>
      <c r="KDV685" s="201"/>
      <c r="KDW685" s="201"/>
      <c r="KDX685" s="201"/>
      <c r="KDY685" s="201"/>
      <c r="KDZ685" s="201"/>
      <c r="KEA685" s="201"/>
      <c r="KEB685" s="201"/>
      <c r="KEC685" s="201"/>
      <c r="KED685" s="201"/>
      <c r="KEE685" s="201"/>
      <c r="KEF685" s="201"/>
      <c r="KEG685" s="201"/>
      <c r="KEH685" s="201"/>
      <c r="KEI685" s="201"/>
      <c r="KEJ685" s="201"/>
      <c r="KEK685" s="201"/>
      <c r="KEL685" s="201"/>
      <c r="KEM685" s="201"/>
      <c r="KEN685" s="201"/>
      <c r="KEO685" s="201"/>
      <c r="KEP685" s="201"/>
      <c r="KEQ685" s="201"/>
      <c r="KER685" s="201"/>
      <c r="KES685" s="201"/>
      <c r="KET685" s="201"/>
      <c r="KEU685" s="201"/>
      <c r="KEV685" s="201"/>
      <c r="KEW685" s="201"/>
      <c r="KEX685" s="201"/>
      <c r="KEY685" s="201"/>
      <c r="KEZ685" s="201"/>
      <c r="KFA685" s="201"/>
      <c r="KFB685" s="201"/>
      <c r="KFC685" s="201"/>
      <c r="KFD685" s="201"/>
      <c r="KFE685" s="201"/>
      <c r="KFF685" s="201"/>
      <c r="KFG685" s="201"/>
      <c r="KFH685" s="201"/>
      <c r="KFI685" s="201"/>
      <c r="KFJ685" s="201"/>
      <c r="KFK685" s="201"/>
      <c r="KFL685" s="201"/>
      <c r="KFM685" s="201"/>
      <c r="KFN685" s="201"/>
      <c r="KFO685" s="201"/>
      <c r="KFP685" s="201"/>
      <c r="KFQ685" s="201"/>
      <c r="KFR685" s="201"/>
      <c r="KFS685" s="201"/>
      <c r="KFT685" s="201"/>
      <c r="KFU685" s="201"/>
      <c r="KFV685" s="201"/>
      <c r="KFW685" s="201"/>
      <c r="KFX685" s="201"/>
      <c r="KFY685" s="201"/>
      <c r="KFZ685" s="201"/>
      <c r="KGA685" s="201"/>
      <c r="KGB685" s="201"/>
      <c r="KGC685" s="201"/>
      <c r="KGD685" s="201"/>
      <c r="KGE685" s="201"/>
      <c r="KGF685" s="201"/>
      <c r="KGG685" s="201"/>
      <c r="KGH685" s="201"/>
      <c r="KGI685" s="201"/>
      <c r="KGJ685" s="201"/>
      <c r="KGK685" s="201"/>
      <c r="KGL685" s="201"/>
      <c r="KGM685" s="201"/>
      <c r="KGN685" s="201"/>
      <c r="KGO685" s="201"/>
      <c r="KGP685" s="201"/>
      <c r="KGQ685" s="201"/>
      <c r="KGR685" s="201"/>
      <c r="KGS685" s="201"/>
      <c r="KGT685" s="201"/>
      <c r="KGU685" s="201"/>
      <c r="KGV685" s="201"/>
      <c r="KGW685" s="201"/>
      <c r="KGX685" s="201"/>
      <c r="KGY685" s="201"/>
      <c r="KGZ685" s="201"/>
      <c r="KHA685" s="201"/>
      <c r="KHB685" s="201"/>
      <c r="KHC685" s="201"/>
      <c r="KHD685" s="201"/>
      <c r="KHE685" s="201"/>
      <c r="KHF685" s="201"/>
      <c r="KHG685" s="201"/>
      <c r="KHH685" s="201"/>
      <c r="KHI685" s="201"/>
      <c r="KHJ685" s="201"/>
      <c r="KHK685" s="201"/>
      <c r="KHL685" s="201"/>
      <c r="KHM685" s="201"/>
      <c r="KHN685" s="201"/>
      <c r="KHO685" s="201"/>
      <c r="KHP685" s="201"/>
      <c r="KHQ685" s="201"/>
      <c r="KHR685" s="201"/>
      <c r="KHS685" s="201"/>
      <c r="KHT685" s="201"/>
      <c r="KHU685" s="201"/>
      <c r="KHV685" s="201"/>
      <c r="KHW685" s="201"/>
      <c r="KHX685" s="201"/>
      <c r="KHY685" s="201"/>
      <c r="KHZ685" s="201"/>
      <c r="KIA685" s="201"/>
      <c r="KIB685" s="201"/>
      <c r="KIC685" s="201"/>
      <c r="KID685" s="201"/>
      <c r="KIE685" s="201"/>
      <c r="KIF685" s="201"/>
      <c r="KIG685" s="201"/>
      <c r="KIH685" s="201"/>
      <c r="KII685" s="201"/>
      <c r="KIJ685" s="201"/>
      <c r="KIK685" s="201"/>
      <c r="KIL685" s="201"/>
      <c r="KIM685" s="201"/>
      <c r="KIN685" s="201"/>
      <c r="KIO685" s="201"/>
      <c r="KIP685" s="201"/>
      <c r="KIQ685" s="201"/>
      <c r="KIR685" s="201"/>
      <c r="KIS685" s="201"/>
      <c r="KIT685" s="201"/>
      <c r="KIU685" s="201"/>
      <c r="KIV685" s="201"/>
      <c r="KIW685" s="201"/>
      <c r="KIX685" s="201"/>
      <c r="KIY685" s="201"/>
      <c r="KIZ685" s="201"/>
      <c r="KJA685" s="201"/>
      <c r="KJB685" s="201"/>
      <c r="KJC685" s="201"/>
      <c r="KJD685" s="201"/>
      <c r="KJE685" s="201"/>
      <c r="KJF685" s="201"/>
      <c r="KJG685" s="201"/>
      <c r="KJH685" s="201"/>
      <c r="KJI685" s="201"/>
      <c r="KJJ685" s="201"/>
      <c r="KJK685" s="201"/>
      <c r="KJL685" s="201"/>
      <c r="KJM685" s="201"/>
      <c r="KJN685" s="201"/>
      <c r="KJO685" s="201"/>
      <c r="KJP685" s="201"/>
      <c r="KJQ685" s="201"/>
      <c r="KJR685" s="201"/>
      <c r="KJS685" s="201"/>
      <c r="KJT685" s="201"/>
      <c r="KJU685" s="201"/>
      <c r="KJV685" s="201"/>
      <c r="KJW685" s="201"/>
      <c r="KJX685" s="201"/>
      <c r="KJY685" s="201"/>
      <c r="KJZ685" s="201"/>
      <c r="KKA685" s="201"/>
      <c r="KKB685" s="201"/>
      <c r="KKC685" s="201"/>
      <c r="KKD685" s="201"/>
      <c r="KKE685" s="201"/>
      <c r="KKF685" s="201"/>
      <c r="KKG685" s="201"/>
      <c r="KKH685" s="201"/>
      <c r="KKI685" s="201"/>
      <c r="KKJ685" s="201"/>
      <c r="KKK685" s="201"/>
      <c r="KKL685" s="201"/>
      <c r="KKM685" s="201"/>
      <c r="KKN685" s="201"/>
      <c r="KKO685" s="201"/>
      <c r="KKP685" s="201"/>
      <c r="KKQ685" s="201"/>
      <c r="KKR685" s="201"/>
      <c r="KKS685" s="201"/>
      <c r="KKT685" s="201"/>
      <c r="KKU685" s="201"/>
      <c r="KKV685" s="201"/>
      <c r="KKW685" s="201"/>
      <c r="KKX685" s="201"/>
      <c r="KKY685" s="201"/>
      <c r="KKZ685" s="201"/>
      <c r="KLA685" s="201"/>
      <c r="KLB685" s="201"/>
      <c r="KLC685" s="201"/>
      <c r="KLD685" s="201"/>
      <c r="KLE685" s="201"/>
      <c r="KLF685" s="201"/>
      <c r="KLG685" s="201"/>
      <c r="KLH685" s="201"/>
      <c r="KLI685" s="201"/>
      <c r="KLJ685" s="201"/>
      <c r="KLK685" s="201"/>
      <c r="KLL685" s="201"/>
      <c r="KLM685" s="201"/>
      <c r="KLN685" s="201"/>
      <c r="KLO685" s="201"/>
      <c r="KLP685" s="201"/>
      <c r="KLQ685" s="201"/>
      <c r="KLR685" s="201"/>
      <c r="KLS685" s="201"/>
      <c r="KLT685" s="201"/>
      <c r="KLU685" s="201"/>
      <c r="KLV685" s="201"/>
      <c r="KLW685" s="201"/>
      <c r="KLX685" s="201"/>
      <c r="KLY685" s="201"/>
      <c r="KLZ685" s="201"/>
      <c r="KMA685" s="201"/>
      <c r="KMB685" s="201"/>
      <c r="KMC685" s="201"/>
      <c r="KMD685" s="201"/>
      <c r="KME685" s="201"/>
      <c r="KMF685" s="201"/>
      <c r="KMG685" s="201"/>
      <c r="KMH685" s="201"/>
      <c r="KMI685" s="201"/>
      <c r="KMJ685" s="201"/>
      <c r="KMK685" s="201"/>
      <c r="KML685" s="201"/>
      <c r="KMM685" s="201"/>
      <c r="KMN685" s="201"/>
      <c r="KMO685" s="201"/>
      <c r="KMP685" s="201"/>
      <c r="KMQ685" s="201"/>
      <c r="KMR685" s="201"/>
      <c r="KMS685" s="201"/>
      <c r="KMT685" s="201"/>
      <c r="KMU685" s="201"/>
      <c r="KMV685" s="201"/>
      <c r="KMW685" s="201"/>
      <c r="KMX685" s="201"/>
      <c r="KMY685" s="201"/>
      <c r="KMZ685" s="201"/>
      <c r="KNA685" s="201"/>
      <c r="KNB685" s="201"/>
      <c r="KNC685" s="201"/>
      <c r="KND685" s="201"/>
      <c r="KNE685" s="201"/>
      <c r="KNF685" s="201"/>
      <c r="KNG685" s="201"/>
      <c r="KNH685" s="201"/>
      <c r="KNI685" s="201"/>
      <c r="KNJ685" s="201"/>
      <c r="KNK685" s="201"/>
      <c r="KNL685" s="201"/>
      <c r="KNM685" s="201"/>
      <c r="KNN685" s="201"/>
      <c r="KNO685" s="201"/>
      <c r="KNP685" s="201"/>
      <c r="KNQ685" s="201"/>
      <c r="KNR685" s="201"/>
      <c r="KNS685" s="201"/>
      <c r="KNT685" s="201"/>
      <c r="KNU685" s="201"/>
      <c r="KNV685" s="201"/>
      <c r="KNW685" s="201"/>
      <c r="KNX685" s="201"/>
      <c r="KNY685" s="201"/>
      <c r="KNZ685" s="201"/>
      <c r="KOA685" s="201"/>
      <c r="KOB685" s="201"/>
      <c r="KOC685" s="201"/>
      <c r="KOD685" s="201"/>
      <c r="KOE685" s="201"/>
      <c r="KOF685" s="201"/>
      <c r="KOG685" s="201"/>
      <c r="KOH685" s="201"/>
      <c r="KOI685" s="201"/>
      <c r="KOJ685" s="201"/>
      <c r="KOK685" s="201"/>
      <c r="KOL685" s="201"/>
      <c r="KOM685" s="201"/>
      <c r="KON685" s="201"/>
      <c r="KOO685" s="201"/>
      <c r="KOP685" s="201"/>
      <c r="KOQ685" s="201"/>
      <c r="KOR685" s="201"/>
      <c r="KOS685" s="201"/>
      <c r="KOT685" s="201"/>
      <c r="KOU685" s="201"/>
      <c r="KOV685" s="201"/>
      <c r="KOW685" s="201"/>
      <c r="KOX685" s="201"/>
      <c r="KOY685" s="201"/>
      <c r="KOZ685" s="201"/>
      <c r="KPA685" s="201"/>
      <c r="KPB685" s="201"/>
      <c r="KPC685" s="201"/>
      <c r="KPD685" s="201"/>
      <c r="KPE685" s="201"/>
      <c r="KPF685" s="201"/>
      <c r="KPG685" s="201"/>
      <c r="KPH685" s="201"/>
      <c r="KPI685" s="201"/>
      <c r="KPJ685" s="201"/>
      <c r="KPK685" s="201"/>
      <c r="KPL685" s="201"/>
      <c r="KPM685" s="201"/>
      <c r="KPN685" s="201"/>
      <c r="KPO685" s="201"/>
      <c r="KPP685" s="201"/>
      <c r="KPQ685" s="201"/>
      <c r="KPR685" s="201"/>
      <c r="KPS685" s="201"/>
      <c r="KPT685" s="201"/>
      <c r="KPU685" s="201"/>
      <c r="KPV685" s="201"/>
      <c r="KPW685" s="201"/>
      <c r="KPX685" s="201"/>
      <c r="KPY685" s="201"/>
      <c r="KPZ685" s="201"/>
      <c r="KQA685" s="201"/>
      <c r="KQB685" s="201"/>
      <c r="KQC685" s="201"/>
      <c r="KQD685" s="201"/>
      <c r="KQE685" s="201"/>
      <c r="KQF685" s="201"/>
      <c r="KQG685" s="201"/>
      <c r="KQH685" s="201"/>
      <c r="KQI685" s="201"/>
      <c r="KQJ685" s="201"/>
      <c r="KQK685" s="201"/>
      <c r="KQL685" s="201"/>
      <c r="KQM685" s="201"/>
      <c r="KQN685" s="201"/>
      <c r="KQO685" s="201"/>
      <c r="KQP685" s="201"/>
      <c r="KQQ685" s="201"/>
      <c r="KQR685" s="201"/>
      <c r="KQS685" s="201"/>
      <c r="KQT685" s="201"/>
      <c r="KQU685" s="201"/>
      <c r="KQV685" s="201"/>
      <c r="KQW685" s="201"/>
      <c r="KQX685" s="201"/>
      <c r="KQY685" s="201"/>
      <c r="KQZ685" s="201"/>
      <c r="KRA685" s="201"/>
      <c r="KRB685" s="201"/>
      <c r="KRC685" s="201"/>
      <c r="KRD685" s="201"/>
      <c r="KRE685" s="201"/>
      <c r="KRF685" s="201"/>
      <c r="KRG685" s="201"/>
      <c r="KRH685" s="201"/>
      <c r="KRI685" s="201"/>
      <c r="KRJ685" s="201"/>
      <c r="KRK685" s="201"/>
      <c r="KRL685" s="201"/>
      <c r="KRM685" s="201"/>
      <c r="KRN685" s="201"/>
      <c r="KRO685" s="201"/>
      <c r="KRP685" s="201"/>
      <c r="KRQ685" s="201"/>
      <c r="KRR685" s="201"/>
      <c r="KRS685" s="201"/>
      <c r="KRT685" s="201"/>
      <c r="KRU685" s="201"/>
      <c r="KRV685" s="201"/>
      <c r="KRW685" s="201"/>
      <c r="KRX685" s="201"/>
      <c r="KRY685" s="201"/>
      <c r="KRZ685" s="201"/>
      <c r="KSA685" s="201"/>
      <c r="KSB685" s="201"/>
      <c r="KSC685" s="201"/>
      <c r="KSD685" s="201"/>
      <c r="KSE685" s="201"/>
      <c r="KSF685" s="201"/>
      <c r="KSG685" s="201"/>
      <c r="KSH685" s="201"/>
      <c r="KSI685" s="201"/>
      <c r="KSJ685" s="201"/>
      <c r="KSK685" s="201"/>
      <c r="KSL685" s="201"/>
      <c r="KSM685" s="201"/>
      <c r="KSN685" s="201"/>
      <c r="KSO685" s="201"/>
      <c r="KSP685" s="201"/>
      <c r="KSQ685" s="201"/>
      <c r="KSR685" s="201"/>
      <c r="KSS685" s="201"/>
      <c r="KST685" s="201"/>
      <c r="KSU685" s="201"/>
      <c r="KSV685" s="201"/>
      <c r="KSW685" s="201"/>
      <c r="KSX685" s="201"/>
      <c r="KSY685" s="201"/>
      <c r="KSZ685" s="201"/>
      <c r="KTA685" s="201"/>
      <c r="KTB685" s="201"/>
      <c r="KTC685" s="201"/>
      <c r="KTD685" s="201"/>
      <c r="KTE685" s="201"/>
      <c r="KTF685" s="201"/>
      <c r="KTG685" s="201"/>
      <c r="KTH685" s="201"/>
      <c r="KTI685" s="201"/>
      <c r="KTJ685" s="201"/>
      <c r="KTK685" s="201"/>
      <c r="KTL685" s="201"/>
      <c r="KTM685" s="201"/>
      <c r="KTN685" s="201"/>
      <c r="KTO685" s="201"/>
      <c r="KTP685" s="201"/>
      <c r="KTQ685" s="201"/>
      <c r="KTR685" s="201"/>
      <c r="KTS685" s="201"/>
      <c r="KTT685" s="201"/>
      <c r="KTU685" s="201"/>
      <c r="KTV685" s="201"/>
      <c r="KTW685" s="201"/>
      <c r="KTX685" s="201"/>
      <c r="KTY685" s="201"/>
      <c r="KTZ685" s="201"/>
      <c r="KUA685" s="201"/>
      <c r="KUB685" s="201"/>
      <c r="KUC685" s="201"/>
      <c r="KUD685" s="201"/>
      <c r="KUE685" s="201"/>
      <c r="KUF685" s="201"/>
      <c r="KUG685" s="201"/>
      <c r="KUH685" s="201"/>
      <c r="KUI685" s="201"/>
      <c r="KUJ685" s="201"/>
      <c r="KUK685" s="201"/>
      <c r="KUL685" s="201"/>
      <c r="KUM685" s="201"/>
      <c r="KUN685" s="201"/>
      <c r="KUO685" s="201"/>
      <c r="KUP685" s="201"/>
      <c r="KUQ685" s="201"/>
      <c r="KUR685" s="201"/>
      <c r="KUS685" s="201"/>
      <c r="KUT685" s="201"/>
      <c r="KUU685" s="201"/>
      <c r="KUV685" s="201"/>
      <c r="KUW685" s="201"/>
      <c r="KUX685" s="201"/>
      <c r="KUY685" s="201"/>
      <c r="KUZ685" s="201"/>
      <c r="KVA685" s="201"/>
      <c r="KVB685" s="201"/>
      <c r="KVC685" s="201"/>
      <c r="KVD685" s="201"/>
      <c r="KVE685" s="201"/>
      <c r="KVF685" s="201"/>
      <c r="KVG685" s="201"/>
      <c r="KVH685" s="201"/>
      <c r="KVI685" s="201"/>
      <c r="KVJ685" s="201"/>
      <c r="KVK685" s="201"/>
      <c r="KVL685" s="201"/>
      <c r="KVM685" s="201"/>
      <c r="KVN685" s="201"/>
      <c r="KVO685" s="201"/>
      <c r="KVP685" s="201"/>
      <c r="KVQ685" s="201"/>
      <c r="KVR685" s="201"/>
      <c r="KVS685" s="201"/>
      <c r="KVT685" s="201"/>
      <c r="KVU685" s="201"/>
      <c r="KVV685" s="201"/>
      <c r="KVW685" s="201"/>
      <c r="KVX685" s="201"/>
      <c r="KVY685" s="201"/>
      <c r="KVZ685" s="201"/>
      <c r="KWA685" s="201"/>
      <c r="KWB685" s="201"/>
      <c r="KWC685" s="201"/>
      <c r="KWD685" s="201"/>
      <c r="KWE685" s="201"/>
      <c r="KWF685" s="201"/>
      <c r="KWG685" s="201"/>
      <c r="KWH685" s="201"/>
      <c r="KWI685" s="201"/>
      <c r="KWJ685" s="201"/>
      <c r="KWK685" s="201"/>
      <c r="KWL685" s="201"/>
      <c r="KWM685" s="201"/>
      <c r="KWN685" s="201"/>
      <c r="KWO685" s="201"/>
      <c r="KWP685" s="201"/>
      <c r="KWQ685" s="201"/>
      <c r="KWR685" s="201"/>
      <c r="KWS685" s="201"/>
      <c r="KWT685" s="201"/>
      <c r="KWU685" s="201"/>
      <c r="KWV685" s="201"/>
      <c r="KWW685" s="201"/>
      <c r="KWX685" s="201"/>
      <c r="KWY685" s="201"/>
      <c r="KWZ685" s="201"/>
      <c r="KXA685" s="201"/>
      <c r="KXB685" s="201"/>
      <c r="KXC685" s="201"/>
      <c r="KXD685" s="201"/>
      <c r="KXE685" s="201"/>
      <c r="KXF685" s="201"/>
      <c r="KXG685" s="201"/>
      <c r="KXH685" s="201"/>
      <c r="KXI685" s="201"/>
      <c r="KXJ685" s="201"/>
      <c r="KXK685" s="201"/>
      <c r="KXL685" s="201"/>
      <c r="KXM685" s="201"/>
      <c r="KXN685" s="201"/>
      <c r="KXO685" s="201"/>
      <c r="KXP685" s="201"/>
      <c r="KXQ685" s="201"/>
      <c r="KXR685" s="201"/>
      <c r="KXS685" s="201"/>
      <c r="KXT685" s="201"/>
      <c r="KXU685" s="201"/>
      <c r="KXV685" s="201"/>
      <c r="KXW685" s="201"/>
      <c r="KXX685" s="201"/>
      <c r="KXY685" s="201"/>
      <c r="KXZ685" s="201"/>
      <c r="KYA685" s="201"/>
      <c r="KYB685" s="201"/>
      <c r="KYC685" s="201"/>
      <c r="KYD685" s="201"/>
      <c r="KYE685" s="201"/>
      <c r="KYF685" s="201"/>
      <c r="KYG685" s="201"/>
      <c r="KYH685" s="201"/>
      <c r="KYI685" s="201"/>
      <c r="KYJ685" s="201"/>
      <c r="KYK685" s="201"/>
      <c r="KYL685" s="201"/>
      <c r="KYM685" s="201"/>
      <c r="KYN685" s="201"/>
      <c r="KYO685" s="201"/>
      <c r="KYP685" s="201"/>
      <c r="KYQ685" s="201"/>
      <c r="KYR685" s="201"/>
      <c r="KYS685" s="201"/>
      <c r="KYT685" s="201"/>
      <c r="KYU685" s="201"/>
      <c r="KYV685" s="201"/>
      <c r="KYW685" s="201"/>
      <c r="KYX685" s="201"/>
      <c r="KYY685" s="201"/>
      <c r="KYZ685" s="201"/>
      <c r="KZA685" s="201"/>
      <c r="KZB685" s="201"/>
      <c r="KZC685" s="201"/>
      <c r="KZD685" s="201"/>
      <c r="KZE685" s="201"/>
      <c r="KZF685" s="201"/>
      <c r="KZG685" s="201"/>
      <c r="KZH685" s="201"/>
      <c r="KZI685" s="201"/>
      <c r="KZJ685" s="201"/>
      <c r="KZK685" s="201"/>
      <c r="KZL685" s="201"/>
      <c r="KZM685" s="201"/>
      <c r="KZN685" s="201"/>
      <c r="KZO685" s="201"/>
      <c r="KZP685" s="201"/>
      <c r="KZQ685" s="201"/>
      <c r="KZR685" s="201"/>
      <c r="KZS685" s="201"/>
      <c r="KZT685" s="201"/>
      <c r="KZU685" s="201"/>
      <c r="KZV685" s="201"/>
      <c r="KZW685" s="201"/>
      <c r="KZX685" s="201"/>
      <c r="KZY685" s="201"/>
      <c r="KZZ685" s="201"/>
      <c r="LAA685" s="201"/>
      <c r="LAB685" s="201"/>
      <c r="LAC685" s="201"/>
      <c r="LAD685" s="201"/>
      <c r="LAE685" s="201"/>
      <c r="LAF685" s="201"/>
      <c r="LAG685" s="201"/>
      <c r="LAH685" s="201"/>
      <c r="LAI685" s="201"/>
      <c r="LAJ685" s="201"/>
      <c r="LAK685" s="201"/>
      <c r="LAL685" s="201"/>
      <c r="LAM685" s="201"/>
      <c r="LAN685" s="201"/>
      <c r="LAO685" s="201"/>
      <c r="LAP685" s="201"/>
      <c r="LAQ685" s="201"/>
      <c r="LAR685" s="201"/>
      <c r="LAS685" s="201"/>
      <c r="LAT685" s="201"/>
      <c r="LAU685" s="201"/>
      <c r="LAV685" s="201"/>
      <c r="LAW685" s="201"/>
      <c r="LAX685" s="201"/>
      <c r="LAY685" s="201"/>
      <c r="LAZ685" s="201"/>
      <c r="LBA685" s="201"/>
      <c r="LBB685" s="201"/>
      <c r="LBC685" s="201"/>
      <c r="LBD685" s="201"/>
      <c r="LBE685" s="201"/>
      <c r="LBF685" s="201"/>
      <c r="LBG685" s="201"/>
      <c r="LBH685" s="201"/>
      <c r="LBI685" s="201"/>
      <c r="LBJ685" s="201"/>
      <c r="LBK685" s="201"/>
      <c r="LBL685" s="201"/>
      <c r="LBM685" s="201"/>
      <c r="LBN685" s="201"/>
      <c r="LBO685" s="201"/>
      <c r="LBP685" s="201"/>
      <c r="LBQ685" s="201"/>
      <c r="LBR685" s="201"/>
      <c r="LBS685" s="201"/>
      <c r="LBT685" s="201"/>
      <c r="LBU685" s="201"/>
      <c r="LBV685" s="201"/>
      <c r="LBW685" s="201"/>
      <c r="LBX685" s="201"/>
      <c r="LBY685" s="201"/>
      <c r="LBZ685" s="201"/>
      <c r="LCA685" s="201"/>
      <c r="LCB685" s="201"/>
      <c r="LCC685" s="201"/>
      <c r="LCD685" s="201"/>
      <c r="LCE685" s="201"/>
      <c r="LCF685" s="201"/>
      <c r="LCG685" s="201"/>
      <c r="LCH685" s="201"/>
      <c r="LCI685" s="201"/>
      <c r="LCJ685" s="201"/>
      <c r="LCK685" s="201"/>
      <c r="LCL685" s="201"/>
      <c r="LCM685" s="201"/>
      <c r="LCN685" s="201"/>
      <c r="LCO685" s="201"/>
      <c r="LCP685" s="201"/>
      <c r="LCQ685" s="201"/>
      <c r="LCR685" s="201"/>
      <c r="LCS685" s="201"/>
      <c r="LCT685" s="201"/>
      <c r="LCU685" s="201"/>
      <c r="LCV685" s="201"/>
      <c r="LCW685" s="201"/>
      <c r="LCX685" s="201"/>
      <c r="LCY685" s="201"/>
      <c r="LCZ685" s="201"/>
      <c r="LDA685" s="201"/>
      <c r="LDB685" s="201"/>
      <c r="LDC685" s="201"/>
      <c r="LDD685" s="201"/>
      <c r="LDE685" s="201"/>
      <c r="LDF685" s="201"/>
      <c r="LDG685" s="201"/>
      <c r="LDH685" s="201"/>
      <c r="LDI685" s="201"/>
      <c r="LDJ685" s="201"/>
      <c r="LDK685" s="201"/>
      <c r="LDL685" s="201"/>
      <c r="LDM685" s="201"/>
      <c r="LDN685" s="201"/>
      <c r="LDO685" s="201"/>
      <c r="LDP685" s="201"/>
      <c r="LDQ685" s="201"/>
      <c r="LDR685" s="201"/>
      <c r="LDS685" s="201"/>
      <c r="LDT685" s="201"/>
      <c r="LDU685" s="201"/>
      <c r="LDV685" s="201"/>
      <c r="LDW685" s="201"/>
      <c r="LDX685" s="201"/>
      <c r="LDY685" s="201"/>
      <c r="LDZ685" s="201"/>
      <c r="LEA685" s="201"/>
      <c r="LEB685" s="201"/>
      <c r="LEC685" s="201"/>
      <c r="LED685" s="201"/>
      <c r="LEE685" s="201"/>
      <c r="LEF685" s="201"/>
      <c r="LEG685" s="201"/>
      <c r="LEH685" s="201"/>
      <c r="LEI685" s="201"/>
      <c r="LEJ685" s="201"/>
      <c r="LEK685" s="201"/>
      <c r="LEL685" s="201"/>
      <c r="LEM685" s="201"/>
      <c r="LEN685" s="201"/>
      <c r="LEO685" s="201"/>
      <c r="LEP685" s="201"/>
      <c r="LEQ685" s="201"/>
      <c r="LER685" s="201"/>
      <c r="LES685" s="201"/>
      <c r="LET685" s="201"/>
      <c r="LEU685" s="201"/>
      <c r="LEV685" s="201"/>
      <c r="LEW685" s="201"/>
      <c r="LEX685" s="201"/>
      <c r="LEY685" s="201"/>
      <c r="LEZ685" s="201"/>
      <c r="LFA685" s="201"/>
      <c r="LFB685" s="201"/>
      <c r="LFC685" s="201"/>
      <c r="LFD685" s="201"/>
      <c r="LFE685" s="201"/>
      <c r="LFF685" s="201"/>
      <c r="LFG685" s="201"/>
      <c r="LFH685" s="201"/>
      <c r="LFI685" s="201"/>
      <c r="LFJ685" s="201"/>
      <c r="LFK685" s="201"/>
      <c r="LFL685" s="201"/>
      <c r="LFM685" s="201"/>
      <c r="LFN685" s="201"/>
      <c r="LFO685" s="201"/>
      <c r="LFP685" s="201"/>
      <c r="LFQ685" s="201"/>
      <c r="LFR685" s="201"/>
      <c r="LFS685" s="201"/>
      <c r="LFT685" s="201"/>
      <c r="LFU685" s="201"/>
      <c r="LFV685" s="201"/>
      <c r="LFW685" s="201"/>
      <c r="LFX685" s="201"/>
      <c r="LFY685" s="201"/>
      <c r="LFZ685" s="201"/>
      <c r="LGA685" s="201"/>
      <c r="LGB685" s="201"/>
      <c r="LGC685" s="201"/>
      <c r="LGD685" s="201"/>
      <c r="LGE685" s="201"/>
      <c r="LGF685" s="201"/>
      <c r="LGG685" s="201"/>
      <c r="LGH685" s="201"/>
      <c r="LGI685" s="201"/>
      <c r="LGJ685" s="201"/>
      <c r="LGK685" s="201"/>
      <c r="LGL685" s="201"/>
      <c r="LGM685" s="201"/>
      <c r="LGN685" s="201"/>
      <c r="LGO685" s="201"/>
      <c r="LGP685" s="201"/>
      <c r="LGQ685" s="201"/>
      <c r="LGR685" s="201"/>
      <c r="LGS685" s="201"/>
      <c r="LGT685" s="201"/>
      <c r="LGU685" s="201"/>
      <c r="LGV685" s="201"/>
      <c r="LGW685" s="201"/>
      <c r="LGX685" s="201"/>
      <c r="LGY685" s="201"/>
      <c r="LGZ685" s="201"/>
      <c r="LHA685" s="201"/>
      <c r="LHB685" s="201"/>
      <c r="LHC685" s="201"/>
      <c r="LHD685" s="201"/>
      <c r="LHE685" s="201"/>
      <c r="LHF685" s="201"/>
      <c r="LHG685" s="201"/>
      <c r="LHH685" s="201"/>
      <c r="LHI685" s="201"/>
      <c r="LHJ685" s="201"/>
      <c r="LHK685" s="201"/>
      <c r="LHL685" s="201"/>
      <c r="LHM685" s="201"/>
      <c r="LHN685" s="201"/>
      <c r="LHO685" s="201"/>
      <c r="LHP685" s="201"/>
      <c r="LHQ685" s="201"/>
      <c r="LHR685" s="201"/>
      <c r="LHS685" s="201"/>
      <c r="LHT685" s="201"/>
      <c r="LHU685" s="201"/>
      <c r="LHV685" s="201"/>
      <c r="LHW685" s="201"/>
      <c r="LHX685" s="201"/>
      <c r="LHY685" s="201"/>
      <c r="LHZ685" s="201"/>
      <c r="LIA685" s="201"/>
      <c r="LIB685" s="201"/>
      <c r="LIC685" s="201"/>
      <c r="LID685" s="201"/>
      <c r="LIE685" s="201"/>
      <c r="LIF685" s="201"/>
      <c r="LIG685" s="201"/>
      <c r="LIH685" s="201"/>
      <c r="LII685" s="201"/>
      <c r="LIJ685" s="201"/>
      <c r="LIK685" s="201"/>
      <c r="LIL685" s="201"/>
      <c r="LIM685" s="201"/>
      <c r="LIN685" s="201"/>
      <c r="LIO685" s="201"/>
      <c r="LIP685" s="201"/>
      <c r="LIQ685" s="201"/>
      <c r="LIR685" s="201"/>
      <c r="LIS685" s="201"/>
      <c r="LIT685" s="201"/>
      <c r="LIU685" s="201"/>
      <c r="LIV685" s="201"/>
      <c r="LIW685" s="201"/>
      <c r="LIX685" s="201"/>
      <c r="LIY685" s="201"/>
      <c r="LIZ685" s="201"/>
      <c r="LJA685" s="201"/>
      <c r="LJB685" s="201"/>
      <c r="LJC685" s="201"/>
      <c r="LJD685" s="201"/>
      <c r="LJE685" s="201"/>
      <c r="LJF685" s="201"/>
      <c r="LJG685" s="201"/>
      <c r="LJH685" s="201"/>
      <c r="LJI685" s="201"/>
      <c r="LJJ685" s="201"/>
      <c r="LJK685" s="201"/>
      <c r="LJL685" s="201"/>
      <c r="LJM685" s="201"/>
      <c r="LJN685" s="201"/>
      <c r="LJO685" s="201"/>
      <c r="LJP685" s="201"/>
      <c r="LJQ685" s="201"/>
      <c r="LJR685" s="201"/>
      <c r="LJS685" s="201"/>
      <c r="LJT685" s="201"/>
      <c r="LJU685" s="201"/>
      <c r="LJV685" s="201"/>
      <c r="LJW685" s="201"/>
      <c r="LJX685" s="201"/>
      <c r="LJY685" s="201"/>
      <c r="LJZ685" s="201"/>
      <c r="LKA685" s="201"/>
      <c r="LKB685" s="201"/>
      <c r="LKC685" s="201"/>
      <c r="LKD685" s="201"/>
      <c r="LKE685" s="201"/>
      <c r="LKF685" s="201"/>
      <c r="LKG685" s="201"/>
      <c r="LKH685" s="201"/>
      <c r="LKI685" s="201"/>
      <c r="LKJ685" s="201"/>
      <c r="LKK685" s="201"/>
      <c r="LKL685" s="201"/>
      <c r="LKM685" s="201"/>
      <c r="LKN685" s="201"/>
      <c r="LKO685" s="201"/>
      <c r="LKP685" s="201"/>
      <c r="LKQ685" s="201"/>
      <c r="LKR685" s="201"/>
      <c r="LKS685" s="201"/>
      <c r="LKT685" s="201"/>
      <c r="LKU685" s="201"/>
      <c r="LKV685" s="201"/>
      <c r="LKW685" s="201"/>
      <c r="LKX685" s="201"/>
      <c r="LKY685" s="201"/>
      <c r="LKZ685" s="201"/>
      <c r="LLA685" s="201"/>
      <c r="LLB685" s="201"/>
      <c r="LLC685" s="201"/>
      <c r="LLD685" s="201"/>
      <c r="LLE685" s="201"/>
      <c r="LLF685" s="201"/>
      <c r="LLG685" s="201"/>
      <c r="LLH685" s="201"/>
      <c r="LLI685" s="201"/>
      <c r="LLJ685" s="201"/>
      <c r="LLK685" s="201"/>
      <c r="LLL685" s="201"/>
      <c r="LLM685" s="201"/>
      <c r="LLN685" s="201"/>
      <c r="LLO685" s="201"/>
      <c r="LLP685" s="201"/>
      <c r="LLQ685" s="201"/>
      <c r="LLR685" s="201"/>
      <c r="LLS685" s="201"/>
      <c r="LLT685" s="201"/>
      <c r="LLU685" s="201"/>
      <c r="LLV685" s="201"/>
      <c r="LLW685" s="201"/>
      <c r="LLX685" s="201"/>
      <c r="LLY685" s="201"/>
      <c r="LLZ685" s="201"/>
      <c r="LMA685" s="201"/>
      <c r="LMB685" s="201"/>
      <c r="LMC685" s="201"/>
      <c r="LMD685" s="201"/>
      <c r="LME685" s="201"/>
      <c r="LMF685" s="201"/>
      <c r="LMG685" s="201"/>
      <c r="LMH685" s="201"/>
      <c r="LMI685" s="201"/>
      <c r="LMJ685" s="201"/>
      <c r="LMK685" s="201"/>
      <c r="LML685" s="201"/>
      <c r="LMM685" s="201"/>
      <c r="LMN685" s="201"/>
      <c r="LMO685" s="201"/>
      <c r="LMP685" s="201"/>
      <c r="LMQ685" s="201"/>
      <c r="LMR685" s="201"/>
      <c r="LMS685" s="201"/>
      <c r="LMT685" s="201"/>
      <c r="LMU685" s="201"/>
      <c r="LMV685" s="201"/>
      <c r="LMW685" s="201"/>
      <c r="LMX685" s="201"/>
      <c r="LMY685" s="201"/>
      <c r="LMZ685" s="201"/>
      <c r="LNA685" s="201"/>
      <c r="LNB685" s="201"/>
      <c r="LNC685" s="201"/>
      <c r="LND685" s="201"/>
      <c r="LNE685" s="201"/>
      <c r="LNF685" s="201"/>
      <c r="LNG685" s="201"/>
      <c r="LNH685" s="201"/>
      <c r="LNI685" s="201"/>
      <c r="LNJ685" s="201"/>
      <c r="LNK685" s="201"/>
      <c r="LNL685" s="201"/>
      <c r="LNM685" s="201"/>
      <c r="LNN685" s="201"/>
      <c r="LNO685" s="201"/>
      <c r="LNP685" s="201"/>
      <c r="LNQ685" s="201"/>
      <c r="LNR685" s="201"/>
      <c r="LNS685" s="201"/>
      <c r="LNT685" s="201"/>
      <c r="LNU685" s="201"/>
      <c r="LNV685" s="201"/>
      <c r="LNW685" s="201"/>
      <c r="LNX685" s="201"/>
      <c r="LNY685" s="201"/>
      <c r="LNZ685" s="201"/>
      <c r="LOA685" s="201"/>
      <c r="LOB685" s="201"/>
      <c r="LOC685" s="201"/>
      <c r="LOD685" s="201"/>
      <c r="LOE685" s="201"/>
      <c r="LOF685" s="201"/>
      <c r="LOG685" s="201"/>
      <c r="LOH685" s="201"/>
      <c r="LOI685" s="201"/>
      <c r="LOJ685" s="201"/>
      <c r="LOK685" s="201"/>
      <c r="LOL685" s="201"/>
      <c r="LOM685" s="201"/>
      <c r="LON685" s="201"/>
      <c r="LOO685" s="201"/>
      <c r="LOP685" s="201"/>
      <c r="LOQ685" s="201"/>
      <c r="LOR685" s="201"/>
      <c r="LOS685" s="201"/>
      <c r="LOT685" s="201"/>
      <c r="LOU685" s="201"/>
      <c r="LOV685" s="201"/>
      <c r="LOW685" s="201"/>
      <c r="LOX685" s="201"/>
      <c r="LOY685" s="201"/>
      <c r="LOZ685" s="201"/>
      <c r="LPA685" s="201"/>
      <c r="LPB685" s="201"/>
      <c r="LPC685" s="201"/>
      <c r="LPD685" s="201"/>
      <c r="LPE685" s="201"/>
      <c r="LPF685" s="201"/>
      <c r="LPG685" s="201"/>
      <c r="LPH685" s="201"/>
      <c r="LPI685" s="201"/>
      <c r="LPJ685" s="201"/>
      <c r="LPK685" s="201"/>
      <c r="LPL685" s="201"/>
      <c r="LPM685" s="201"/>
      <c r="LPN685" s="201"/>
      <c r="LPO685" s="201"/>
      <c r="LPP685" s="201"/>
      <c r="LPQ685" s="201"/>
      <c r="LPR685" s="201"/>
      <c r="LPS685" s="201"/>
      <c r="LPT685" s="201"/>
      <c r="LPU685" s="201"/>
      <c r="LPV685" s="201"/>
      <c r="LPW685" s="201"/>
      <c r="LPX685" s="201"/>
      <c r="LPY685" s="201"/>
      <c r="LPZ685" s="201"/>
      <c r="LQA685" s="201"/>
      <c r="LQB685" s="201"/>
      <c r="LQC685" s="201"/>
      <c r="LQD685" s="201"/>
      <c r="LQE685" s="201"/>
      <c r="LQF685" s="201"/>
      <c r="LQG685" s="201"/>
      <c r="LQH685" s="201"/>
      <c r="LQI685" s="201"/>
      <c r="LQJ685" s="201"/>
      <c r="LQK685" s="201"/>
      <c r="LQL685" s="201"/>
      <c r="LQM685" s="201"/>
      <c r="LQN685" s="201"/>
      <c r="LQO685" s="201"/>
      <c r="LQP685" s="201"/>
      <c r="LQQ685" s="201"/>
      <c r="LQR685" s="201"/>
      <c r="LQS685" s="201"/>
      <c r="LQT685" s="201"/>
      <c r="LQU685" s="201"/>
      <c r="LQV685" s="201"/>
      <c r="LQW685" s="201"/>
      <c r="LQX685" s="201"/>
      <c r="LQY685" s="201"/>
      <c r="LQZ685" s="201"/>
      <c r="LRA685" s="201"/>
      <c r="LRB685" s="201"/>
      <c r="LRC685" s="201"/>
      <c r="LRD685" s="201"/>
      <c r="LRE685" s="201"/>
      <c r="LRF685" s="201"/>
      <c r="LRG685" s="201"/>
      <c r="LRH685" s="201"/>
      <c r="LRI685" s="201"/>
      <c r="LRJ685" s="201"/>
      <c r="LRK685" s="201"/>
      <c r="LRL685" s="201"/>
      <c r="LRM685" s="201"/>
      <c r="LRN685" s="201"/>
      <c r="LRO685" s="201"/>
      <c r="LRP685" s="201"/>
      <c r="LRQ685" s="201"/>
      <c r="LRR685" s="201"/>
      <c r="LRS685" s="201"/>
      <c r="LRT685" s="201"/>
      <c r="LRU685" s="201"/>
      <c r="LRV685" s="201"/>
      <c r="LRW685" s="201"/>
      <c r="LRX685" s="201"/>
      <c r="LRY685" s="201"/>
      <c r="LRZ685" s="201"/>
      <c r="LSA685" s="201"/>
      <c r="LSB685" s="201"/>
      <c r="LSC685" s="201"/>
      <c r="LSD685" s="201"/>
      <c r="LSE685" s="201"/>
      <c r="LSF685" s="201"/>
      <c r="LSG685" s="201"/>
      <c r="LSH685" s="201"/>
      <c r="LSI685" s="201"/>
      <c r="LSJ685" s="201"/>
      <c r="LSK685" s="201"/>
      <c r="LSL685" s="201"/>
      <c r="LSM685" s="201"/>
      <c r="LSN685" s="201"/>
      <c r="LSO685" s="201"/>
      <c r="LSP685" s="201"/>
      <c r="LSQ685" s="201"/>
      <c r="LSR685" s="201"/>
      <c r="LSS685" s="201"/>
      <c r="LST685" s="201"/>
      <c r="LSU685" s="201"/>
      <c r="LSV685" s="201"/>
      <c r="LSW685" s="201"/>
      <c r="LSX685" s="201"/>
      <c r="LSY685" s="201"/>
      <c r="LSZ685" s="201"/>
      <c r="LTA685" s="201"/>
      <c r="LTB685" s="201"/>
      <c r="LTC685" s="201"/>
      <c r="LTD685" s="201"/>
      <c r="LTE685" s="201"/>
      <c r="LTF685" s="201"/>
      <c r="LTG685" s="201"/>
      <c r="LTH685" s="201"/>
      <c r="LTI685" s="201"/>
      <c r="LTJ685" s="201"/>
      <c r="LTK685" s="201"/>
      <c r="LTL685" s="201"/>
      <c r="LTM685" s="201"/>
      <c r="LTN685" s="201"/>
      <c r="LTO685" s="201"/>
      <c r="LTP685" s="201"/>
      <c r="LTQ685" s="201"/>
      <c r="LTR685" s="201"/>
      <c r="LTS685" s="201"/>
      <c r="LTT685" s="201"/>
      <c r="LTU685" s="201"/>
      <c r="LTV685" s="201"/>
      <c r="LTW685" s="201"/>
      <c r="LTX685" s="201"/>
      <c r="LTY685" s="201"/>
      <c r="LTZ685" s="201"/>
      <c r="LUA685" s="201"/>
      <c r="LUB685" s="201"/>
      <c r="LUC685" s="201"/>
      <c r="LUD685" s="201"/>
      <c r="LUE685" s="201"/>
      <c r="LUF685" s="201"/>
      <c r="LUG685" s="201"/>
      <c r="LUH685" s="201"/>
      <c r="LUI685" s="201"/>
      <c r="LUJ685" s="201"/>
      <c r="LUK685" s="201"/>
      <c r="LUL685" s="201"/>
      <c r="LUM685" s="201"/>
      <c r="LUN685" s="201"/>
      <c r="LUO685" s="201"/>
      <c r="LUP685" s="201"/>
      <c r="LUQ685" s="201"/>
      <c r="LUR685" s="201"/>
      <c r="LUS685" s="201"/>
      <c r="LUT685" s="201"/>
      <c r="LUU685" s="201"/>
      <c r="LUV685" s="201"/>
      <c r="LUW685" s="201"/>
      <c r="LUX685" s="201"/>
      <c r="LUY685" s="201"/>
      <c r="LUZ685" s="201"/>
      <c r="LVA685" s="201"/>
      <c r="LVB685" s="201"/>
      <c r="LVC685" s="201"/>
      <c r="LVD685" s="201"/>
      <c r="LVE685" s="201"/>
      <c r="LVF685" s="201"/>
      <c r="LVG685" s="201"/>
      <c r="LVH685" s="201"/>
      <c r="LVI685" s="201"/>
      <c r="LVJ685" s="201"/>
      <c r="LVK685" s="201"/>
      <c r="LVL685" s="201"/>
      <c r="LVM685" s="201"/>
      <c r="LVN685" s="201"/>
      <c r="LVO685" s="201"/>
      <c r="LVP685" s="201"/>
      <c r="LVQ685" s="201"/>
      <c r="LVR685" s="201"/>
      <c r="LVS685" s="201"/>
      <c r="LVT685" s="201"/>
      <c r="LVU685" s="201"/>
      <c r="LVV685" s="201"/>
      <c r="LVW685" s="201"/>
      <c r="LVX685" s="201"/>
      <c r="LVY685" s="201"/>
      <c r="LVZ685" s="201"/>
      <c r="LWA685" s="201"/>
      <c r="LWB685" s="201"/>
      <c r="LWC685" s="201"/>
      <c r="LWD685" s="201"/>
      <c r="LWE685" s="201"/>
      <c r="LWF685" s="201"/>
      <c r="LWG685" s="201"/>
      <c r="LWH685" s="201"/>
      <c r="LWI685" s="201"/>
      <c r="LWJ685" s="201"/>
      <c r="LWK685" s="201"/>
      <c r="LWL685" s="201"/>
      <c r="LWM685" s="201"/>
      <c r="LWN685" s="201"/>
      <c r="LWO685" s="201"/>
      <c r="LWP685" s="201"/>
      <c r="LWQ685" s="201"/>
      <c r="LWR685" s="201"/>
      <c r="LWS685" s="201"/>
      <c r="LWT685" s="201"/>
      <c r="LWU685" s="201"/>
      <c r="LWV685" s="201"/>
      <c r="LWW685" s="201"/>
      <c r="LWX685" s="201"/>
      <c r="LWY685" s="201"/>
      <c r="LWZ685" s="201"/>
      <c r="LXA685" s="201"/>
      <c r="LXB685" s="201"/>
      <c r="LXC685" s="201"/>
      <c r="LXD685" s="201"/>
      <c r="LXE685" s="201"/>
      <c r="LXF685" s="201"/>
      <c r="LXG685" s="201"/>
      <c r="LXH685" s="201"/>
      <c r="LXI685" s="201"/>
      <c r="LXJ685" s="201"/>
      <c r="LXK685" s="201"/>
      <c r="LXL685" s="201"/>
      <c r="LXM685" s="201"/>
      <c r="LXN685" s="201"/>
      <c r="LXO685" s="201"/>
      <c r="LXP685" s="201"/>
      <c r="LXQ685" s="201"/>
      <c r="LXR685" s="201"/>
      <c r="LXS685" s="201"/>
      <c r="LXT685" s="201"/>
      <c r="LXU685" s="201"/>
      <c r="LXV685" s="201"/>
      <c r="LXW685" s="201"/>
      <c r="LXX685" s="201"/>
      <c r="LXY685" s="201"/>
      <c r="LXZ685" s="201"/>
      <c r="LYA685" s="201"/>
      <c r="LYB685" s="201"/>
      <c r="LYC685" s="201"/>
      <c r="LYD685" s="201"/>
      <c r="LYE685" s="201"/>
      <c r="LYF685" s="201"/>
      <c r="LYG685" s="201"/>
      <c r="LYH685" s="201"/>
      <c r="LYI685" s="201"/>
      <c r="LYJ685" s="201"/>
      <c r="LYK685" s="201"/>
      <c r="LYL685" s="201"/>
      <c r="LYM685" s="201"/>
      <c r="LYN685" s="201"/>
      <c r="LYO685" s="201"/>
      <c r="LYP685" s="201"/>
      <c r="LYQ685" s="201"/>
      <c r="LYR685" s="201"/>
      <c r="LYS685" s="201"/>
      <c r="LYT685" s="201"/>
      <c r="LYU685" s="201"/>
      <c r="LYV685" s="201"/>
      <c r="LYW685" s="201"/>
      <c r="LYX685" s="201"/>
      <c r="LYY685" s="201"/>
      <c r="LYZ685" s="201"/>
      <c r="LZA685" s="201"/>
      <c r="LZB685" s="201"/>
      <c r="LZC685" s="201"/>
      <c r="LZD685" s="201"/>
      <c r="LZE685" s="201"/>
      <c r="LZF685" s="201"/>
      <c r="LZG685" s="201"/>
      <c r="LZH685" s="201"/>
      <c r="LZI685" s="201"/>
      <c r="LZJ685" s="201"/>
      <c r="LZK685" s="201"/>
      <c r="LZL685" s="201"/>
      <c r="LZM685" s="201"/>
      <c r="LZN685" s="201"/>
      <c r="LZO685" s="201"/>
      <c r="LZP685" s="201"/>
      <c r="LZQ685" s="201"/>
      <c r="LZR685" s="201"/>
      <c r="LZS685" s="201"/>
      <c r="LZT685" s="201"/>
      <c r="LZU685" s="201"/>
      <c r="LZV685" s="201"/>
      <c r="LZW685" s="201"/>
      <c r="LZX685" s="201"/>
      <c r="LZY685" s="201"/>
      <c r="LZZ685" s="201"/>
      <c r="MAA685" s="201"/>
      <c r="MAB685" s="201"/>
      <c r="MAC685" s="201"/>
      <c r="MAD685" s="201"/>
      <c r="MAE685" s="201"/>
      <c r="MAF685" s="201"/>
      <c r="MAG685" s="201"/>
      <c r="MAH685" s="201"/>
      <c r="MAI685" s="201"/>
      <c r="MAJ685" s="201"/>
      <c r="MAK685" s="201"/>
      <c r="MAL685" s="201"/>
      <c r="MAM685" s="201"/>
      <c r="MAN685" s="201"/>
      <c r="MAO685" s="201"/>
      <c r="MAP685" s="201"/>
      <c r="MAQ685" s="201"/>
      <c r="MAR685" s="201"/>
      <c r="MAS685" s="201"/>
      <c r="MAT685" s="201"/>
      <c r="MAU685" s="201"/>
      <c r="MAV685" s="201"/>
      <c r="MAW685" s="201"/>
      <c r="MAX685" s="201"/>
      <c r="MAY685" s="201"/>
      <c r="MAZ685" s="201"/>
      <c r="MBA685" s="201"/>
      <c r="MBB685" s="201"/>
      <c r="MBC685" s="201"/>
      <c r="MBD685" s="201"/>
      <c r="MBE685" s="201"/>
      <c r="MBF685" s="201"/>
      <c r="MBG685" s="201"/>
      <c r="MBH685" s="201"/>
      <c r="MBI685" s="201"/>
      <c r="MBJ685" s="201"/>
      <c r="MBK685" s="201"/>
      <c r="MBL685" s="201"/>
      <c r="MBM685" s="201"/>
      <c r="MBN685" s="201"/>
      <c r="MBO685" s="201"/>
      <c r="MBP685" s="201"/>
      <c r="MBQ685" s="201"/>
      <c r="MBR685" s="201"/>
      <c r="MBS685" s="201"/>
      <c r="MBT685" s="201"/>
      <c r="MBU685" s="201"/>
      <c r="MBV685" s="201"/>
      <c r="MBW685" s="201"/>
      <c r="MBX685" s="201"/>
      <c r="MBY685" s="201"/>
      <c r="MBZ685" s="201"/>
      <c r="MCA685" s="201"/>
      <c r="MCB685" s="201"/>
      <c r="MCC685" s="201"/>
      <c r="MCD685" s="201"/>
      <c r="MCE685" s="201"/>
      <c r="MCF685" s="201"/>
      <c r="MCG685" s="201"/>
      <c r="MCH685" s="201"/>
      <c r="MCI685" s="201"/>
      <c r="MCJ685" s="201"/>
      <c r="MCK685" s="201"/>
      <c r="MCL685" s="201"/>
      <c r="MCM685" s="201"/>
      <c r="MCN685" s="201"/>
      <c r="MCO685" s="201"/>
      <c r="MCP685" s="201"/>
      <c r="MCQ685" s="201"/>
      <c r="MCR685" s="201"/>
      <c r="MCS685" s="201"/>
      <c r="MCT685" s="201"/>
      <c r="MCU685" s="201"/>
      <c r="MCV685" s="201"/>
      <c r="MCW685" s="201"/>
      <c r="MCX685" s="201"/>
      <c r="MCY685" s="201"/>
      <c r="MCZ685" s="201"/>
      <c r="MDA685" s="201"/>
      <c r="MDB685" s="201"/>
      <c r="MDC685" s="201"/>
      <c r="MDD685" s="201"/>
      <c r="MDE685" s="201"/>
      <c r="MDF685" s="201"/>
      <c r="MDG685" s="201"/>
      <c r="MDH685" s="201"/>
      <c r="MDI685" s="201"/>
      <c r="MDJ685" s="201"/>
      <c r="MDK685" s="201"/>
      <c r="MDL685" s="201"/>
      <c r="MDM685" s="201"/>
      <c r="MDN685" s="201"/>
      <c r="MDO685" s="201"/>
      <c r="MDP685" s="201"/>
      <c r="MDQ685" s="201"/>
      <c r="MDR685" s="201"/>
      <c r="MDS685" s="201"/>
      <c r="MDT685" s="201"/>
      <c r="MDU685" s="201"/>
      <c r="MDV685" s="201"/>
      <c r="MDW685" s="201"/>
      <c r="MDX685" s="201"/>
      <c r="MDY685" s="201"/>
      <c r="MDZ685" s="201"/>
      <c r="MEA685" s="201"/>
      <c r="MEB685" s="201"/>
      <c r="MEC685" s="201"/>
      <c r="MED685" s="201"/>
      <c r="MEE685" s="201"/>
      <c r="MEF685" s="201"/>
      <c r="MEG685" s="201"/>
      <c r="MEH685" s="201"/>
      <c r="MEI685" s="201"/>
      <c r="MEJ685" s="201"/>
      <c r="MEK685" s="201"/>
      <c r="MEL685" s="201"/>
      <c r="MEM685" s="201"/>
      <c r="MEN685" s="201"/>
      <c r="MEO685" s="201"/>
      <c r="MEP685" s="201"/>
      <c r="MEQ685" s="201"/>
      <c r="MER685" s="201"/>
      <c r="MES685" s="201"/>
      <c r="MET685" s="201"/>
      <c r="MEU685" s="201"/>
      <c r="MEV685" s="201"/>
      <c r="MEW685" s="201"/>
      <c r="MEX685" s="201"/>
      <c r="MEY685" s="201"/>
      <c r="MEZ685" s="201"/>
      <c r="MFA685" s="201"/>
      <c r="MFB685" s="201"/>
      <c r="MFC685" s="201"/>
      <c r="MFD685" s="201"/>
      <c r="MFE685" s="201"/>
      <c r="MFF685" s="201"/>
      <c r="MFG685" s="201"/>
      <c r="MFH685" s="201"/>
      <c r="MFI685" s="201"/>
      <c r="MFJ685" s="201"/>
      <c r="MFK685" s="201"/>
      <c r="MFL685" s="201"/>
      <c r="MFM685" s="201"/>
      <c r="MFN685" s="201"/>
      <c r="MFO685" s="201"/>
      <c r="MFP685" s="201"/>
      <c r="MFQ685" s="201"/>
      <c r="MFR685" s="201"/>
      <c r="MFS685" s="201"/>
      <c r="MFT685" s="201"/>
      <c r="MFU685" s="201"/>
      <c r="MFV685" s="201"/>
      <c r="MFW685" s="201"/>
      <c r="MFX685" s="201"/>
      <c r="MFY685" s="201"/>
      <c r="MFZ685" s="201"/>
      <c r="MGA685" s="201"/>
      <c r="MGB685" s="201"/>
      <c r="MGC685" s="201"/>
      <c r="MGD685" s="201"/>
      <c r="MGE685" s="201"/>
      <c r="MGF685" s="201"/>
      <c r="MGG685" s="201"/>
      <c r="MGH685" s="201"/>
      <c r="MGI685" s="201"/>
      <c r="MGJ685" s="201"/>
      <c r="MGK685" s="201"/>
      <c r="MGL685" s="201"/>
      <c r="MGM685" s="201"/>
      <c r="MGN685" s="201"/>
      <c r="MGO685" s="201"/>
      <c r="MGP685" s="201"/>
      <c r="MGQ685" s="201"/>
      <c r="MGR685" s="201"/>
      <c r="MGS685" s="201"/>
      <c r="MGT685" s="201"/>
      <c r="MGU685" s="201"/>
      <c r="MGV685" s="201"/>
      <c r="MGW685" s="201"/>
      <c r="MGX685" s="201"/>
      <c r="MGY685" s="201"/>
      <c r="MGZ685" s="201"/>
      <c r="MHA685" s="201"/>
      <c r="MHB685" s="201"/>
      <c r="MHC685" s="201"/>
      <c r="MHD685" s="201"/>
      <c r="MHE685" s="201"/>
      <c r="MHF685" s="201"/>
      <c r="MHG685" s="201"/>
      <c r="MHH685" s="201"/>
      <c r="MHI685" s="201"/>
      <c r="MHJ685" s="201"/>
      <c r="MHK685" s="201"/>
      <c r="MHL685" s="201"/>
      <c r="MHM685" s="201"/>
      <c r="MHN685" s="201"/>
      <c r="MHO685" s="201"/>
      <c r="MHP685" s="201"/>
      <c r="MHQ685" s="201"/>
      <c r="MHR685" s="201"/>
      <c r="MHS685" s="201"/>
      <c r="MHT685" s="201"/>
      <c r="MHU685" s="201"/>
      <c r="MHV685" s="201"/>
      <c r="MHW685" s="201"/>
      <c r="MHX685" s="201"/>
      <c r="MHY685" s="201"/>
      <c r="MHZ685" s="201"/>
      <c r="MIA685" s="201"/>
      <c r="MIB685" s="201"/>
      <c r="MIC685" s="201"/>
      <c r="MID685" s="201"/>
      <c r="MIE685" s="201"/>
      <c r="MIF685" s="201"/>
      <c r="MIG685" s="201"/>
      <c r="MIH685" s="201"/>
      <c r="MII685" s="201"/>
      <c r="MIJ685" s="201"/>
      <c r="MIK685" s="201"/>
      <c r="MIL685" s="201"/>
      <c r="MIM685" s="201"/>
      <c r="MIN685" s="201"/>
      <c r="MIO685" s="201"/>
      <c r="MIP685" s="201"/>
      <c r="MIQ685" s="201"/>
      <c r="MIR685" s="201"/>
      <c r="MIS685" s="201"/>
      <c r="MIT685" s="201"/>
      <c r="MIU685" s="201"/>
      <c r="MIV685" s="201"/>
      <c r="MIW685" s="201"/>
      <c r="MIX685" s="201"/>
      <c r="MIY685" s="201"/>
      <c r="MIZ685" s="201"/>
      <c r="MJA685" s="201"/>
      <c r="MJB685" s="201"/>
      <c r="MJC685" s="201"/>
      <c r="MJD685" s="201"/>
      <c r="MJE685" s="201"/>
      <c r="MJF685" s="201"/>
      <c r="MJG685" s="201"/>
      <c r="MJH685" s="201"/>
      <c r="MJI685" s="201"/>
      <c r="MJJ685" s="201"/>
      <c r="MJK685" s="201"/>
      <c r="MJL685" s="201"/>
      <c r="MJM685" s="201"/>
      <c r="MJN685" s="201"/>
      <c r="MJO685" s="201"/>
      <c r="MJP685" s="201"/>
      <c r="MJQ685" s="201"/>
      <c r="MJR685" s="201"/>
      <c r="MJS685" s="201"/>
      <c r="MJT685" s="201"/>
      <c r="MJU685" s="201"/>
      <c r="MJV685" s="201"/>
      <c r="MJW685" s="201"/>
      <c r="MJX685" s="201"/>
      <c r="MJY685" s="201"/>
      <c r="MJZ685" s="201"/>
      <c r="MKA685" s="201"/>
      <c r="MKB685" s="201"/>
      <c r="MKC685" s="201"/>
      <c r="MKD685" s="201"/>
      <c r="MKE685" s="201"/>
      <c r="MKF685" s="201"/>
      <c r="MKG685" s="201"/>
      <c r="MKH685" s="201"/>
      <c r="MKI685" s="201"/>
      <c r="MKJ685" s="201"/>
      <c r="MKK685" s="201"/>
      <c r="MKL685" s="201"/>
      <c r="MKM685" s="201"/>
      <c r="MKN685" s="201"/>
      <c r="MKO685" s="201"/>
      <c r="MKP685" s="201"/>
      <c r="MKQ685" s="201"/>
      <c r="MKR685" s="201"/>
      <c r="MKS685" s="201"/>
      <c r="MKT685" s="201"/>
      <c r="MKU685" s="201"/>
      <c r="MKV685" s="201"/>
      <c r="MKW685" s="201"/>
      <c r="MKX685" s="201"/>
      <c r="MKY685" s="201"/>
      <c r="MKZ685" s="201"/>
      <c r="MLA685" s="201"/>
      <c r="MLB685" s="201"/>
      <c r="MLC685" s="201"/>
      <c r="MLD685" s="201"/>
      <c r="MLE685" s="201"/>
      <c r="MLF685" s="201"/>
      <c r="MLG685" s="201"/>
      <c r="MLH685" s="201"/>
      <c r="MLI685" s="201"/>
      <c r="MLJ685" s="201"/>
      <c r="MLK685" s="201"/>
      <c r="MLL685" s="201"/>
      <c r="MLM685" s="201"/>
      <c r="MLN685" s="201"/>
      <c r="MLO685" s="201"/>
      <c r="MLP685" s="201"/>
      <c r="MLQ685" s="201"/>
      <c r="MLR685" s="201"/>
      <c r="MLS685" s="201"/>
      <c r="MLT685" s="201"/>
      <c r="MLU685" s="201"/>
      <c r="MLV685" s="201"/>
      <c r="MLW685" s="201"/>
      <c r="MLX685" s="201"/>
      <c r="MLY685" s="201"/>
      <c r="MLZ685" s="201"/>
      <c r="MMA685" s="201"/>
      <c r="MMB685" s="201"/>
      <c r="MMC685" s="201"/>
      <c r="MMD685" s="201"/>
      <c r="MME685" s="201"/>
      <c r="MMF685" s="201"/>
      <c r="MMG685" s="201"/>
      <c r="MMH685" s="201"/>
      <c r="MMI685" s="201"/>
      <c r="MMJ685" s="201"/>
      <c r="MMK685" s="201"/>
      <c r="MML685" s="201"/>
      <c r="MMM685" s="201"/>
      <c r="MMN685" s="201"/>
      <c r="MMO685" s="201"/>
      <c r="MMP685" s="201"/>
      <c r="MMQ685" s="201"/>
      <c r="MMR685" s="201"/>
      <c r="MMS685" s="201"/>
      <c r="MMT685" s="201"/>
      <c r="MMU685" s="201"/>
      <c r="MMV685" s="201"/>
      <c r="MMW685" s="201"/>
      <c r="MMX685" s="201"/>
      <c r="MMY685" s="201"/>
      <c r="MMZ685" s="201"/>
      <c r="MNA685" s="201"/>
      <c r="MNB685" s="201"/>
      <c r="MNC685" s="201"/>
      <c r="MND685" s="201"/>
      <c r="MNE685" s="201"/>
      <c r="MNF685" s="201"/>
      <c r="MNG685" s="201"/>
      <c r="MNH685" s="201"/>
      <c r="MNI685" s="201"/>
      <c r="MNJ685" s="201"/>
      <c r="MNK685" s="201"/>
      <c r="MNL685" s="201"/>
      <c r="MNM685" s="201"/>
      <c r="MNN685" s="201"/>
      <c r="MNO685" s="201"/>
      <c r="MNP685" s="201"/>
      <c r="MNQ685" s="201"/>
      <c r="MNR685" s="201"/>
      <c r="MNS685" s="201"/>
      <c r="MNT685" s="201"/>
      <c r="MNU685" s="201"/>
      <c r="MNV685" s="201"/>
      <c r="MNW685" s="201"/>
      <c r="MNX685" s="201"/>
      <c r="MNY685" s="201"/>
      <c r="MNZ685" s="201"/>
      <c r="MOA685" s="201"/>
      <c r="MOB685" s="201"/>
      <c r="MOC685" s="201"/>
      <c r="MOD685" s="201"/>
      <c r="MOE685" s="201"/>
      <c r="MOF685" s="201"/>
      <c r="MOG685" s="201"/>
      <c r="MOH685" s="201"/>
      <c r="MOI685" s="201"/>
      <c r="MOJ685" s="201"/>
      <c r="MOK685" s="201"/>
      <c r="MOL685" s="201"/>
      <c r="MOM685" s="201"/>
      <c r="MON685" s="201"/>
      <c r="MOO685" s="201"/>
      <c r="MOP685" s="201"/>
      <c r="MOQ685" s="201"/>
      <c r="MOR685" s="201"/>
      <c r="MOS685" s="201"/>
      <c r="MOT685" s="201"/>
      <c r="MOU685" s="201"/>
      <c r="MOV685" s="201"/>
      <c r="MOW685" s="201"/>
      <c r="MOX685" s="201"/>
      <c r="MOY685" s="201"/>
      <c r="MOZ685" s="201"/>
      <c r="MPA685" s="201"/>
      <c r="MPB685" s="201"/>
      <c r="MPC685" s="201"/>
      <c r="MPD685" s="201"/>
      <c r="MPE685" s="201"/>
      <c r="MPF685" s="201"/>
      <c r="MPG685" s="201"/>
      <c r="MPH685" s="201"/>
      <c r="MPI685" s="201"/>
      <c r="MPJ685" s="201"/>
      <c r="MPK685" s="201"/>
      <c r="MPL685" s="201"/>
      <c r="MPM685" s="201"/>
      <c r="MPN685" s="201"/>
      <c r="MPO685" s="201"/>
      <c r="MPP685" s="201"/>
      <c r="MPQ685" s="201"/>
      <c r="MPR685" s="201"/>
      <c r="MPS685" s="201"/>
      <c r="MPT685" s="201"/>
      <c r="MPU685" s="201"/>
      <c r="MPV685" s="201"/>
      <c r="MPW685" s="201"/>
      <c r="MPX685" s="201"/>
      <c r="MPY685" s="201"/>
      <c r="MPZ685" s="201"/>
      <c r="MQA685" s="201"/>
      <c r="MQB685" s="201"/>
      <c r="MQC685" s="201"/>
      <c r="MQD685" s="201"/>
      <c r="MQE685" s="201"/>
      <c r="MQF685" s="201"/>
      <c r="MQG685" s="201"/>
      <c r="MQH685" s="201"/>
      <c r="MQI685" s="201"/>
      <c r="MQJ685" s="201"/>
      <c r="MQK685" s="201"/>
      <c r="MQL685" s="201"/>
      <c r="MQM685" s="201"/>
      <c r="MQN685" s="201"/>
      <c r="MQO685" s="201"/>
      <c r="MQP685" s="201"/>
      <c r="MQQ685" s="201"/>
      <c r="MQR685" s="201"/>
      <c r="MQS685" s="201"/>
      <c r="MQT685" s="201"/>
      <c r="MQU685" s="201"/>
      <c r="MQV685" s="201"/>
      <c r="MQW685" s="201"/>
      <c r="MQX685" s="201"/>
      <c r="MQY685" s="201"/>
      <c r="MQZ685" s="201"/>
      <c r="MRA685" s="201"/>
      <c r="MRB685" s="201"/>
      <c r="MRC685" s="201"/>
      <c r="MRD685" s="201"/>
      <c r="MRE685" s="201"/>
      <c r="MRF685" s="201"/>
      <c r="MRG685" s="201"/>
      <c r="MRH685" s="201"/>
      <c r="MRI685" s="201"/>
      <c r="MRJ685" s="201"/>
      <c r="MRK685" s="201"/>
      <c r="MRL685" s="201"/>
      <c r="MRM685" s="201"/>
      <c r="MRN685" s="201"/>
      <c r="MRO685" s="201"/>
      <c r="MRP685" s="201"/>
      <c r="MRQ685" s="201"/>
      <c r="MRR685" s="201"/>
      <c r="MRS685" s="201"/>
      <c r="MRT685" s="201"/>
      <c r="MRU685" s="201"/>
      <c r="MRV685" s="201"/>
      <c r="MRW685" s="201"/>
      <c r="MRX685" s="201"/>
      <c r="MRY685" s="201"/>
      <c r="MRZ685" s="201"/>
      <c r="MSA685" s="201"/>
      <c r="MSB685" s="201"/>
      <c r="MSC685" s="201"/>
      <c r="MSD685" s="201"/>
      <c r="MSE685" s="201"/>
      <c r="MSF685" s="201"/>
      <c r="MSG685" s="201"/>
      <c r="MSH685" s="201"/>
      <c r="MSI685" s="201"/>
      <c r="MSJ685" s="201"/>
      <c r="MSK685" s="201"/>
      <c r="MSL685" s="201"/>
      <c r="MSM685" s="201"/>
      <c r="MSN685" s="201"/>
      <c r="MSO685" s="201"/>
      <c r="MSP685" s="201"/>
      <c r="MSQ685" s="201"/>
      <c r="MSR685" s="201"/>
      <c r="MSS685" s="201"/>
      <c r="MST685" s="201"/>
      <c r="MSU685" s="201"/>
      <c r="MSV685" s="201"/>
      <c r="MSW685" s="201"/>
      <c r="MSX685" s="201"/>
      <c r="MSY685" s="201"/>
      <c r="MSZ685" s="201"/>
      <c r="MTA685" s="201"/>
      <c r="MTB685" s="201"/>
      <c r="MTC685" s="201"/>
      <c r="MTD685" s="201"/>
      <c r="MTE685" s="201"/>
      <c r="MTF685" s="201"/>
      <c r="MTG685" s="201"/>
      <c r="MTH685" s="201"/>
      <c r="MTI685" s="201"/>
      <c r="MTJ685" s="201"/>
      <c r="MTK685" s="201"/>
      <c r="MTL685" s="201"/>
      <c r="MTM685" s="201"/>
      <c r="MTN685" s="201"/>
      <c r="MTO685" s="201"/>
      <c r="MTP685" s="201"/>
      <c r="MTQ685" s="201"/>
      <c r="MTR685" s="201"/>
      <c r="MTS685" s="201"/>
      <c r="MTT685" s="201"/>
      <c r="MTU685" s="201"/>
      <c r="MTV685" s="201"/>
      <c r="MTW685" s="201"/>
      <c r="MTX685" s="201"/>
      <c r="MTY685" s="201"/>
      <c r="MTZ685" s="201"/>
      <c r="MUA685" s="201"/>
      <c r="MUB685" s="201"/>
      <c r="MUC685" s="201"/>
      <c r="MUD685" s="201"/>
      <c r="MUE685" s="201"/>
      <c r="MUF685" s="201"/>
      <c r="MUG685" s="201"/>
      <c r="MUH685" s="201"/>
      <c r="MUI685" s="201"/>
      <c r="MUJ685" s="201"/>
      <c r="MUK685" s="201"/>
      <c r="MUL685" s="201"/>
      <c r="MUM685" s="201"/>
      <c r="MUN685" s="201"/>
      <c r="MUO685" s="201"/>
      <c r="MUP685" s="201"/>
      <c r="MUQ685" s="201"/>
      <c r="MUR685" s="201"/>
      <c r="MUS685" s="201"/>
      <c r="MUT685" s="201"/>
      <c r="MUU685" s="201"/>
      <c r="MUV685" s="201"/>
      <c r="MUW685" s="201"/>
      <c r="MUX685" s="201"/>
      <c r="MUY685" s="201"/>
      <c r="MUZ685" s="201"/>
      <c r="MVA685" s="201"/>
      <c r="MVB685" s="201"/>
      <c r="MVC685" s="201"/>
      <c r="MVD685" s="201"/>
      <c r="MVE685" s="201"/>
      <c r="MVF685" s="201"/>
      <c r="MVG685" s="201"/>
      <c r="MVH685" s="201"/>
      <c r="MVI685" s="201"/>
      <c r="MVJ685" s="201"/>
      <c r="MVK685" s="201"/>
      <c r="MVL685" s="201"/>
      <c r="MVM685" s="201"/>
      <c r="MVN685" s="201"/>
      <c r="MVO685" s="201"/>
      <c r="MVP685" s="201"/>
      <c r="MVQ685" s="201"/>
      <c r="MVR685" s="201"/>
      <c r="MVS685" s="201"/>
      <c r="MVT685" s="201"/>
      <c r="MVU685" s="201"/>
      <c r="MVV685" s="201"/>
      <c r="MVW685" s="201"/>
      <c r="MVX685" s="201"/>
      <c r="MVY685" s="201"/>
      <c r="MVZ685" s="201"/>
      <c r="MWA685" s="201"/>
      <c r="MWB685" s="201"/>
      <c r="MWC685" s="201"/>
      <c r="MWD685" s="201"/>
      <c r="MWE685" s="201"/>
      <c r="MWF685" s="201"/>
      <c r="MWG685" s="201"/>
      <c r="MWH685" s="201"/>
      <c r="MWI685" s="201"/>
      <c r="MWJ685" s="201"/>
      <c r="MWK685" s="201"/>
      <c r="MWL685" s="201"/>
      <c r="MWM685" s="201"/>
      <c r="MWN685" s="201"/>
      <c r="MWO685" s="201"/>
      <c r="MWP685" s="201"/>
      <c r="MWQ685" s="201"/>
      <c r="MWR685" s="201"/>
      <c r="MWS685" s="201"/>
      <c r="MWT685" s="201"/>
      <c r="MWU685" s="201"/>
      <c r="MWV685" s="201"/>
      <c r="MWW685" s="201"/>
      <c r="MWX685" s="201"/>
      <c r="MWY685" s="201"/>
      <c r="MWZ685" s="201"/>
      <c r="MXA685" s="201"/>
      <c r="MXB685" s="201"/>
      <c r="MXC685" s="201"/>
      <c r="MXD685" s="201"/>
      <c r="MXE685" s="201"/>
      <c r="MXF685" s="201"/>
      <c r="MXG685" s="201"/>
      <c r="MXH685" s="201"/>
      <c r="MXI685" s="201"/>
      <c r="MXJ685" s="201"/>
      <c r="MXK685" s="201"/>
      <c r="MXL685" s="201"/>
      <c r="MXM685" s="201"/>
      <c r="MXN685" s="201"/>
      <c r="MXO685" s="201"/>
      <c r="MXP685" s="201"/>
      <c r="MXQ685" s="201"/>
      <c r="MXR685" s="201"/>
      <c r="MXS685" s="201"/>
      <c r="MXT685" s="201"/>
      <c r="MXU685" s="201"/>
      <c r="MXV685" s="201"/>
      <c r="MXW685" s="201"/>
      <c r="MXX685" s="201"/>
      <c r="MXY685" s="201"/>
      <c r="MXZ685" s="201"/>
      <c r="MYA685" s="201"/>
      <c r="MYB685" s="201"/>
      <c r="MYC685" s="201"/>
      <c r="MYD685" s="201"/>
      <c r="MYE685" s="201"/>
      <c r="MYF685" s="201"/>
      <c r="MYG685" s="201"/>
      <c r="MYH685" s="201"/>
      <c r="MYI685" s="201"/>
      <c r="MYJ685" s="201"/>
      <c r="MYK685" s="201"/>
      <c r="MYL685" s="201"/>
      <c r="MYM685" s="201"/>
      <c r="MYN685" s="201"/>
      <c r="MYO685" s="201"/>
      <c r="MYP685" s="201"/>
      <c r="MYQ685" s="201"/>
      <c r="MYR685" s="201"/>
      <c r="MYS685" s="201"/>
      <c r="MYT685" s="201"/>
      <c r="MYU685" s="201"/>
      <c r="MYV685" s="201"/>
      <c r="MYW685" s="201"/>
      <c r="MYX685" s="201"/>
      <c r="MYY685" s="201"/>
      <c r="MYZ685" s="201"/>
      <c r="MZA685" s="201"/>
      <c r="MZB685" s="201"/>
      <c r="MZC685" s="201"/>
      <c r="MZD685" s="201"/>
      <c r="MZE685" s="201"/>
      <c r="MZF685" s="201"/>
      <c r="MZG685" s="201"/>
      <c r="MZH685" s="201"/>
      <c r="MZI685" s="201"/>
      <c r="MZJ685" s="201"/>
      <c r="MZK685" s="201"/>
      <c r="MZL685" s="201"/>
      <c r="MZM685" s="201"/>
      <c r="MZN685" s="201"/>
      <c r="MZO685" s="201"/>
      <c r="MZP685" s="201"/>
      <c r="MZQ685" s="201"/>
      <c r="MZR685" s="201"/>
      <c r="MZS685" s="201"/>
      <c r="MZT685" s="201"/>
      <c r="MZU685" s="201"/>
      <c r="MZV685" s="201"/>
      <c r="MZW685" s="201"/>
      <c r="MZX685" s="201"/>
      <c r="MZY685" s="201"/>
      <c r="MZZ685" s="201"/>
      <c r="NAA685" s="201"/>
      <c r="NAB685" s="201"/>
      <c r="NAC685" s="201"/>
      <c r="NAD685" s="201"/>
      <c r="NAE685" s="201"/>
      <c r="NAF685" s="201"/>
      <c r="NAG685" s="201"/>
      <c r="NAH685" s="201"/>
      <c r="NAI685" s="201"/>
      <c r="NAJ685" s="201"/>
      <c r="NAK685" s="201"/>
      <c r="NAL685" s="201"/>
      <c r="NAM685" s="201"/>
      <c r="NAN685" s="201"/>
      <c r="NAO685" s="201"/>
      <c r="NAP685" s="201"/>
      <c r="NAQ685" s="201"/>
      <c r="NAR685" s="201"/>
      <c r="NAS685" s="201"/>
      <c r="NAT685" s="201"/>
      <c r="NAU685" s="201"/>
      <c r="NAV685" s="201"/>
      <c r="NAW685" s="201"/>
      <c r="NAX685" s="201"/>
      <c r="NAY685" s="201"/>
      <c r="NAZ685" s="201"/>
      <c r="NBA685" s="201"/>
      <c r="NBB685" s="201"/>
      <c r="NBC685" s="201"/>
      <c r="NBD685" s="201"/>
      <c r="NBE685" s="201"/>
      <c r="NBF685" s="201"/>
      <c r="NBG685" s="201"/>
      <c r="NBH685" s="201"/>
      <c r="NBI685" s="201"/>
      <c r="NBJ685" s="201"/>
      <c r="NBK685" s="201"/>
      <c r="NBL685" s="201"/>
      <c r="NBM685" s="201"/>
      <c r="NBN685" s="201"/>
      <c r="NBO685" s="201"/>
      <c r="NBP685" s="201"/>
      <c r="NBQ685" s="201"/>
      <c r="NBR685" s="201"/>
      <c r="NBS685" s="201"/>
      <c r="NBT685" s="201"/>
      <c r="NBU685" s="201"/>
      <c r="NBV685" s="201"/>
      <c r="NBW685" s="201"/>
      <c r="NBX685" s="201"/>
      <c r="NBY685" s="201"/>
      <c r="NBZ685" s="201"/>
      <c r="NCA685" s="201"/>
      <c r="NCB685" s="201"/>
      <c r="NCC685" s="201"/>
      <c r="NCD685" s="201"/>
      <c r="NCE685" s="201"/>
      <c r="NCF685" s="201"/>
      <c r="NCG685" s="201"/>
      <c r="NCH685" s="201"/>
      <c r="NCI685" s="201"/>
      <c r="NCJ685" s="201"/>
      <c r="NCK685" s="201"/>
      <c r="NCL685" s="201"/>
      <c r="NCM685" s="201"/>
      <c r="NCN685" s="201"/>
      <c r="NCO685" s="201"/>
      <c r="NCP685" s="201"/>
      <c r="NCQ685" s="201"/>
      <c r="NCR685" s="201"/>
      <c r="NCS685" s="201"/>
      <c r="NCT685" s="201"/>
      <c r="NCU685" s="201"/>
      <c r="NCV685" s="201"/>
      <c r="NCW685" s="201"/>
      <c r="NCX685" s="201"/>
      <c r="NCY685" s="201"/>
      <c r="NCZ685" s="201"/>
      <c r="NDA685" s="201"/>
      <c r="NDB685" s="201"/>
      <c r="NDC685" s="201"/>
      <c r="NDD685" s="201"/>
      <c r="NDE685" s="201"/>
      <c r="NDF685" s="201"/>
      <c r="NDG685" s="201"/>
      <c r="NDH685" s="201"/>
      <c r="NDI685" s="201"/>
      <c r="NDJ685" s="201"/>
      <c r="NDK685" s="201"/>
      <c r="NDL685" s="201"/>
      <c r="NDM685" s="201"/>
      <c r="NDN685" s="201"/>
      <c r="NDO685" s="201"/>
      <c r="NDP685" s="201"/>
      <c r="NDQ685" s="201"/>
      <c r="NDR685" s="201"/>
      <c r="NDS685" s="201"/>
      <c r="NDT685" s="201"/>
      <c r="NDU685" s="201"/>
      <c r="NDV685" s="201"/>
      <c r="NDW685" s="201"/>
      <c r="NDX685" s="201"/>
      <c r="NDY685" s="201"/>
      <c r="NDZ685" s="201"/>
      <c r="NEA685" s="201"/>
      <c r="NEB685" s="201"/>
      <c r="NEC685" s="201"/>
      <c r="NED685" s="201"/>
      <c r="NEE685" s="201"/>
      <c r="NEF685" s="201"/>
      <c r="NEG685" s="201"/>
      <c r="NEH685" s="201"/>
      <c r="NEI685" s="201"/>
      <c r="NEJ685" s="201"/>
      <c r="NEK685" s="201"/>
      <c r="NEL685" s="201"/>
      <c r="NEM685" s="201"/>
      <c r="NEN685" s="201"/>
      <c r="NEO685" s="201"/>
      <c r="NEP685" s="201"/>
      <c r="NEQ685" s="201"/>
      <c r="NER685" s="201"/>
      <c r="NES685" s="201"/>
      <c r="NET685" s="201"/>
      <c r="NEU685" s="201"/>
      <c r="NEV685" s="201"/>
      <c r="NEW685" s="201"/>
      <c r="NEX685" s="201"/>
      <c r="NEY685" s="201"/>
      <c r="NEZ685" s="201"/>
      <c r="NFA685" s="201"/>
      <c r="NFB685" s="201"/>
      <c r="NFC685" s="201"/>
      <c r="NFD685" s="201"/>
      <c r="NFE685" s="201"/>
      <c r="NFF685" s="201"/>
      <c r="NFG685" s="201"/>
      <c r="NFH685" s="201"/>
      <c r="NFI685" s="201"/>
      <c r="NFJ685" s="201"/>
      <c r="NFK685" s="201"/>
      <c r="NFL685" s="201"/>
      <c r="NFM685" s="201"/>
      <c r="NFN685" s="201"/>
      <c r="NFO685" s="201"/>
      <c r="NFP685" s="201"/>
      <c r="NFQ685" s="201"/>
      <c r="NFR685" s="201"/>
      <c r="NFS685" s="201"/>
      <c r="NFT685" s="201"/>
      <c r="NFU685" s="201"/>
      <c r="NFV685" s="201"/>
      <c r="NFW685" s="201"/>
      <c r="NFX685" s="201"/>
      <c r="NFY685" s="201"/>
      <c r="NFZ685" s="201"/>
      <c r="NGA685" s="201"/>
      <c r="NGB685" s="201"/>
      <c r="NGC685" s="201"/>
      <c r="NGD685" s="201"/>
      <c r="NGE685" s="201"/>
      <c r="NGF685" s="201"/>
      <c r="NGG685" s="201"/>
      <c r="NGH685" s="201"/>
      <c r="NGI685" s="201"/>
      <c r="NGJ685" s="201"/>
      <c r="NGK685" s="201"/>
      <c r="NGL685" s="201"/>
      <c r="NGM685" s="201"/>
      <c r="NGN685" s="201"/>
      <c r="NGO685" s="201"/>
      <c r="NGP685" s="201"/>
      <c r="NGQ685" s="201"/>
      <c r="NGR685" s="201"/>
      <c r="NGS685" s="201"/>
      <c r="NGT685" s="201"/>
      <c r="NGU685" s="201"/>
      <c r="NGV685" s="201"/>
      <c r="NGW685" s="201"/>
      <c r="NGX685" s="201"/>
      <c r="NGY685" s="201"/>
      <c r="NGZ685" s="201"/>
      <c r="NHA685" s="201"/>
      <c r="NHB685" s="201"/>
      <c r="NHC685" s="201"/>
      <c r="NHD685" s="201"/>
      <c r="NHE685" s="201"/>
      <c r="NHF685" s="201"/>
      <c r="NHG685" s="201"/>
      <c r="NHH685" s="201"/>
      <c r="NHI685" s="201"/>
      <c r="NHJ685" s="201"/>
      <c r="NHK685" s="201"/>
      <c r="NHL685" s="201"/>
      <c r="NHM685" s="201"/>
      <c r="NHN685" s="201"/>
      <c r="NHO685" s="201"/>
      <c r="NHP685" s="201"/>
      <c r="NHQ685" s="201"/>
      <c r="NHR685" s="201"/>
      <c r="NHS685" s="201"/>
      <c r="NHT685" s="201"/>
      <c r="NHU685" s="201"/>
      <c r="NHV685" s="201"/>
      <c r="NHW685" s="201"/>
      <c r="NHX685" s="201"/>
      <c r="NHY685" s="201"/>
      <c r="NHZ685" s="201"/>
      <c r="NIA685" s="201"/>
      <c r="NIB685" s="201"/>
      <c r="NIC685" s="201"/>
      <c r="NID685" s="201"/>
      <c r="NIE685" s="201"/>
      <c r="NIF685" s="201"/>
      <c r="NIG685" s="201"/>
      <c r="NIH685" s="201"/>
      <c r="NII685" s="201"/>
      <c r="NIJ685" s="201"/>
      <c r="NIK685" s="201"/>
      <c r="NIL685" s="201"/>
      <c r="NIM685" s="201"/>
      <c r="NIN685" s="201"/>
      <c r="NIO685" s="201"/>
      <c r="NIP685" s="201"/>
      <c r="NIQ685" s="201"/>
      <c r="NIR685" s="201"/>
      <c r="NIS685" s="201"/>
      <c r="NIT685" s="201"/>
      <c r="NIU685" s="201"/>
      <c r="NIV685" s="201"/>
      <c r="NIW685" s="201"/>
      <c r="NIX685" s="201"/>
      <c r="NIY685" s="201"/>
      <c r="NIZ685" s="201"/>
      <c r="NJA685" s="201"/>
      <c r="NJB685" s="201"/>
      <c r="NJC685" s="201"/>
      <c r="NJD685" s="201"/>
      <c r="NJE685" s="201"/>
      <c r="NJF685" s="201"/>
      <c r="NJG685" s="201"/>
      <c r="NJH685" s="201"/>
      <c r="NJI685" s="201"/>
      <c r="NJJ685" s="201"/>
      <c r="NJK685" s="201"/>
      <c r="NJL685" s="201"/>
      <c r="NJM685" s="201"/>
      <c r="NJN685" s="201"/>
      <c r="NJO685" s="201"/>
      <c r="NJP685" s="201"/>
      <c r="NJQ685" s="201"/>
      <c r="NJR685" s="201"/>
      <c r="NJS685" s="201"/>
      <c r="NJT685" s="201"/>
      <c r="NJU685" s="201"/>
      <c r="NJV685" s="201"/>
      <c r="NJW685" s="201"/>
      <c r="NJX685" s="201"/>
      <c r="NJY685" s="201"/>
      <c r="NJZ685" s="201"/>
      <c r="NKA685" s="201"/>
      <c r="NKB685" s="201"/>
      <c r="NKC685" s="201"/>
      <c r="NKD685" s="201"/>
      <c r="NKE685" s="201"/>
      <c r="NKF685" s="201"/>
      <c r="NKG685" s="201"/>
      <c r="NKH685" s="201"/>
      <c r="NKI685" s="201"/>
      <c r="NKJ685" s="201"/>
      <c r="NKK685" s="201"/>
      <c r="NKL685" s="201"/>
      <c r="NKM685" s="201"/>
      <c r="NKN685" s="201"/>
      <c r="NKO685" s="201"/>
      <c r="NKP685" s="201"/>
      <c r="NKQ685" s="201"/>
      <c r="NKR685" s="201"/>
      <c r="NKS685" s="201"/>
      <c r="NKT685" s="201"/>
      <c r="NKU685" s="201"/>
      <c r="NKV685" s="201"/>
      <c r="NKW685" s="201"/>
      <c r="NKX685" s="201"/>
      <c r="NKY685" s="201"/>
      <c r="NKZ685" s="201"/>
      <c r="NLA685" s="201"/>
      <c r="NLB685" s="201"/>
      <c r="NLC685" s="201"/>
      <c r="NLD685" s="201"/>
      <c r="NLE685" s="201"/>
      <c r="NLF685" s="201"/>
      <c r="NLG685" s="201"/>
      <c r="NLH685" s="201"/>
      <c r="NLI685" s="201"/>
      <c r="NLJ685" s="201"/>
      <c r="NLK685" s="201"/>
      <c r="NLL685" s="201"/>
      <c r="NLM685" s="201"/>
      <c r="NLN685" s="201"/>
      <c r="NLO685" s="201"/>
      <c r="NLP685" s="201"/>
      <c r="NLQ685" s="201"/>
      <c r="NLR685" s="201"/>
      <c r="NLS685" s="201"/>
      <c r="NLT685" s="201"/>
      <c r="NLU685" s="201"/>
      <c r="NLV685" s="201"/>
      <c r="NLW685" s="201"/>
      <c r="NLX685" s="201"/>
      <c r="NLY685" s="201"/>
      <c r="NLZ685" s="201"/>
      <c r="NMA685" s="201"/>
      <c r="NMB685" s="201"/>
      <c r="NMC685" s="201"/>
      <c r="NMD685" s="201"/>
      <c r="NME685" s="201"/>
      <c r="NMF685" s="201"/>
      <c r="NMG685" s="201"/>
      <c r="NMH685" s="201"/>
      <c r="NMI685" s="201"/>
      <c r="NMJ685" s="201"/>
      <c r="NMK685" s="201"/>
      <c r="NML685" s="201"/>
      <c r="NMM685" s="201"/>
      <c r="NMN685" s="201"/>
      <c r="NMO685" s="201"/>
      <c r="NMP685" s="201"/>
      <c r="NMQ685" s="201"/>
      <c r="NMR685" s="201"/>
      <c r="NMS685" s="201"/>
      <c r="NMT685" s="201"/>
      <c r="NMU685" s="201"/>
      <c r="NMV685" s="201"/>
      <c r="NMW685" s="201"/>
      <c r="NMX685" s="201"/>
      <c r="NMY685" s="201"/>
      <c r="NMZ685" s="201"/>
      <c r="NNA685" s="201"/>
      <c r="NNB685" s="201"/>
      <c r="NNC685" s="201"/>
      <c r="NND685" s="201"/>
      <c r="NNE685" s="201"/>
      <c r="NNF685" s="201"/>
      <c r="NNG685" s="201"/>
      <c r="NNH685" s="201"/>
      <c r="NNI685" s="201"/>
      <c r="NNJ685" s="201"/>
      <c r="NNK685" s="201"/>
      <c r="NNL685" s="201"/>
      <c r="NNM685" s="201"/>
      <c r="NNN685" s="201"/>
      <c r="NNO685" s="201"/>
      <c r="NNP685" s="201"/>
      <c r="NNQ685" s="201"/>
      <c r="NNR685" s="201"/>
      <c r="NNS685" s="201"/>
      <c r="NNT685" s="201"/>
      <c r="NNU685" s="201"/>
      <c r="NNV685" s="201"/>
      <c r="NNW685" s="201"/>
      <c r="NNX685" s="201"/>
      <c r="NNY685" s="201"/>
      <c r="NNZ685" s="201"/>
      <c r="NOA685" s="201"/>
      <c r="NOB685" s="201"/>
      <c r="NOC685" s="201"/>
      <c r="NOD685" s="201"/>
      <c r="NOE685" s="201"/>
      <c r="NOF685" s="201"/>
      <c r="NOG685" s="201"/>
      <c r="NOH685" s="201"/>
      <c r="NOI685" s="201"/>
      <c r="NOJ685" s="201"/>
      <c r="NOK685" s="201"/>
      <c r="NOL685" s="201"/>
      <c r="NOM685" s="201"/>
      <c r="NON685" s="201"/>
      <c r="NOO685" s="201"/>
      <c r="NOP685" s="201"/>
      <c r="NOQ685" s="201"/>
      <c r="NOR685" s="201"/>
      <c r="NOS685" s="201"/>
      <c r="NOT685" s="201"/>
      <c r="NOU685" s="201"/>
      <c r="NOV685" s="201"/>
      <c r="NOW685" s="201"/>
      <c r="NOX685" s="201"/>
      <c r="NOY685" s="201"/>
      <c r="NOZ685" s="201"/>
      <c r="NPA685" s="201"/>
      <c r="NPB685" s="201"/>
      <c r="NPC685" s="201"/>
      <c r="NPD685" s="201"/>
      <c r="NPE685" s="201"/>
      <c r="NPF685" s="201"/>
      <c r="NPG685" s="201"/>
      <c r="NPH685" s="201"/>
      <c r="NPI685" s="201"/>
      <c r="NPJ685" s="201"/>
      <c r="NPK685" s="201"/>
      <c r="NPL685" s="201"/>
      <c r="NPM685" s="201"/>
      <c r="NPN685" s="201"/>
      <c r="NPO685" s="201"/>
      <c r="NPP685" s="201"/>
      <c r="NPQ685" s="201"/>
      <c r="NPR685" s="201"/>
      <c r="NPS685" s="201"/>
      <c r="NPT685" s="201"/>
      <c r="NPU685" s="201"/>
      <c r="NPV685" s="201"/>
      <c r="NPW685" s="201"/>
      <c r="NPX685" s="201"/>
      <c r="NPY685" s="201"/>
      <c r="NPZ685" s="201"/>
      <c r="NQA685" s="201"/>
      <c r="NQB685" s="201"/>
      <c r="NQC685" s="201"/>
      <c r="NQD685" s="201"/>
      <c r="NQE685" s="201"/>
      <c r="NQF685" s="201"/>
      <c r="NQG685" s="201"/>
      <c r="NQH685" s="201"/>
      <c r="NQI685" s="201"/>
      <c r="NQJ685" s="201"/>
      <c r="NQK685" s="201"/>
      <c r="NQL685" s="201"/>
      <c r="NQM685" s="201"/>
      <c r="NQN685" s="201"/>
      <c r="NQO685" s="201"/>
      <c r="NQP685" s="201"/>
      <c r="NQQ685" s="201"/>
      <c r="NQR685" s="201"/>
      <c r="NQS685" s="201"/>
      <c r="NQT685" s="201"/>
      <c r="NQU685" s="201"/>
      <c r="NQV685" s="201"/>
      <c r="NQW685" s="201"/>
      <c r="NQX685" s="201"/>
      <c r="NQY685" s="201"/>
      <c r="NQZ685" s="201"/>
      <c r="NRA685" s="201"/>
      <c r="NRB685" s="201"/>
      <c r="NRC685" s="201"/>
      <c r="NRD685" s="201"/>
      <c r="NRE685" s="201"/>
      <c r="NRF685" s="201"/>
      <c r="NRG685" s="201"/>
      <c r="NRH685" s="201"/>
      <c r="NRI685" s="201"/>
      <c r="NRJ685" s="201"/>
      <c r="NRK685" s="201"/>
      <c r="NRL685" s="201"/>
      <c r="NRM685" s="201"/>
      <c r="NRN685" s="201"/>
      <c r="NRO685" s="201"/>
      <c r="NRP685" s="201"/>
      <c r="NRQ685" s="201"/>
      <c r="NRR685" s="201"/>
      <c r="NRS685" s="201"/>
      <c r="NRT685" s="201"/>
      <c r="NRU685" s="201"/>
      <c r="NRV685" s="201"/>
      <c r="NRW685" s="201"/>
      <c r="NRX685" s="201"/>
      <c r="NRY685" s="201"/>
      <c r="NRZ685" s="201"/>
      <c r="NSA685" s="201"/>
      <c r="NSB685" s="201"/>
      <c r="NSC685" s="201"/>
      <c r="NSD685" s="201"/>
      <c r="NSE685" s="201"/>
      <c r="NSF685" s="201"/>
      <c r="NSG685" s="201"/>
      <c r="NSH685" s="201"/>
      <c r="NSI685" s="201"/>
      <c r="NSJ685" s="201"/>
      <c r="NSK685" s="201"/>
      <c r="NSL685" s="201"/>
      <c r="NSM685" s="201"/>
      <c r="NSN685" s="201"/>
      <c r="NSO685" s="201"/>
      <c r="NSP685" s="201"/>
      <c r="NSQ685" s="201"/>
      <c r="NSR685" s="201"/>
      <c r="NSS685" s="201"/>
      <c r="NST685" s="201"/>
      <c r="NSU685" s="201"/>
      <c r="NSV685" s="201"/>
      <c r="NSW685" s="201"/>
      <c r="NSX685" s="201"/>
      <c r="NSY685" s="201"/>
      <c r="NSZ685" s="201"/>
      <c r="NTA685" s="201"/>
      <c r="NTB685" s="201"/>
      <c r="NTC685" s="201"/>
      <c r="NTD685" s="201"/>
      <c r="NTE685" s="201"/>
      <c r="NTF685" s="201"/>
      <c r="NTG685" s="201"/>
      <c r="NTH685" s="201"/>
      <c r="NTI685" s="201"/>
      <c r="NTJ685" s="201"/>
      <c r="NTK685" s="201"/>
      <c r="NTL685" s="201"/>
      <c r="NTM685" s="201"/>
      <c r="NTN685" s="201"/>
      <c r="NTO685" s="201"/>
      <c r="NTP685" s="201"/>
      <c r="NTQ685" s="201"/>
      <c r="NTR685" s="201"/>
      <c r="NTS685" s="201"/>
      <c r="NTT685" s="201"/>
      <c r="NTU685" s="201"/>
      <c r="NTV685" s="201"/>
      <c r="NTW685" s="201"/>
      <c r="NTX685" s="201"/>
      <c r="NTY685" s="201"/>
      <c r="NTZ685" s="201"/>
      <c r="NUA685" s="201"/>
      <c r="NUB685" s="201"/>
      <c r="NUC685" s="201"/>
      <c r="NUD685" s="201"/>
      <c r="NUE685" s="201"/>
      <c r="NUF685" s="201"/>
      <c r="NUG685" s="201"/>
      <c r="NUH685" s="201"/>
      <c r="NUI685" s="201"/>
      <c r="NUJ685" s="201"/>
      <c r="NUK685" s="201"/>
      <c r="NUL685" s="201"/>
      <c r="NUM685" s="201"/>
      <c r="NUN685" s="201"/>
      <c r="NUO685" s="201"/>
      <c r="NUP685" s="201"/>
      <c r="NUQ685" s="201"/>
      <c r="NUR685" s="201"/>
      <c r="NUS685" s="201"/>
      <c r="NUT685" s="201"/>
      <c r="NUU685" s="201"/>
      <c r="NUV685" s="201"/>
      <c r="NUW685" s="201"/>
      <c r="NUX685" s="201"/>
      <c r="NUY685" s="201"/>
      <c r="NUZ685" s="201"/>
      <c r="NVA685" s="201"/>
      <c r="NVB685" s="201"/>
      <c r="NVC685" s="201"/>
      <c r="NVD685" s="201"/>
      <c r="NVE685" s="201"/>
      <c r="NVF685" s="201"/>
      <c r="NVG685" s="201"/>
      <c r="NVH685" s="201"/>
      <c r="NVI685" s="201"/>
      <c r="NVJ685" s="201"/>
      <c r="NVK685" s="201"/>
      <c r="NVL685" s="201"/>
      <c r="NVM685" s="201"/>
      <c r="NVN685" s="201"/>
      <c r="NVO685" s="201"/>
      <c r="NVP685" s="201"/>
      <c r="NVQ685" s="201"/>
      <c r="NVR685" s="201"/>
      <c r="NVS685" s="201"/>
      <c r="NVT685" s="201"/>
      <c r="NVU685" s="201"/>
      <c r="NVV685" s="201"/>
      <c r="NVW685" s="201"/>
      <c r="NVX685" s="201"/>
      <c r="NVY685" s="201"/>
      <c r="NVZ685" s="201"/>
      <c r="NWA685" s="201"/>
      <c r="NWB685" s="201"/>
      <c r="NWC685" s="201"/>
      <c r="NWD685" s="201"/>
      <c r="NWE685" s="201"/>
      <c r="NWF685" s="201"/>
      <c r="NWG685" s="201"/>
      <c r="NWH685" s="201"/>
      <c r="NWI685" s="201"/>
      <c r="NWJ685" s="201"/>
      <c r="NWK685" s="201"/>
      <c r="NWL685" s="201"/>
      <c r="NWM685" s="201"/>
      <c r="NWN685" s="201"/>
      <c r="NWO685" s="201"/>
      <c r="NWP685" s="201"/>
      <c r="NWQ685" s="201"/>
      <c r="NWR685" s="201"/>
      <c r="NWS685" s="201"/>
      <c r="NWT685" s="201"/>
      <c r="NWU685" s="201"/>
      <c r="NWV685" s="201"/>
      <c r="NWW685" s="201"/>
      <c r="NWX685" s="201"/>
      <c r="NWY685" s="201"/>
      <c r="NWZ685" s="201"/>
      <c r="NXA685" s="201"/>
      <c r="NXB685" s="201"/>
      <c r="NXC685" s="201"/>
      <c r="NXD685" s="201"/>
      <c r="NXE685" s="201"/>
      <c r="NXF685" s="201"/>
      <c r="NXG685" s="201"/>
      <c r="NXH685" s="201"/>
      <c r="NXI685" s="201"/>
      <c r="NXJ685" s="201"/>
      <c r="NXK685" s="201"/>
      <c r="NXL685" s="201"/>
      <c r="NXM685" s="201"/>
      <c r="NXN685" s="201"/>
      <c r="NXO685" s="201"/>
      <c r="NXP685" s="201"/>
      <c r="NXQ685" s="201"/>
      <c r="NXR685" s="201"/>
      <c r="NXS685" s="201"/>
      <c r="NXT685" s="201"/>
      <c r="NXU685" s="201"/>
      <c r="NXV685" s="201"/>
      <c r="NXW685" s="201"/>
      <c r="NXX685" s="201"/>
      <c r="NXY685" s="201"/>
      <c r="NXZ685" s="201"/>
      <c r="NYA685" s="201"/>
      <c r="NYB685" s="201"/>
      <c r="NYC685" s="201"/>
      <c r="NYD685" s="201"/>
      <c r="NYE685" s="201"/>
      <c r="NYF685" s="201"/>
      <c r="NYG685" s="201"/>
      <c r="NYH685" s="201"/>
      <c r="NYI685" s="201"/>
      <c r="NYJ685" s="201"/>
      <c r="NYK685" s="201"/>
      <c r="NYL685" s="201"/>
      <c r="NYM685" s="201"/>
      <c r="NYN685" s="201"/>
      <c r="NYO685" s="201"/>
      <c r="NYP685" s="201"/>
      <c r="NYQ685" s="201"/>
      <c r="NYR685" s="201"/>
      <c r="NYS685" s="201"/>
      <c r="NYT685" s="201"/>
      <c r="NYU685" s="201"/>
      <c r="NYV685" s="201"/>
      <c r="NYW685" s="201"/>
      <c r="NYX685" s="201"/>
      <c r="NYY685" s="201"/>
      <c r="NYZ685" s="201"/>
      <c r="NZA685" s="201"/>
      <c r="NZB685" s="201"/>
      <c r="NZC685" s="201"/>
      <c r="NZD685" s="201"/>
      <c r="NZE685" s="201"/>
      <c r="NZF685" s="201"/>
      <c r="NZG685" s="201"/>
      <c r="NZH685" s="201"/>
      <c r="NZI685" s="201"/>
      <c r="NZJ685" s="201"/>
      <c r="NZK685" s="201"/>
      <c r="NZL685" s="201"/>
      <c r="NZM685" s="201"/>
      <c r="NZN685" s="201"/>
      <c r="NZO685" s="201"/>
      <c r="NZP685" s="201"/>
      <c r="NZQ685" s="201"/>
      <c r="NZR685" s="201"/>
      <c r="NZS685" s="201"/>
      <c r="NZT685" s="201"/>
      <c r="NZU685" s="201"/>
      <c r="NZV685" s="201"/>
      <c r="NZW685" s="201"/>
      <c r="NZX685" s="201"/>
      <c r="NZY685" s="201"/>
      <c r="NZZ685" s="201"/>
      <c r="OAA685" s="201"/>
      <c r="OAB685" s="201"/>
      <c r="OAC685" s="201"/>
      <c r="OAD685" s="201"/>
      <c r="OAE685" s="201"/>
      <c r="OAF685" s="201"/>
      <c r="OAG685" s="201"/>
      <c r="OAH685" s="201"/>
      <c r="OAI685" s="201"/>
      <c r="OAJ685" s="201"/>
      <c r="OAK685" s="201"/>
      <c r="OAL685" s="201"/>
      <c r="OAM685" s="201"/>
      <c r="OAN685" s="201"/>
      <c r="OAO685" s="201"/>
      <c r="OAP685" s="201"/>
      <c r="OAQ685" s="201"/>
      <c r="OAR685" s="201"/>
      <c r="OAS685" s="201"/>
      <c r="OAT685" s="201"/>
      <c r="OAU685" s="201"/>
      <c r="OAV685" s="201"/>
      <c r="OAW685" s="201"/>
      <c r="OAX685" s="201"/>
      <c r="OAY685" s="201"/>
      <c r="OAZ685" s="201"/>
      <c r="OBA685" s="201"/>
      <c r="OBB685" s="201"/>
      <c r="OBC685" s="201"/>
      <c r="OBD685" s="201"/>
      <c r="OBE685" s="201"/>
      <c r="OBF685" s="201"/>
      <c r="OBG685" s="201"/>
      <c r="OBH685" s="201"/>
      <c r="OBI685" s="201"/>
      <c r="OBJ685" s="201"/>
      <c r="OBK685" s="201"/>
      <c r="OBL685" s="201"/>
      <c r="OBM685" s="201"/>
      <c r="OBN685" s="201"/>
      <c r="OBO685" s="201"/>
      <c r="OBP685" s="201"/>
      <c r="OBQ685" s="201"/>
      <c r="OBR685" s="201"/>
      <c r="OBS685" s="201"/>
      <c r="OBT685" s="201"/>
      <c r="OBU685" s="201"/>
      <c r="OBV685" s="201"/>
      <c r="OBW685" s="201"/>
      <c r="OBX685" s="201"/>
      <c r="OBY685" s="201"/>
      <c r="OBZ685" s="201"/>
      <c r="OCA685" s="201"/>
      <c r="OCB685" s="201"/>
      <c r="OCC685" s="201"/>
      <c r="OCD685" s="201"/>
      <c r="OCE685" s="201"/>
      <c r="OCF685" s="201"/>
      <c r="OCG685" s="201"/>
      <c r="OCH685" s="201"/>
      <c r="OCI685" s="201"/>
      <c r="OCJ685" s="201"/>
      <c r="OCK685" s="201"/>
      <c r="OCL685" s="201"/>
      <c r="OCM685" s="201"/>
      <c r="OCN685" s="201"/>
      <c r="OCO685" s="201"/>
      <c r="OCP685" s="201"/>
      <c r="OCQ685" s="201"/>
      <c r="OCR685" s="201"/>
      <c r="OCS685" s="201"/>
      <c r="OCT685" s="201"/>
      <c r="OCU685" s="201"/>
      <c r="OCV685" s="201"/>
      <c r="OCW685" s="201"/>
      <c r="OCX685" s="201"/>
      <c r="OCY685" s="201"/>
      <c r="OCZ685" s="201"/>
      <c r="ODA685" s="201"/>
      <c r="ODB685" s="201"/>
      <c r="ODC685" s="201"/>
      <c r="ODD685" s="201"/>
      <c r="ODE685" s="201"/>
      <c r="ODF685" s="201"/>
      <c r="ODG685" s="201"/>
      <c r="ODH685" s="201"/>
      <c r="ODI685" s="201"/>
      <c r="ODJ685" s="201"/>
      <c r="ODK685" s="201"/>
      <c r="ODL685" s="201"/>
      <c r="ODM685" s="201"/>
      <c r="ODN685" s="201"/>
      <c r="ODO685" s="201"/>
      <c r="ODP685" s="201"/>
      <c r="ODQ685" s="201"/>
      <c r="ODR685" s="201"/>
      <c r="ODS685" s="201"/>
      <c r="ODT685" s="201"/>
      <c r="ODU685" s="201"/>
      <c r="ODV685" s="201"/>
      <c r="ODW685" s="201"/>
      <c r="ODX685" s="201"/>
      <c r="ODY685" s="201"/>
      <c r="ODZ685" s="201"/>
      <c r="OEA685" s="201"/>
      <c r="OEB685" s="201"/>
      <c r="OEC685" s="201"/>
      <c r="OED685" s="201"/>
      <c r="OEE685" s="201"/>
      <c r="OEF685" s="201"/>
      <c r="OEG685" s="201"/>
      <c r="OEH685" s="201"/>
      <c r="OEI685" s="201"/>
      <c r="OEJ685" s="201"/>
      <c r="OEK685" s="201"/>
      <c r="OEL685" s="201"/>
      <c r="OEM685" s="201"/>
      <c r="OEN685" s="201"/>
      <c r="OEO685" s="201"/>
      <c r="OEP685" s="201"/>
      <c r="OEQ685" s="201"/>
      <c r="OER685" s="201"/>
      <c r="OES685" s="201"/>
      <c r="OET685" s="201"/>
      <c r="OEU685" s="201"/>
      <c r="OEV685" s="201"/>
      <c r="OEW685" s="201"/>
      <c r="OEX685" s="201"/>
      <c r="OEY685" s="201"/>
      <c r="OEZ685" s="201"/>
      <c r="OFA685" s="201"/>
      <c r="OFB685" s="201"/>
      <c r="OFC685" s="201"/>
      <c r="OFD685" s="201"/>
      <c r="OFE685" s="201"/>
      <c r="OFF685" s="201"/>
      <c r="OFG685" s="201"/>
      <c r="OFH685" s="201"/>
      <c r="OFI685" s="201"/>
      <c r="OFJ685" s="201"/>
      <c r="OFK685" s="201"/>
      <c r="OFL685" s="201"/>
      <c r="OFM685" s="201"/>
      <c r="OFN685" s="201"/>
      <c r="OFO685" s="201"/>
      <c r="OFP685" s="201"/>
      <c r="OFQ685" s="201"/>
      <c r="OFR685" s="201"/>
      <c r="OFS685" s="201"/>
      <c r="OFT685" s="201"/>
      <c r="OFU685" s="201"/>
      <c r="OFV685" s="201"/>
      <c r="OFW685" s="201"/>
      <c r="OFX685" s="201"/>
      <c r="OFY685" s="201"/>
      <c r="OFZ685" s="201"/>
      <c r="OGA685" s="201"/>
      <c r="OGB685" s="201"/>
      <c r="OGC685" s="201"/>
      <c r="OGD685" s="201"/>
      <c r="OGE685" s="201"/>
      <c r="OGF685" s="201"/>
      <c r="OGG685" s="201"/>
      <c r="OGH685" s="201"/>
      <c r="OGI685" s="201"/>
      <c r="OGJ685" s="201"/>
      <c r="OGK685" s="201"/>
      <c r="OGL685" s="201"/>
      <c r="OGM685" s="201"/>
      <c r="OGN685" s="201"/>
      <c r="OGO685" s="201"/>
      <c r="OGP685" s="201"/>
      <c r="OGQ685" s="201"/>
      <c r="OGR685" s="201"/>
      <c r="OGS685" s="201"/>
      <c r="OGT685" s="201"/>
      <c r="OGU685" s="201"/>
      <c r="OGV685" s="201"/>
      <c r="OGW685" s="201"/>
      <c r="OGX685" s="201"/>
      <c r="OGY685" s="201"/>
      <c r="OGZ685" s="201"/>
      <c r="OHA685" s="201"/>
      <c r="OHB685" s="201"/>
      <c r="OHC685" s="201"/>
      <c r="OHD685" s="201"/>
      <c r="OHE685" s="201"/>
      <c r="OHF685" s="201"/>
      <c r="OHG685" s="201"/>
      <c r="OHH685" s="201"/>
      <c r="OHI685" s="201"/>
      <c r="OHJ685" s="201"/>
      <c r="OHK685" s="201"/>
      <c r="OHL685" s="201"/>
      <c r="OHM685" s="201"/>
      <c r="OHN685" s="201"/>
      <c r="OHO685" s="201"/>
      <c r="OHP685" s="201"/>
      <c r="OHQ685" s="201"/>
      <c r="OHR685" s="201"/>
      <c r="OHS685" s="201"/>
      <c r="OHT685" s="201"/>
      <c r="OHU685" s="201"/>
      <c r="OHV685" s="201"/>
      <c r="OHW685" s="201"/>
      <c r="OHX685" s="201"/>
      <c r="OHY685" s="201"/>
      <c r="OHZ685" s="201"/>
      <c r="OIA685" s="201"/>
      <c r="OIB685" s="201"/>
      <c r="OIC685" s="201"/>
      <c r="OID685" s="201"/>
      <c r="OIE685" s="201"/>
      <c r="OIF685" s="201"/>
      <c r="OIG685" s="201"/>
      <c r="OIH685" s="201"/>
      <c r="OII685" s="201"/>
      <c r="OIJ685" s="201"/>
      <c r="OIK685" s="201"/>
      <c r="OIL685" s="201"/>
      <c r="OIM685" s="201"/>
      <c r="OIN685" s="201"/>
      <c r="OIO685" s="201"/>
      <c r="OIP685" s="201"/>
      <c r="OIQ685" s="201"/>
      <c r="OIR685" s="201"/>
      <c r="OIS685" s="201"/>
      <c r="OIT685" s="201"/>
      <c r="OIU685" s="201"/>
      <c r="OIV685" s="201"/>
      <c r="OIW685" s="201"/>
      <c r="OIX685" s="201"/>
      <c r="OIY685" s="201"/>
      <c r="OIZ685" s="201"/>
      <c r="OJA685" s="201"/>
      <c r="OJB685" s="201"/>
      <c r="OJC685" s="201"/>
      <c r="OJD685" s="201"/>
      <c r="OJE685" s="201"/>
      <c r="OJF685" s="201"/>
      <c r="OJG685" s="201"/>
      <c r="OJH685" s="201"/>
      <c r="OJI685" s="201"/>
      <c r="OJJ685" s="201"/>
      <c r="OJK685" s="201"/>
      <c r="OJL685" s="201"/>
      <c r="OJM685" s="201"/>
      <c r="OJN685" s="201"/>
      <c r="OJO685" s="201"/>
      <c r="OJP685" s="201"/>
      <c r="OJQ685" s="201"/>
      <c r="OJR685" s="201"/>
      <c r="OJS685" s="201"/>
      <c r="OJT685" s="201"/>
      <c r="OJU685" s="201"/>
      <c r="OJV685" s="201"/>
      <c r="OJW685" s="201"/>
      <c r="OJX685" s="201"/>
      <c r="OJY685" s="201"/>
      <c r="OJZ685" s="201"/>
      <c r="OKA685" s="201"/>
      <c r="OKB685" s="201"/>
      <c r="OKC685" s="201"/>
      <c r="OKD685" s="201"/>
      <c r="OKE685" s="201"/>
      <c r="OKF685" s="201"/>
      <c r="OKG685" s="201"/>
      <c r="OKH685" s="201"/>
      <c r="OKI685" s="201"/>
      <c r="OKJ685" s="201"/>
      <c r="OKK685" s="201"/>
      <c r="OKL685" s="201"/>
      <c r="OKM685" s="201"/>
      <c r="OKN685" s="201"/>
      <c r="OKO685" s="201"/>
      <c r="OKP685" s="201"/>
      <c r="OKQ685" s="201"/>
      <c r="OKR685" s="201"/>
      <c r="OKS685" s="201"/>
      <c r="OKT685" s="201"/>
      <c r="OKU685" s="201"/>
      <c r="OKV685" s="201"/>
      <c r="OKW685" s="201"/>
      <c r="OKX685" s="201"/>
      <c r="OKY685" s="201"/>
      <c r="OKZ685" s="201"/>
      <c r="OLA685" s="201"/>
      <c r="OLB685" s="201"/>
      <c r="OLC685" s="201"/>
      <c r="OLD685" s="201"/>
      <c r="OLE685" s="201"/>
      <c r="OLF685" s="201"/>
      <c r="OLG685" s="201"/>
      <c r="OLH685" s="201"/>
      <c r="OLI685" s="201"/>
      <c r="OLJ685" s="201"/>
      <c r="OLK685" s="201"/>
      <c r="OLL685" s="201"/>
      <c r="OLM685" s="201"/>
      <c r="OLN685" s="201"/>
      <c r="OLO685" s="201"/>
      <c r="OLP685" s="201"/>
      <c r="OLQ685" s="201"/>
      <c r="OLR685" s="201"/>
      <c r="OLS685" s="201"/>
      <c r="OLT685" s="201"/>
      <c r="OLU685" s="201"/>
      <c r="OLV685" s="201"/>
      <c r="OLW685" s="201"/>
      <c r="OLX685" s="201"/>
      <c r="OLY685" s="201"/>
      <c r="OLZ685" s="201"/>
      <c r="OMA685" s="201"/>
      <c r="OMB685" s="201"/>
      <c r="OMC685" s="201"/>
      <c r="OMD685" s="201"/>
      <c r="OME685" s="201"/>
      <c r="OMF685" s="201"/>
      <c r="OMG685" s="201"/>
      <c r="OMH685" s="201"/>
      <c r="OMI685" s="201"/>
      <c r="OMJ685" s="201"/>
      <c r="OMK685" s="201"/>
      <c r="OML685" s="201"/>
      <c r="OMM685" s="201"/>
      <c r="OMN685" s="201"/>
      <c r="OMO685" s="201"/>
      <c r="OMP685" s="201"/>
      <c r="OMQ685" s="201"/>
      <c r="OMR685" s="201"/>
      <c r="OMS685" s="201"/>
      <c r="OMT685" s="201"/>
      <c r="OMU685" s="201"/>
      <c r="OMV685" s="201"/>
      <c r="OMW685" s="201"/>
      <c r="OMX685" s="201"/>
      <c r="OMY685" s="201"/>
      <c r="OMZ685" s="201"/>
      <c r="ONA685" s="201"/>
      <c r="ONB685" s="201"/>
      <c r="ONC685" s="201"/>
      <c r="OND685" s="201"/>
      <c r="ONE685" s="201"/>
      <c r="ONF685" s="201"/>
      <c r="ONG685" s="201"/>
      <c r="ONH685" s="201"/>
      <c r="ONI685" s="201"/>
      <c r="ONJ685" s="201"/>
      <c r="ONK685" s="201"/>
      <c r="ONL685" s="201"/>
      <c r="ONM685" s="201"/>
      <c r="ONN685" s="201"/>
      <c r="ONO685" s="201"/>
      <c r="ONP685" s="201"/>
      <c r="ONQ685" s="201"/>
      <c r="ONR685" s="201"/>
      <c r="ONS685" s="201"/>
      <c r="ONT685" s="201"/>
      <c r="ONU685" s="201"/>
      <c r="ONV685" s="201"/>
      <c r="ONW685" s="201"/>
      <c r="ONX685" s="201"/>
      <c r="ONY685" s="201"/>
      <c r="ONZ685" s="201"/>
      <c r="OOA685" s="201"/>
      <c r="OOB685" s="201"/>
      <c r="OOC685" s="201"/>
      <c r="OOD685" s="201"/>
      <c r="OOE685" s="201"/>
      <c r="OOF685" s="201"/>
      <c r="OOG685" s="201"/>
      <c r="OOH685" s="201"/>
      <c r="OOI685" s="201"/>
      <c r="OOJ685" s="201"/>
      <c r="OOK685" s="201"/>
      <c r="OOL685" s="201"/>
      <c r="OOM685" s="201"/>
      <c r="OON685" s="201"/>
      <c r="OOO685" s="201"/>
      <c r="OOP685" s="201"/>
      <c r="OOQ685" s="201"/>
      <c r="OOR685" s="201"/>
      <c r="OOS685" s="201"/>
      <c r="OOT685" s="201"/>
      <c r="OOU685" s="201"/>
      <c r="OOV685" s="201"/>
      <c r="OOW685" s="201"/>
      <c r="OOX685" s="201"/>
      <c r="OOY685" s="201"/>
      <c r="OOZ685" s="201"/>
      <c r="OPA685" s="201"/>
      <c r="OPB685" s="201"/>
      <c r="OPC685" s="201"/>
      <c r="OPD685" s="201"/>
      <c r="OPE685" s="201"/>
      <c r="OPF685" s="201"/>
      <c r="OPG685" s="201"/>
      <c r="OPH685" s="201"/>
      <c r="OPI685" s="201"/>
      <c r="OPJ685" s="201"/>
      <c r="OPK685" s="201"/>
      <c r="OPL685" s="201"/>
      <c r="OPM685" s="201"/>
      <c r="OPN685" s="201"/>
      <c r="OPO685" s="201"/>
      <c r="OPP685" s="201"/>
      <c r="OPQ685" s="201"/>
      <c r="OPR685" s="201"/>
      <c r="OPS685" s="201"/>
      <c r="OPT685" s="201"/>
      <c r="OPU685" s="201"/>
      <c r="OPV685" s="201"/>
      <c r="OPW685" s="201"/>
      <c r="OPX685" s="201"/>
      <c r="OPY685" s="201"/>
      <c r="OPZ685" s="201"/>
      <c r="OQA685" s="201"/>
      <c r="OQB685" s="201"/>
      <c r="OQC685" s="201"/>
      <c r="OQD685" s="201"/>
      <c r="OQE685" s="201"/>
      <c r="OQF685" s="201"/>
      <c r="OQG685" s="201"/>
      <c r="OQH685" s="201"/>
      <c r="OQI685" s="201"/>
      <c r="OQJ685" s="201"/>
      <c r="OQK685" s="201"/>
      <c r="OQL685" s="201"/>
      <c r="OQM685" s="201"/>
      <c r="OQN685" s="201"/>
      <c r="OQO685" s="201"/>
      <c r="OQP685" s="201"/>
      <c r="OQQ685" s="201"/>
      <c r="OQR685" s="201"/>
      <c r="OQS685" s="201"/>
      <c r="OQT685" s="201"/>
      <c r="OQU685" s="201"/>
      <c r="OQV685" s="201"/>
      <c r="OQW685" s="201"/>
      <c r="OQX685" s="201"/>
      <c r="OQY685" s="201"/>
      <c r="OQZ685" s="201"/>
      <c r="ORA685" s="201"/>
      <c r="ORB685" s="201"/>
      <c r="ORC685" s="201"/>
      <c r="ORD685" s="201"/>
      <c r="ORE685" s="201"/>
      <c r="ORF685" s="201"/>
      <c r="ORG685" s="201"/>
      <c r="ORH685" s="201"/>
      <c r="ORI685" s="201"/>
      <c r="ORJ685" s="201"/>
      <c r="ORK685" s="201"/>
      <c r="ORL685" s="201"/>
      <c r="ORM685" s="201"/>
      <c r="ORN685" s="201"/>
      <c r="ORO685" s="201"/>
      <c r="ORP685" s="201"/>
      <c r="ORQ685" s="201"/>
      <c r="ORR685" s="201"/>
      <c r="ORS685" s="201"/>
      <c r="ORT685" s="201"/>
      <c r="ORU685" s="201"/>
      <c r="ORV685" s="201"/>
      <c r="ORW685" s="201"/>
      <c r="ORX685" s="201"/>
      <c r="ORY685" s="201"/>
      <c r="ORZ685" s="201"/>
      <c r="OSA685" s="201"/>
      <c r="OSB685" s="201"/>
      <c r="OSC685" s="201"/>
      <c r="OSD685" s="201"/>
      <c r="OSE685" s="201"/>
      <c r="OSF685" s="201"/>
      <c r="OSG685" s="201"/>
      <c r="OSH685" s="201"/>
      <c r="OSI685" s="201"/>
      <c r="OSJ685" s="201"/>
      <c r="OSK685" s="201"/>
      <c r="OSL685" s="201"/>
      <c r="OSM685" s="201"/>
      <c r="OSN685" s="201"/>
      <c r="OSO685" s="201"/>
      <c r="OSP685" s="201"/>
      <c r="OSQ685" s="201"/>
      <c r="OSR685" s="201"/>
      <c r="OSS685" s="201"/>
      <c r="OST685" s="201"/>
      <c r="OSU685" s="201"/>
      <c r="OSV685" s="201"/>
      <c r="OSW685" s="201"/>
      <c r="OSX685" s="201"/>
      <c r="OSY685" s="201"/>
      <c r="OSZ685" s="201"/>
      <c r="OTA685" s="201"/>
      <c r="OTB685" s="201"/>
      <c r="OTC685" s="201"/>
      <c r="OTD685" s="201"/>
      <c r="OTE685" s="201"/>
      <c r="OTF685" s="201"/>
      <c r="OTG685" s="201"/>
      <c r="OTH685" s="201"/>
      <c r="OTI685" s="201"/>
      <c r="OTJ685" s="201"/>
      <c r="OTK685" s="201"/>
      <c r="OTL685" s="201"/>
      <c r="OTM685" s="201"/>
      <c r="OTN685" s="201"/>
      <c r="OTO685" s="201"/>
      <c r="OTP685" s="201"/>
      <c r="OTQ685" s="201"/>
      <c r="OTR685" s="201"/>
      <c r="OTS685" s="201"/>
      <c r="OTT685" s="201"/>
      <c r="OTU685" s="201"/>
      <c r="OTV685" s="201"/>
      <c r="OTW685" s="201"/>
      <c r="OTX685" s="201"/>
      <c r="OTY685" s="201"/>
      <c r="OTZ685" s="201"/>
      <c r="OUA685" s="201"/>
      <c r="OUB685" s="201"/>
      <c r="OUC685" s="201"/>
      <c r="OUD685" s="201"/>
      <c r="OUE685" s="201"/>
      <c r="OUF685" s="201"/>
      <c r="OUG685" s="201"/>
      <c r="OUH685" s="201"/>
      <c r="OUI685" s="201"/>
      <c r="OUJ685" s="201"/>
      <c r="OUK685" s="201"/>
      <c r="OUL685" s="201"/>
      <c r="OUM685" s="201"/>
      <c r="OUN685" s="201"/>
      <c r="OUO685" s="201"/>
      <c r="OUP685" s="201"/>
      <c r="OUQ685" s="201"/>
      <c r="OUR685" s="201"/>
      <c r="OUS685" s="201"/>
      <c r="OUT685" s="201"/>
      <c r="OUU685" s="201"/>
      <c r="OUV685" s="201"/>
      <c r="OUW685" s="201"/>
      <c r="OUX685" s="201"/>
      <c r="OUY685" s="201"/>
      <c r="OUZ685" s="201"/>
      <c r="OVA685" s="201"/>
      <c r="OVB685" s="201"/>
      <c r="OVC685" s="201"/>
      <c r="OVD685" s="201"/>
      <c r="OVE685" s="201"/>
      <c r="OVF685" s="201"/>
      <c r="OVG685" s="201"/>
      <c r="OVH685" s="201"/>
      <c r="OVI685" s="201"/>
      <c r="OVJ685" s="201"/>
      <c r="OVK685" s="201"/>
      <c r="OVL685" s="201"/>
      <c r="OVM685" s="201"/>
      <c r="OVN685" s="201"/>
      <c r="OVO685" s="201"/>
      <c r="OVP685" s="201"/>
      <c r="OVQ685" s="201"/>
      <c r="OVR685" s="201"/>
      <c r="OVS685" s="201"/>
      <c r="OVT685" s="201"/>
      <c r="OVU685" s="201"/>
      <c r="OVV685" s="201"/>
      <c r="OVW685" s="201"/>
      <c r="OVX685" s="201"/>
      <c r="OVY685" s="201"/>
      <c r="OVZ685" s="201"/>
      <c r="OWA685" s="201"/>
      <c r="OWB685" s="201"/>
      <c r="OWC685" s="201"/>
      <c r="OWD685" s="201"/>
      <c r="OWE685" s="201"/>
      <c r="OWF685" s="201"/>
      <c r="OWG685" s="201"/>
      <c r="OWH685" s="201"/>
      <c r="OWI685" s="201"/>
      <c r="OWJ685" s="201"/>
      <c r="OWK685" s="201"/>
      <c r="OWL685" s="201"/>
      <c r="OWM685" s="201"/>
      <c r="OWN685" s="201"/>
      <c r="OWO685" s="201"/>
      <c r="OWP685" s="201"/>
      <c r="OWQ685" s="201"/>
      <c r="OWR685" s="201"/>
      <c r="OWS685" s="201"/>
      <c r="OWT685" s="201"/>
      <c r="OWU685" s="201"/>
      <c r="OWV685" s="201"/>
      <c r="OWW685" s="201"/>
      <c r="OWX685" s="201"/>
      <c r="OWY685" s="201"/>
      <c r="OWZ685" s="201"/>
      <c r="OXA685" s="201"/>
      <c r="OXB685" s="201"/>
      <c r="OXC685" s="201"/>
      <c r="OXD685" s="201"/>
      <c r="OXE685" s="201"/>
      <c r="OXF685" s="201"/>
      <c r="OXG685" s="201"/>
      <c r="OXH685" s="201"/>
      <c r="OXI685" s="201"/>
      <c r="OXJ685" s="201"/>
      <c r="OXK685" s="201"/>
      <c r="OXL685" s="201"/>
      <c r="OXM685" s="201"/>
      <c r="OXN685" s="201"/>
      <c r="OXO685" s="201"/>
      <c r="OXP685" s="201"/>
      <c r="OXQ685" s="201"/>
      <c r="OXR685" s="201"/>
      <c r="OXS685" s="201"/>
      <c r="OXT685" s="201"/>
      <c r="OXU685" s="201"/>
      <c r="OXV685" s="201"/>
      <c r="OXW685" s="201"/>
      <c r="OXX685" s="201"/>
      <c r="OXY685" s="201"/>
      <c r="OXZ685" s="201"/>
      <c r="OYA685" s="201"/>
      <c r="OYB685" s="201"/>
      <c r="OYC685" s="201"/>
      <c r="OYD685" s="201"/>
      <c r="OYE685" s="201"/>
      <c r="OYF685" s="201"/>
      <c r="OYG685" s="201"/>
      <c r="OYH685" s="201"/>
      <c r="OYI685" s="201"/>
      <c r="OYJ685" s="201"/>
      <c r="OYK685" s="201"/>
      <c r="OYL685" s="201"/>
      <c r="OYM685" s="201"/>
      <c r="OYN685" s="201"/>
      <c r="OYO685" s="201"/>
      <c r="OYP685" s="201"/>
      <c r="OYQ685" s="201"/>
      <c r="OYR685" s="201"/>
      <c r="OYS685" s="201"/>
      <c r="OYT685" s="201"/>
      <c r="OYU685" s="201"/>
      <c r="OYV685" s="201"/>
      <c r="OYW685" s="201"/>
      <c r="OYX685" s="201"/>
      <c r="OYY685" s="201"/>
      <c r="OYZ685" s="201"/>
      <c r="OZA685" s="201"/>
      <c r="OZB685" s="201"/>
      <c r="OZC685" s="201"/>
      <c r="OZD685" s="201"/>
      <c r="OZE685" s="201"/>
      <c r="OZF685" s="201"/>
      <c r="OZG685" s="201"/>
      <c r="OZH685" s="201"/>
      <c r="OZI685" s="201"/>
      <c r="OZJ685" s="201"/>
      <c r="OZK685" s="201"/>
      <c r="OZL685" s="201"/>
      <c r="OZM685" s="201"/>
      <c r="OZN685" s="201"/>
      <c r="OZO685" s="201"/>
      <c r="OZP685" s="201"/>
      <c r="OZQ685" s="201"/>
      <c r="OZR685" s="201"/>
      <c r="OZS685" s="201"/>
      <c r="OZT685" s="201"/>
      <c r="OZU685" s="201"/>
      <c r="OZV685" s="201"/>
      <c r="OZW685" s="201"/>
      <c r="OZX685" s="201"/>
      <c r="OZY685" s="201"/>
      <c r="OZZ685" s="201"/>
      <c r="PAA685" s="201"/>
      <c r="PAB685" s="201"/>
      <c r="PAC685" s="201"/>
      <c r="PAD685" s="201"/>
      <c r="PAE685" s="201"/>
      <c r="PAF685" s="201"/>
      <c r="PAG685" s="201"/>
      <c r="PAH685" s="201"/>
      <c r="PAI685" s="201"/>
      <c r="PAJ685" s="201"/>
      <c r="PAK685" s="201"/>
      <c r="PAL685" s="201"/>
      <c r="PAM685" s="201"/>
      <c r="PAN685" s="201"/>
      <c r="PAO685" s="201"/>
      <c r="PAP685" s="201"/>
      <c r="PAQ685" s="201"/>
      <c r="PAR685" s="201"/>
      <c r="PAS685" s="201"/>
      <c r="PAT685" s="201"/>
      <c r="PAU685" s="201"/>
      <c r="PAV685" s="201"/>
      <c r="PAW685" s="201"/>
      <c r="PAX685" s="201"/>
      <c r="PAY685" s="201"/>
      <c r="PAZ685" s="201"/>
      <c r="PBA685" s="201"/>
      <c r="PBB685" s="201"/>
      <c r="PBC685" s="201"/>
      <c r="PBD685" s="201"/>
      <c r="PBE685" s="201"/>
      <c r="PBF685" s="201"/>
      <c r="PBG685" s="201"/>
      <c r="PBH685" s="201"/>
      <c r="PBI685" s="201"/>
      <c r="PBJ685" s="201"/>
      <c r="PBK685" s="201"/>
      <c r="PBL685" s="201"/>
      <c r="PBM685" s="201"/>
      <c r="PBN685" s="201"/>
      <c r="PBO685" s="201"/>
      <c r="PBP685" s="201"/>
      <c r="PBQ685" s="201"/>
      <c r="PBR685" s="201"/>
      <c r="PBS685" s="201"/>
      <c r="PBT685" s="201"/>
      <c r="PBU685" s="201"/>
      <c r="PBV685" s="201"/>
      <c r="PBW685" s="201"/>
      <c r="PBX685" s="201"/>
      <c r="PBY685" s="201"/>
      <c r="PBZ685" s="201"/>
      <c r="PCA685" s="201"/>
      <c r="PCB685" s="201"/>
      <c r="PCC685" s="201"/>
      <c r="PCD685" s="201"/>
      <c r="PCE685" s="201"/>
      <c r="PCF685" s="201"/>
      <c r="PCG685" s="201"/>
      <c r="PCH685" s="201"/>
      <c r="PCI685" s="201"/>
      <c r="PCJ685" s="201"/>
      <c r="PCK685" s="201"/>
      <c r="PCL685" s="201"/>
      <c r="PCM685" s="201"/>
      <c r="PCN685" s="201"/>
      <c r="PCO685" s="201"/>
      <c r="PCP685" s="201"/>
      <c r="PCQ685" s="201"/>
      <c r="PCR685" s="201"/>
      <c r="PCS685" s="201"/>
      <c r="PCT685" s="201"/>
      <c r="PCU685" s="201"/>
      <c r="PCV685" s="201"/>
      <c r="PCW685" s="201"/>
      <c r="PCX685" s="201"/>
      <c r="PCY685" s="201"/>
      <c r="PCZ685" s="201"/>
      <c r="PDA685" s="201"/>
      <c r="PDB685" s="201"/>
      <c r="PDC685" s="201"/>
      <c r="PDD685" s="201"/>
      <c r="PDE685" s="201"/>
      <c r="PDF685" s="201"/>
      <c r="PDG685" s="201"/>
      <c r="PDH685" s="201"/>
      <c r="PDI685" s="201"/>
      <c r="PDJ685" s="201"/>
      <c r="PDK685" s="201"/>
      <c r="PDL685" s="201"/>
      <c r="PDM685" s="201"/>
      <c r="PDN685" s="201"/>
      <c r="PDO685" s="201"/>
      <c r="PDP685" s="201"/>
      <c r="PDQ685" s="201"/>
      <c r="PDR685" s="201"/>
      <c r="PDS685" s="201"/>
      <c r="PDT685" s="201"/>
      <c r="PDU685" s="201"/>
      <c r="PDV685" s="201"/>
      <c r="PDW685" s="201"/>
      <c r="PDX685" s="201"/>
      <c r="PDY685" s="201"/>
      <c r="PDZ685" s="201"/>
      <c r="PEA685" s="201"/>
      <c r="PEB685" s="201"/>
      <c r="PEC685" s="201"/>
      <c r="PED685" s="201"/>
      <c r="PEE685" s="201"/>
      <c r="PEF685" s="201"/>
      <c r="PEG685" s="201"/>
      <c r="PEH685" s="201"/>
      <c r="PEI685" s="201"/>
      <c r="PEJ685" s="201"/>
      <c r="PEK685" s="201"/>
      <c r="PEL685" s="201"/>
      <c r="PEM685" s="201"/>
      <c r="PEN685" s="201"/>
      <c r="PEO685" s="201"/>
      <c r="PEP685" s="201"/>
      <c r="PEQ685" s="201"/>
      <c r="PER685" s="201"/>
      <c r="PES685" s="201"/>
      <c r="PET685" s="201"/>
      <c r="PEU685" s="201"/>
      <c r="PEV685" s="201"/>
      <c r="PEW685" s="201"/>
      <c r="PEX685" s="201"/>
      <c r="PEY685" s="201"/>
      <c r="PEZ685" s="201"/>
      <c r="PFA685" s="201"/>
      <c r="PFB685" s="201"/>
      <c r="PFC685" s="201"/>
      <c r="PFD685" s="201"/>
      <c r="PFE685" s="201"/>
      <c r="PFF685" s="201"/>
      <c r="PFG685" s="201"/>
      <c r="PFH685" s="201"/>
      <c r="PFI685" s="201"/>
      <c r="PFJ685" s="201"/>
      <c r="PFK685" s="201"/>
      <c r="PFL685" s="201"/>
      <c r="PFM685" s="201"/>
      <c r="PFN685" s="201"/>
      <c r="PFO685" s="201"/>
      <c r="PFP685" s="201"/>
      <c r="PFQ685" s="201"/>
      <c r="PFR685" s="201"/>
      <c r="PFS685" s="201"/>
      <c r="PFT685" s="201"/>
      <c r="PFU685" s="201"/>
      <c r="PFV685" s="201"/>
      <c r="PFW685" s="201"/>
      <c r="PFX685" s="201"/>
      <c r="PFY685" s="201"/>
      <c r="PFZ685" s="201"/>
      <c r="PGA685" s="201"/>
      <c r="PGB685" s="201"/>
      <c r="PGC685" s="201"/>
      <c r="PGD685" s="201"/>
      <c r="PGE685" s="201"/>
      <c r="PGF685" s="201"/>
      <c r="PGG685" s="201"/>
      <c r="PGH685" s="201"/>
      <c r="PGI685" s="201"/>
      <c r="PGJ685" s="201"/>
      <c r="PGK685" s="201"/>
      <c r="PGL685" s="201"/>
      <c r="PGM685" s="201"/>
      <c r="PGN685" s="201"/>
      <c r="PGO685" s="201"/>
      <c r="PGP685" s="201"/>
      <c r="PGQ685" s="201"/>
      <c r="PGR685" s="201"/>
      <c r="PGS685" s="201"/>
      <c r="PGT685" s="201"/>
      <c r="PGU685" s="201"/>
      <c r="PGV685" s="201"/>
      <c r="PGW685" s="201"/>
      <c r="PGX685" s="201"/>
      <c r="PGY685" s="201"/>
      <c r="PGZ685" s="201"/>
      <c r="PHA685" s="201"/>
      <c r="PHB685" s="201"/>
      <c r="PHC685" s="201"/>
      <c r="PHD685" s="201"/>
      <c r="PHE685" s="201"/>
      <c r="PHF685" s="201"/>
      <c r="PHG685" s="201"/>
      <c r="PHH685" s="201"/>
      <c r="PHI685" s="201"/>
      <c r="PHJ685" s="201"/>
      <c r="PHK685" s="201"/>
      <c r="PHL685" s="201"/>
      <c r="PHM685" s="201"/>
      <c r="PHN685" s="201"/>
      <c r="PHO685" s="201"/>
      <c r="PHP685" s="201"/>
      <c r="PHQ685" s="201"/>
      <c r="PHR685" s="201"/>
      <c r="PHS685" s="201"/>
      <c r="PHT685" s="201"/>
      <c r="PHU685" s="201"/>
      <c r="PHV685" s="201"/>
      <c r="PHW685" s="201"/>
      <c r="PHX685" s="201"/>
      <c r="PHY685" s="201"/>
      <c r="PHZ685" s="201"/>
      <c r="PIA685" s="201"/>
      <c r="PIB685" s="201"/>
      <c r="PIC685" s="201"/>
      <c r="PID685" s="201"/>
      <c r="PIE685" s="201"/>
      <c r="PIF685" s="201"/>
      <c r="PIG685" s="201"/>
      <c r="PIH685" s="201"/>
      <c r="PII685" s="201"/>
      <c r="PIJ685" s="201"/>
      <c r="PIK685" s="201"/>
      <c r="PIL685" s="201"/>
      <c r="PIM685" s="201"/>
      <c r="PIN685" s="201"/>
      <c r="PIO685" s="201"/>
      <c r="PIP685" s="201"/>
      <c r="PIQ685" s="201"/>
      <c r="PIR685" s="201"/>
      <c r="PIS685" s="201"/>
      <c r="PIT685" s="201"/>
      <c r="PIU685" s="201"/>
      <c r="PIV685" s="201"/>
      <c r="PIW685" s="201"/>
      <c r="PIX685" s="201"/>
      <c r="PIY685" s="201"/>
      <c r="PIZ685" s="201"/>
      <c r="PJA685" s="201"/>
      <c r="PJB685" s="201"/>
      <c r="PJC685" s="201"/>
      <c r="PJD685" s="201"/>
      <c r="PJE685" s="201"/>
      <c r="PJF685" s="201"/>
      <c r="PJG685" s="201"/>
      <c r="PJH685" s="201"/>
      <c r="PJI685" s="201"/>
      <c r="PJJ685" s="201"/>
      <c r="PJK685" s="201"/>
      <c r="PJL685" s="201"/>
      <c r="PJM685" s="201"/>
      <c r="PJN685" s="201"/>
      <c r="PJO685" s="201"/>
      <c r="PJP685" s="201"/>
      <c r="PJQ685" s="201"/>
      <c r="PJR685" s="201"/>
      <c r="PJS685" s="201"/>
      <c r="PJT685" s="201"/>
      <c r="PJU685" s="201"/>
      <c r="PJV685" s="201"/>
      <c r="PJW685" s="201"/>
      <c r="PJX685" s="201"/>
      <c r="PJY685" s="201"/>
      <c r="PJZ685" s="201"/>
      <c r="PKA685" s="201"/>
      <c r="PKB685" s="201"/>
      <c r="PKC685" s="201"/>
      <c r="PKD685" s="201"/>
      <c r="PKE685" s="201"/>
      <c r="PKF685" s="201"/>
      <c r="PKG685" s="201"/>
      <c r="PKH685" s="201"/>
      <c r="PKI685" s="201"/>
      <c r="PKJ685" s="201"/>
      <c r="PKK685" s="201"/>
      <c r="PKL685" s="201"/>
      <c r="PKM685" s="201"/>
      <c r="PKN685" s="201"/>
      <c r="PKO685" s="201"/>
      <c r="PKP685" s="201"/>
      <c r="PKQ685" s="201"/>
      <c r="PKR685" s="201"/>
      <c r="PKS685" s="201"/>
      <c r="PKT685" s="201"/>
      <c r="PKU685" s="201"/>
      <c r="PKV685" s="201"/>
      <c r="PKW685" s="201"/>
      <c r="PKX685" s="201"/>
      <c r="PKY685" s="201"/>
      <c r="PKZ685" s="201"/>
      <c r="PLA685" s="201"/>
      <c r="PLB685" s="201"/>
      <c r="PLC685" s="201"/>
      <c r="PLD685" s="201"/>
      <c r="PLE685" s="201"/>
      <c r="PLF685" s="201"/>
      <c r="PLG685" s="201"/>
      <c r="PLH685" s="201"/>
      <c r="PLI685" s="201"/>
      <c r="PLJ685" s="201"/>
      <c r="PLK685" s="201"/>
      <c r="PLL685" s="201"/>
      <c r="PLM685" s="201"/>
      <c r="PLN685" s="201"/>
      <c r="PLO685" s="201"/>
      <c r="PLP685" s="201"/>
      <c r="PLQ685" s="201"/>
      <c r="PLR685" s="201"/>
      <c r="PLS685" s="201"/>
      <c r="PLT685" s="201"/>
      <c r="PLU685" s="201"/>
      <c r="PLV685" s="201"/>
      <c r="PLW685" s="201"/>
      <c r="PLX685" s="201"/>
      <c r="PLY685" s="201"/>
      <c r="PLZ685" s="201"/>
      <c r="PMA685" s="201"/>
      <c r="PMB685" s="201"/>
      <c r="PMC685" s="201"/>
      <c r="PMD685" s="201"/>
      <c r="PME685" s="201"/>
      <c r="PMF685" s="201"/>
      <c r="PMG685" s="201"/>
      <c r="PMH685" s="201"/>
      <c r="PMI685" s="201"/>
      <c r="PMJ685" s="201"/>
      <c r="PMK685" s="201"/>
      <c r="PML685" s="201"/>
      <c r="PMM685" s="201"/>
      <c r="PMN685" s="201"/>
      <c r="PMO685" s="201"/>
      <c r="PMP685" s="201"/>
      <c r="PMQ685" s="201"/>
      <c r="PMR685" s="201"/>
      <c r="PMS685" s="201"/>
      <c r="PMT685" s="201"/>
      <c r="PMU685" s="201"/>
      <c r="PMV685" s="201"/>
      <c r="PMW685" s="201"/>
      <c r="PMX685" s="201"/>
      <c r="PMY685" s="201"/>
      <c r="PMZ685" s="201"/>
      <c r="PNA685" s="201"/>
      <c r="PNB685" s="201"/>
      <c r="PNC685" s="201"/>
      <c r="PND685" s="201"/>
      <c r="PNE685" s="201"/>
      <c r="PNF685" s="201"/>
      <c r="PNG685" s="201"/>
      <c r="PNH685" s="201"/>
      <c r="PNI685" s="201"/>
      <c r="PNJ685" s="201"/>
      <c r="PNK685" s="201"/>
      <c r="PNL685" s="201"/>
      <c r="PNM685" s="201"/>
      <c r="PNN685" s="201"/>
      <c r="PNO685" s="201"/>
      <c r="PNP685" s="201"/>
      <c r="PNQ685" s="201"/>
      <c r="PNR685" s="201"/>
      <c r="PNS685" s="201"/>
      <c r="PNT685" s="201"/>
      <c r="PNU685" s="201"/>
      <c r="PNV685" s="201"/>
      <c r="PNW685" s="201"/>
      <c r="PNX685" s="201"/>
      <c r="PNY685" s="201"/>
      <c r="PNZ685" s="201"/>
      <c r="POA685" s="201"/>
      <c r="POB685" s="201"/>
      <c r="POC685" s="201"/>
      <c r="POD685" s="201"/>
      <c r="POE685" s="201"/>
      <c r="POF685" s="201"/>
      <c r="POG685" s="201"/>
      <c r="POH685" s="201"/>
      <c r="POI685" s="201"/>
      <c r="POJ685" s="201"/>
      <c r="POK685" s="201"/>
      <c r="POL685" s="201"/>
      <c r="POM685" s="201"/>
      <c r="PON685" s="201"/>
      <c r="POO685" s="201"/>
      <c r="POP685" s="201"/>
      <c r="POQ685" s="201"/>
      <c r="POR685" s="201"/>
      <c r="POS685" s="201"/>
      <c r="POT685" s="201"/>
      <c r="POU685" s="201"/>
      <c r="POV685" s="201"/>
      <c r="POW685" s="201"/>
      <c r="POX685" s="201"/>
      <c r="POY685" s="201"/>
      <c r="POZ685" s="201"/>
      <c r="PPA685" s="201"/>
      <c r="PPB685" s="201"/>
      <c r="PPC685" s="201"/>
      <c r="PPD685" s="201"/>
      <c r="PPE685" s="201"/>
      <c r="PPF685" s="201"/>
      <c r="PPG685" s="201"/>
      <c r="PPH685" s="201"/>
      <c r="PPI685" s="201"/>
      <c r="PPJ685" s="201"/>
      <c r="PPK685" s="201"/>
      <c r="PPL685" s="201"/>
      <c r="PPM685" s="201"/>
      <c r="PPN685" s="201"/>
      <c r="PPO685" s="201"/>
      <c r="PPP685" s="201"/>
      <c r="PPQ685" s="201"/>
      <c r="PPR685" s="201"/>
      <c r="PPS685" s="201"/>
      <c r="PPT685" s="201"/>
      <c r="PPU685" s="201"/>
      <c r="PPV685" s="201"/>
      <c r="PPW685" s="201"/>
      <c r="PPX685" s="201"/>
      <c r="PPY685" s="201"/>
      <c r="PPZ685" s="201"/>
      <c r="PQA685" s="201"/>
      <c r="PQB685" s="201"/>
      <c r="PQC685" s="201"/>
      <c r="PQD685" s="201"/>
      <c r="PQE685" s="201"/>
      <c r="PQF685" s="201"/>
      <c r="PQG685" s="201"/>
      <c r="PQH685" s="201"/>
      <c r="PQI685" s="201"/>
      <c r="PQJ685" s="201"/>
      <c r="PQK685" s="201"/>
      <c r="PQL685" s="201"/>
      <c r="PQM685" s="201"/>
      <c r="PQN685" s="201"/>
      <c r="PQO685" s="201"/>
      <c r="PQP685" s="201"/>
      <c r="PQQ685" s="201"/>
      <c r="PQR685" s="201"/>
      <c r="PQS685" s="201"/>
      <c r="PQT685" s="201"/>
      <c r="PQU685" s="201"/>
      <c r="PQV685" s="201"/>
      <c r="PQW685" s="201"/>
      <c r="PQX685" s="201"/>
      <c r="PQY685" s="201"/>
      <c r="PQZ685" s="201"/>
      <c r="PRA685" s="201"/>
      <c r="PRB685" s="201"/>
      <c r="PRC685" s="201"/>
      <c r="PRD685" s="201"/>
      <c r="PRE685" s="201"/>
      <c r="PRF685" s="201"/>
      <c r="PRG685" s="201"/>
      <c r="PRH685" s="201"/>
      <c r="PRI685" s="201"/>
      <c r="PRJ685" s="201"/>
      <c r="PRK685" s="201"/>
      <c r="PRL685" s="201"/>
      <c r="PRM685" s="201"/>
      <c r="PRN685" s="201"/>
      <c r="PRO685" s="201"/>
      <c r="PRP685" s="201"/>
      <c r="PRQ685" s="201"/>
      <c r="PRR685" s="201"/>
      <c r="PRS685" s="201"/>
      <c r="PRT685" s="201"/>
      <c r="PRU685" s="201"/>
      <c r="PRV685" s="201"/>
      <c r="PRW685" s="201"/>
      <c r="PRX685" s="201"/>
      <c r="PRY685" s="201"/>
      <c r="PRZ685" s="201"/>
      <c r="PSA685" s="201"/>
      <c r="PSB685" s="201"/>
      <c r="PSC685" s="201"/>
      <c r="PSD685" s="201"/>
      <c r="PSE685" s="201"/>
      <c r="PSF685" s="201"/>
      <c r="PSG685" s="201"/>
      <c r="PSH685" s="201"/>
      <c r="PSI685" s="201"/>
      <c r="PSJ685" s="201"/>
      <c r="PSK685" s="201"/>
      <c r="PSL685" s="201"/>
      <c r="PSM685" s="201"/>
      <c r="PSN685" s="201"/>
      <c r="PSO685" s="201"/>
      <c r="PSP685" s="201"/>
      <c r="PSQ685" s="201"/>
      <c r="PSR685" s="201"/>
      <c r="PSS685" s="201"/>
      <c r="PST685" s="201"/>
      <c r="PSU685" s="201"/>
      <c r="PSV685" s="201"/>
      <c r="PSW685" s="201"/>
      <c r="PSX685" s="201"/>
      <c r="PSY685" s="201"/>
      <c r="PSZ685" s="201"/>
      <c r="PTA685" s="201"/>
      <c r="PTB685" s="201"/>
      <c r="PTC685" s="201"/>
      <c r="PTD685" s="201"/>
      <c r="PTE685" s="201"/>
      <c r="PTF685" s="201"/>
      <c r="PTG685" s="201"/>
      <c r="PTH685" s="201"/>
      <c r="PTI685" s="201"/>
      <c r="PTJ685" s="201"/>
      <c r="PTK685" s="201"/>
      <c r="PTL685" s="201"/>
      <c r="PTM685" s="201"/>
      <c r="PTN685" s="201"/>
      <c r="PTO685" s="201"/>
      <c r="PTP685" s="201"/>
      <c r="PTQ685" s="201"/>
      <c r="PTR685" s="201"/>
      <c r="PTS685" s="201"/>
      <c r="PTT685" s="201"/>
      <c r="PTU685" s="201"/>
      <c r="PTV685" s="201"/>
      <c r="PTW685" s="201"/>
      <c r="PTX685" s="201"/>
      <c r="PTY685" s="201"/>
      <c r="PTZ685" s="201"/>
      <c r="PUA685" s="201"/>
      <c r="PUB685" s="201"/>
      <c r="PUC685" s="201"/>
      <c r="PUD685" s="201"/>
      <c r="PUE685" s="201"/>
      <c r="PUF685" s="201"/>
      <c r="PUG685" s="201"/>
      <c r="PUH685" s="201"/>
      <c r="PUI685" s="201"/>
      <c r="PUJ685" s="201"/>
      <c r="PUK685" s="201"/>
      <c r="PUL685" s="201"/>
      <c r="PUM685" s="201"/>
      <c r="PUN685" s="201"/>
      <c r="PUO685" s="201"/>
      <c r="PUP685" s="201"/>
      <c r="PUQ685" s="201"/>
      <c r="PUR685" s="201"/>
      <c r="PUS685" s="201"/>
      <c r="PUT685" s="201"/>
      <c r="PUU685" s="201"/>
      <c r="PUV685" s="201"/>
      <c r="PUW685" s="201"/>
      <c r="PUX685" s="201"/>
      <c r="PUY685" s="201"/>
      <c r="PUZ685" s="201"/>
      <c r="PVA685" s="201"/>
      <c r="PVB685" s="201"/>
      <c r="PVC685" s="201"/>
      <c r="PVD685" s="201"/>
      <c r="PVE685" s="201"/>
      <c r="PVF685" s="201"/>
      <c r="PVG685" s="201"/>
      <c r="PVH685" s="201"/>
      <c r="PVI685" s="201"/>
      <c r="PVJ685" s="201"/>
      <c r="PVK685" s="201"/>
      <c r="PVL685" s="201"/>
      <c r="PVM685" s="201"/>
      <c r="PVN685" s="201"/>
      <c r="PVO685" s="201"/>
      <c r="PVP685" s="201"/>
      <c r="PVQ685" s="201"/>
      <c r="PVR685" s="201"/>
      <c r="PVS685" s="201"/>
      <c r="PVT685" s="201"/>
      <c r="PVU685" s="201"/>
      <c r="PVV685" s="201"/>
      <c r="PVW685" s="201"/>
      <c r="PVX685" s="201"/>
      <c r="PVY685" s="201"/>
      <c r="PVZ685" s="201"/>
      <c r="PWA685" s="201"/>
      <c r="PWB685" s="201"/>
      <c r="PWC685" s="201"/>
      <c r="PWD685" s="201"/>
      <c r="PWE685" s="201"/>
      <c r="PWF685" s="201"/>
      <c r="PWG685" s="201"/>
      <c r="PWH685" s="201"/>
      <c r="PWI685" s="201"/>
      <c r="PWJ685" s="201"/>
      <c r="PWK685" s="201"/>
      <c r="PWL685" s="201"/>
      <c r="PWM685" s="201"/>
      <c r="PWN685" s="201"/>
      <c r="PWO685" s="201"/>
      <c r="PWP685" s="201"/>
      <c r="PWQ685" s="201"/>
      <c r="PWR685" s="201"/>
      <c r="PWS685" s="201"/>
      <c r="PWT685" s="201"/>
      <c r="PWU685" s="201"/>
      <c r="PWV685" s="201"/>
      <c r="PWW685" s="201"/>
      <c r="PWX685" s="201"/>
      <c r="PWY685" s="201"/>
      <c r="PWZ685" s="201"/>
      <c r="PXA685" s="201"/>
      <c r="PXB685" s="201"/>
      <c r="PXC685" s="201"/>
      <c r="PXD685" s="201"/>
      <c r="PXE685" s="201"/>
      <c r="PXF685" s="201"/>
      <c r="PXG685" s="201"/>
      <c r="PXH685" s="201"/>
      <c r="PXI685" s="201"/>
      <c r="PXJ685" s="201"/>
      <c r="PXK685" s="201"/>
      <c r="PXL685" s="201"/>
      <c r="PXM685" s="201"/>
      <c r="PXN685" s="201"/>
      <c r="PXO685" s="201"/>
      <c r="PXP685" s="201"/>
      <c r="PXQ685" s="201"/>
      <c r="PXR685" s="201"/>
      <c r="PXS685" s="201"/>
      <c r="PXT685" s="201"/>
      <c r="PXU685" s="201"/>
      <c r="PXV685" s="201"/>
      <c r="PXW685" s="201"/>
      <c r="PXX685" s="201"/>
      <c r="PXY685" s="201"/>
      <c r="PXZ685" s="201"/>
      <c r="PYA685" s="201"/>
      <c r="PYB685" s="201"/>
      <c r="PYC685" s="201"/>
      <c r="PYD685" s="201"/>
      <c r="PYE685" s="201"/>
      <c r="PYF685" s="201"/>
      <c r="PYG685" s="201"/>
      <c r="PYH685" s="201"/>
      <c r="PYI685" s="201"/>
      <c r="PYJ685" s="201"/>
      <c r="PYK685" s="201"/>
      <c r="PYL685" s="201"/>
      <c r="PYM685" s="201"/>
      <c r="PYN685" s="201"/>
      <c r="PYO685" s="201"/>
      <c r="PYP685" s="201"/>
      <c r="PYQ685" s="201"/>
      <c r="PYR685" s="201"/>
      <c r="PYS685" s="201"/>
      <c r="PYT685" s="201"/>
      <c r="PYU685" s="201"/>
      <c r="PYV685" s="201"/>
      <c r="PYW685" s="201"/>
      <c r="PYX685" s="201"/>
      <c r="PYY685" s="201"/>
      <c r="PYZ685" s="201"/>
      <c r="PZA685" s="201"/>
      <c r="PZB685" s="201"/>
      <c r="PZC685" s="201"/>
      <c r="PZD685" s="201"/>
      <c r="PZE685" s="201"/>
      <c r="PZF685" s="201"/>
      <c r="PZG685" s="201"/>
      <c r="PZH685" s="201"/>
      <c r="PZI685" s="201"/>
      <c r="PZJ685" s="201"/>
      <c r="PZK685" s="201"/>
      <c r="PZL685" s="201"/>
      <c r="PZM685" s="201"/>
      <c r="PZN685" s="201"/>
      <c r="PZO685" s="201"/>
      <c r="PZP685" s="201"/>
      <c r="PZQ685" s="201"/>
      <c r="PZR685" s="201"/>
      <c r="PZS685" s="201"/>
      <c r="PZT685" s="201"/>
      <c r="PZU685" s="201"/>
      <c r="PZV685" s="201"/>
      <c r="PZW685" s="201"/>
      <c r="PZX685" s="201"/>
      <c r="PZY685" s="201"/>
      <c r="PZZ685" s="201"/>
      <c r="QAA685" s="201"/>
      <c r="QAB685" s="201"/>
      <c r="QAC685" s="201"/>
      <c r="QAD685" s="201"/>
      <c r="QAE685" s="201"/>
      <c r="QAF685" s="201"/>
      <c r="QAG685" s="201"/>
      <c r="QAH685" s="201"/>
      <c r="QAI685" s="201"/>
      <c r="QAJ685" s="201"/>
      <c r="QAK685" s="201"/>
      <c r="QAL685" s="201"/>
      <c r="QAM685" s="201"/>
      <c r="QAN685" s="201"/>
      <c r="QAO685" s="201"/>
      <c r="QAP685" s="201"/>
      <c r="QAQ685" s="201"/>
      <c r="QAR685" s="201"/>
      <c r="QAS685" s="201"/>
      <c r="QAT685" s="201"/>
      <c r="QAU685" s="201"/>
      <c r="QAV685" s="201"/>
      <c r="QAW685" s="201"/>
      <c r="QAX685" s="201"/>
      <c r="QAY685" s="201"/>
      <c r="QAZ685" s="201"/>
      <c r="QBA685" s="201"/>
      <c r="QBB685" s="201"/>
      <c r="QBC685" s="201"/>
      <c r="QBD685" s="201"/>
      <c r="QBE685" s="201"/>
      <c r="QBF685" s="201"/>
      <c r="QBG685" s="201"/>
      <c r="QBH685" s="201"/>
      <c r="QBI685" s="201"/>
      <c r="QBJ685" s="201"/>
      <c r="QBK685" s="201"/>
      <c r="QBL685" s="201"/>
      <c r="QBM685" s="201"/>
      <c r="QBN685" s="201"/>
      <c r="QBO685" s="201"/>
      <c r="QBP685" s="201"/>
      <c r="QBQ685" s="201"/>
      <c r="QBR685" s="201"/>
      <c r="QBS685" s="201"/>
      <c r="QBT685" s="201"/>
      <c r="QBU685" s="201"/>
      <c r="QBV685" s="201"/>
      <c r="QBW685" s="201"/>
      <c r="QBX685" s="201"/>
      <c r="QBY685" s="201"/>
      <c r="QBZ685" s="201"/>
      <c r="QCA685" s="201"/>
      <c r="QCB685" s="201"/>
      <c r="QCC685" s="201"/>
      <c r="QCD685" s="201"/>
      <c r="QCE685" s="201"/>
      <c r="QCF685" s="201"/>
      <c r="QCG685" s="201"/>
      <c r="QCH685" s="201"/>
      <c r="QCI685" s="201"/>
      <c r="QCJ685" s="201"/>
      <c r="QCK685" s="201"/>
      <c r="QCL685" s="201"/>
      <c r="QCM685" s="201"/>
      <c r="QCN685" s="201"/>
      <c r="QCO685" s="201"/>
      <c r="QCP685" s="201"/>
      <c r="QCQ685" s="201"/>
      <c r="QCR685" s="201"/>
      <c r="QCS685" s="201"/>
      <c r="QCT685" s="201"/>
      <c r="QCU685" s="201"/>
      <c r="QCV685" s="201"/>
      <c r="QCW685" s="201"/>
      <c r="QCX685" s="201"/>
      <c r="QCY685" s="201"/>
      <c r="QCZ685" s="201"/>
      <c r="QDA685" s="201"/>
      <c r="QDB685" s="201"/>
      <c r="QDC685" s="201"/>
      <c r="QDD685" s="201"/>
      <c r="QDE685" s="201"/>
      <c r="QDF685" s="201"/>
      <c r="QDG685" s="201"/>
      <c r="QDH685" s="201"/>
      <c r="QDI685" s="201"/>
      <c r="QDJ685" s="201"/>
      <c r="QDK685" s="201"/>
      <c r="QDL685" s="201"/>
      <c r="QDM685" s="201"/>
      <c r="QDN685" s="201"/>
      <c r="QDO685" s="201"/>
      <c r="QDP685" s="201"/>
      <c r="QDQ685" s="201"/>
      <c r="QDR685" s="201"/>
      <c r="QDS685" s="201"/>
      <c r="QDT685" s="201"/>
      <c r="QDU685" s="201"/>
      <c r="QDV685" s="201"/>
      <c r="QDW685" s="201"/>
      <c r="QDX685" s="201"/>
      <c r="QDY685" s="201"/>
      <c r="QDZ685" s="201"/>
      <c r="QEA685" s="201"/>
      <c r="QEB685" s="201"/>
      <c r="QEC685" s="201"/>
      <c r="QED685" s="201"/>
      <c r="QEE685" s="201"/>
      <c r="QEF685" s="201"/>
      <c r="QEG685" s="201"/>
      <c r="QEH685" s="201"/>
      <c r="QEI685" s="201"/>
      <c r="QEJ685" s="201"/>
      <c r="QEK685" s="201"/>
      <c r="QEL685" s="201"/>
      <c r="QEM685" s="201"/>
      <c r="QEN685" s="201"/>
      <c r="QEO685" s="201"/>
      <c r="QEP685" s="201"/>
      <c r="QEQ685" s="201"/>
      <c r="QER685" s="201"/>
      <c r="QES685" s="201"/>
      <c r="QET685" s="201"/>
      <c r="QEU685" s="201"/>
      <c r="QEV685" s="201"/>
      <c r="QEW685" s="201"/>
      <c r="QEX685" s="201"/>
      <c r="QEY685" s="201"/>
      <c r="QEZ685" s="201"/>
      <c r="QFA685" s="201"/>
      <c r="QFB685" s="201"/>
      <c r="QFC685" s="201"/>
      <c r="QFD685" s="201"/>
      <c r="QFE685" s="201"/>
      <c r="QFF685" s="201"/>
      <c r="QFG685" s="201"/>
      <c r="QFH685" s="201"/>
      <c r="QFI685" s="201"/>
      <c r="QFJ685" s="201"/>
      <c r="QFK685" s="201"/>
      <c r="QFL685" s="201"/>
      <c r="QFM685" s="201"/>
      <c r="QFN685" s="201"/>
      <c r="QFO685" s="201"/>
      <c r="QFP685" s="201"/>
      <c r="QFQ685" s="201"/>
      <c r="QFR685" s="201"/>
      <c r="QFS685" s="201"/>
      <c r="QFT685" s="201"/>
      <c r="QFU685" s="201"/>
      <c r="QFV685" s="201"/>
      <c r="QFW685" s="201"/>
      <c r="QFX685" s="201"/>
      <c r="QFY685" s="201"/>
      <c r="QFZ685" s="201"/>
      <c r="QGA685" s="201"/>
      <c r="QGB685" s="201"/>
      <c r="QGC685" s="201"/>
      <c r="QGD685" s="201"/>
      <c r="QGE685" s="201"/>
      <c r="QGF685" s="201"/>
      <c r="QGG685" s="201"/>
      <c r="QGH685" s="201"/>
      <c r="QGI685" s="201"/>
      <c r="QGJ685" s="201"/>
      <c r="QGK685" s="201"/>
      <c r="QGL685" s="201"/>
      <c r="QGM685" s="201"/>
      <c r="QGN685" s="201"/>
      <c r="QGO685" s="201"/>
      <c r="QGP685" s="201"/>
      <c r="QGQ685" s="201"/>
      <c r="QGR685" s="201"/>
      <c r="QGS685" s="201"/>
      <c r="QGT685" s="201"/>
      <c r="QGU685" s="201"/>
      <c r="QGV685" s="201"/>
      <c r="QGW685" s="201"/>
      <c r="QGX685" s="201"/>
      <c r="QGY685" s="201"/>
      <c r="QGZ685" s="201"/>
      <c r="QHA685" s="201"/>
      <c r="QHB685" s="201"/>
      <c r="QHC685" s="201"/>
      <c r="QHD685" s="201"/>
      <c r="QHE685" s="201"/>
      <c r="QHF685" s="201"/>
      <c r="QHG685" s="201"/>
      <c r="QHH685" s="201"/>
      <c r="QHI685" s="201"/>
      <c r="QHJ685" s="201"/>
      <c r="QHK685" s="201"/>
      <c r="QHL685" s="201"/>
      <c r="QHM685" s="201"/>
      <c r="QHN685" s="201"/>
      <c r="QHO685" s="201"/>
      <c r="QHP685" s="201"/>
      <c r="QHQ685" s="201"/>
      <c r="QHR685" s="201"/>
      <c r="QHS685" s="201"/>
      <c r="QHT685" s="201"/>
      <c r="QHU685" s="201"/>
      <c r="QHV685" s="201"/>
      <c r="QHW685" s="201"/>
      <c r="QHX685" s="201"/>
      <c r="QHY685" s="201"/>
      <c r="QHZ685" s="201"/>
      <c r="QIA685" s="201"/>
      <c r="QIB685" s="201"/>
      <c r="QIC685" s="201"/>
      <c r="QID685" s="201"/>
      <c r="QIE685" s="201"/>
      <c r="QIF685" s="201"/>
      <c r="QIG685" s="201"/>
      <c r="QIH685" s="201"/>
      <c r="QII685" s="201"/>
      <c r="QIJ685" s="201"/>
      <c r="QIK685" s="201"/>
      <c r="QIL685" s="201"/>
      <c r="QIM685" s="201"/>
      <c r="QIN685" s="201"/>
      <c r="QIO685" s="201"/>
      <c r="QIP685" s="201"/>
      <c r="QIQ685" s="201"/>
      <c r="QIR685" s="201"/>
      <c r="QIS685" s="201"/>
      <c r="QIT685" s="201"/>
      <c r="QIU685" s="201"/>
      <c r="QIV685" s="201"/>
      <c r="QIW685" s="201"/>
      <c r="QIX685" s="201"/>
      <c r="QIY685" s="201"/>
      <c r="QIZ685" s="201"/>
      <c r="QJA685" s="201"/>
      <c r="QJB685" s="201"/>
      <c r="QJC685" s="201"/>
      <c r="QJD685" s="201"/>
      <c r="QJE685" s="201"/>
      <c r="QJF685" s="201"/>
      <c r="QJG685" s="201"/>
      <c r="QJH685" s="201"/>
      <c r="QJI685" s="201"/>
      <c r="QJJ685" s="201"/>
      <c r="QJK685" s="201"/>
      <c r="QJL685" s="201"/>
      <c r="QJM685" s="201"/>
      <c r="QJN685" s="201"/>
      <c r="QJO685" s="201"/>
      <c r="QJP685" s="201"/>
      <c r="QJQ685" s="201"/>
      <c r="QJR685" s="201"/>
      <c r="QJS685" s="201"/>
      <c r="QJT685" s="201"/>
      <c r="QJU685" s="201"/>
      <c r="QJV685" s="201"/>
      <c r="QJW685" s="201"/>
      <c r="QJX685" s="201"/>
      <c r="QJY685" s="201"/>
      <c r="QJZ685" s="201"/>
      <c r="QKA685" s="201"/>
      <c r="QKB685" s="201"/>
      <c r="QKC685" s="201"/>
      <c r="QKD685" s="201"/>
      <c r="QKE685" s="201"/>
      <c r="QKF685" s="201"/>
      <c r="QKG685" s="201"/>
      <c r="QKH685" s="201"/>
      <c r="QKI685" s="201"/>
      <c r="QKJ685" s="201"/>
      <c r="QKK685" s="201"/>
      <c r="QKL685" s="201"/>
      <c r="QKM685" s="201"/>
      <c r="QKN685" s="201"/>
      <c r="QKO685" s="201"/>
      <c r="QKP685" s="201"/>
      <c r="QKQ685" s="201"/>
      <c r="QKR685" s="201"/>
      <c r="QKS685" s="201"/>
      <c r="QKT685" s="201"/>
      <c r="QKU685" s="201"/>
      <c r="QKV685" s="201"/>
      <c r="QKW685" s="201"/>
      <c r="QKX685" s="201"/>
      <c r="QKY685" s="201"/>
      <c r="QKZ685" s="201"/>
      <c r="QLA685" s="201"/>
      <c r="QLB685" s="201"/>
      <c r="QLC685" s="201"/>
      <c r="QLD685" s="201"/>
      <c r="QLE685" s="201"/>
      <c r="QLF685" s="201"/>
      <c r="QLG685" s="201"/>
      <c r="QLH685" s="201"/>
      <c r="QLI685" s="201"/>
      <c r="QLJ685" s="201"/>
      <c r="QLK685" s="201"/>
      <c r="QLL685" s="201"/>
      <c r="QLM685" s="201"/>
      <c r="QLN685" s="201"/>
      <c r="QLO685" s="201"/>
      <c r="QLP685" s="201"/>
      <c r="QLQ685" s="201"/>
      <c r="QLR685" s="201"/>
      <c r="QLS685" s="201"/>
      <c r="QLT685" s="201"/>
      <c r="QLU685" s="201"/>
      <c r="QLV685" s="201"/>
      <c r="QLW685" s="201"/>
      <c r="QLX685" s="201"/>
      <c r="QLY685" s="201"/>
      <c r="QLZ685" s="201"/>
      <c r="QMA685" s="201"/>
      <c r="QMB685" s="201"/>
      <c r="QMC685" s="201"/>
      <c r="QMD685" s="201"/>
      <c r="QME685" s="201"/>
      <c r="QMF685" s="201"/>
      <c r="QMG685" s="201"/>
      <c r="QMH685" s="201"/>
      <c r="QMI685" s="201"/>
      <c r="QMJ685" s="201"/>
      <c r="QMK685" s="201"/>
      <c r="QML685" s="201"/>
      <c r="QMM685" s="201"/>
      <c r="QMN685" s="201"/>
      <c r="QMO685" s="201"/>
      <c r="QMP685" s="201"/>
      <c r="QMQ685" s="201"/>
      <c r="QMR685" s="201"/>
      <c r="QMS685" s="201"/>
      <c r="QMT685" s="201"/>
      <c r="QMU685" s="201"/>
      <c r="QMV685" s="201"/>
      <c r="QMW685" s="201"/>
      <c r="QMX685" s="201"/>
      <c r="QMY685" s="201"/>
      <c r="QMZ685" s="201"/>
      <c r="QNA685" s="201"/>
      <c r="QNB685" s="201"/>
      <c r="QNC685" s="201"/>
      <c r="QND685" s="201"/>
      <c r="QNE685" s="201"/>
      <c r="QNF685" s="201"/>
      <c r="QNG685" s="201"/>
      <c r="QNH685" s="201"/>
      <c r="QNI685" s="201"/>
      <c r="QNJ685" s="201"/>
      <c r="QNK685" s="201"/>
      <c r="QNL685" s="201"/>
      <c r="QNM685" s="201"/>
      <c r="QNN685" s="201"/>
      <c r="QNO685" s="201"/>
      <c r="QNP685" s="201"/>
      <c r="QNQ685" s="201"/>
      <c r="QNR685" s="201"/>
      <c r="QNS685" s="201"/>
      <c r="QNT685" s="201"/>
      <c r="QNU685" s="201"/>
      <c r="QNV685" s="201"/>
      <c r="QNW685" s="201"/>
      <c r="QNX685" s="201"/>
      <c r="QNY685" s="201"/>
      <c r="QNZ685" s="201"/>
      <c r="QOA685" s="201"/>
      <c r="QOB685" s="201"/>
      <c r="QOC685" s="201"/>
      <c r="QOD685" s="201"/>
      <c r="QOE685" s="201"/>
      <c r="QOF685" s="201"/>
      <c r="QOG685" s="201"/>
      <c r="QOH685" s="201"/>
      <c r="QOI685" s="201"/>
      <c r="QOJ685" s="201"/>
      <c r="QOK685" s="201"/>
      <c r="QOL685" s="201"/>
      <c r="QOM685" s="201"/>
      <c r="QON685" s="201"/>
      <c r="QOO685" s="201"/>
      <c r="QOP685" s="201"/>
      <c r="QOQ685" s="201"/>
      <c r="QOR685" s="201"/>
      <c r="QOS685" s="201"/>
      <c r="QOT685" s="201"/>
      <c r="QOU685" s="201"/>
      <c r="QOV685" s="201"/>
      <c r="QOW685" s="201"/>
      <c r="QOX685" s="201"/>
      <c r="QOY685" s="201"/>
      <c r="QOZ685" s="201"/>
      <c r="QPA685" s="201"/>
      <c r="QPB685" s="201"/>
      <c r="QPC685" s="201"/>
      <c r="QPD685" s="201"/>
      <c r="QPE685" s="201"/>
      <c r="QPF685" s="201"/>
      <c r="QPG685" s="201"/>
      <c r="QPH685" s="201"/>
      <c r="QPI685" s="201"/>
      <c r="QPJ685" s="201"/>
      <c r="QPK685" s="201"/>
      <c r="QPL685" s="201"/>
      <c r="QPM685" s="201"/>
      <c r="QPN685" s="201"/>
      <c r="QPO685" s="201"/>
      <c r="QPP685" s="201"/>
      <c r="QPQ685" s="201"/>
      <c r="QPR685" s="201"/>
      <c r="QPS685" s="201"/>
      <c r="QPT685" s="201"/>
      <c r="QPU685" s="201"/>
      <c r="QPV685" s="201"/>
      <c r="QPW685" s="201"/>
      <c r="QPX685" s="201"/>
      <c r="QPY685" s="201"/>
      <c r="QPZ685" s="201"/>
      <c r="QQA685" s="201"/>
      <c r="QQB685" s="201"/>
      <c r="QQC685" s="201"/>
      <c r="QQD685" s="201"/>
      <c r="QQE685" s="201"/>
      <c r="QQF685" s="201"/>
      <c r="QQG685" s="201"/>
      <c r="QQH685" s="201"/>
      <c r="QQI685" s="201"/>
      <c r="QQJ685" s="201"/>
      <c r="QQK685" s="201"/>
      <c r="QQL685" s="201"/>
      <c r="QQM685" s="201"/>
      <c r="QQN685" s="201"/>
      <c r="QQO685" s="201"/>
      <c r="QQP685" s="201"/>
      <c r="QQQ685" s="201"/>
      <c r="QQR685" s="201"/>
      <c r="QQS685" s="201"/>
      <c r="QQT685" s="201"/>
      <c r="QQU685" s="201"/>
      <c r="QQV685" s="201"/>
      <c r="QQW685" s="201"/>
      <c r="QQX685" s="201"/>
      <c r="QQY685" s="201"/>
      <c r="QQZ685" s="201"/>
      <c r="QRA685" s="201"/>
      <c r="QRB685" s="201"/>
      <c r="QRC685" s="201"/>
      <c r="QRD685" s="201"/>
      <c r="QRE685" s="201"/>
      <c r="QRF685" s="201"/>
      <c r="QRG685" s="201"/>
      <c r="QRH685" s="201"/>
      <c r="QRI685" s="201"/>
      <c r="QRJ685" s="201"/>
      <c r="QRK685" s="201"/>
      <c r="QRL685" s="201"/>
      <c r="QRM685" s="201"/>
      <c r="QRN685" s="201"/>
      <c r="QRO685" s="201"/>
      <c r="QRP685" s="201"/>
      <c r="QRQ685" s="201"/>
      <c r="QRR685" s="201"/>
      <c r="QRS685" s="201"/>
      <c r="QRT685" s="201"/>
      <c r="QRU685" s="201"/>
      <c r="QRV685" s="201"/>
      <c r="QRW685" s="201"/>
      <c r="QRX685" s="201"/>
      <c r="QRY685" s="201"/>
      <c r="QRZ685" s="201"/>
      <c r="QSA685" s="201"/>
      <c r="QSB685" s="201"/>
      <c r="QSC685" s="201"/>
      <c r="QSD685" s="201"/>
      <c r="QSE685" s="201"/>
      <c r="QSF685" s="201"/>
      <c r="QSG685" s="201"/>
      <c r="QSH685" s="201"/>
      <c r="QSI685" s="201"/>
      <c r="QSJ685" s="201"/>
      <c r="QSK685" s="201"/>
      <c r="QSL685" s="201"/>
      <c r="QSM685" s="201"/>
      <c r="QSN685" s="201"/>
      <c r="QSO685" s="201"/>
      <c r="QSP685" s="201"/>
      <c r="QSQ685" s="201"/>
      <c r="QSR685" s="201"/>
      <c r="QSS685" s="201"/>
      <c r="QST685" s="201"/>
      <c r="QSU685" s="201"/>
      <c r="QSV685" s="201"/>
      <c r="QSW685" s="201"/>
      <c r="QSX685" s="201"/>
      <c r="QSY685" s="201"/>
      <c r="QSZ685" s="201"/>
      <c r="QTA685" s="201"/>
      <c r="QTB685" s="201"/>
      <c r="QTC685" s="201"/>
      <c r="QTD685" s="201"/>
      <c r="QTE685" s="201"/>
      <c r="QTF685" s="201"/>
      <c r="QTG685" s="201"/>
      <c r="QTH685" s="201"/>
      <c r="QTI685" s="201"/>
      <c r="QTJ685" s="201"/>
      <c r="QTK685" s="201"/>
      <c r="QTL685" s="201"/>
      <c r="QTM685" s="201"/>
      <c r="QTN685" s="201"/>
      <c r="QTO685" s="201"/>
      <c r="QTP685" s="201"/>
      <c r="QTQ685" s="201"/>
      <c r="QTR685" s="201"/>
      <c r="QTS685" s="201"/>
      <c r="QTT685" s="201"/>
      <c r="QTU685" s="201"/>
      <c r="QTV685" s="201"/>
      <c r="QTW685" s="201"/>
      <c r="QTX685" s="201"/>
      <c r="QTY685" s="201"/>
      <c r="QTZ685" s="201"/>
      <c r="QUA685" s="201"/>
      <c r="QUB685" s="201"/>
      <c r="QUC685" s="201"/>
      <c r="QUD685" s="201"/>
      <c r="QUE685" s="201"/>
      <c r="QUF685" s="201"/>
      <c r="QUG685" s="201"/>
      <c r="QUH685" s="201"/>
      <c r="QUI685" s="201"/>
      <c r="QUJ685" s="201"/>
      <c r="QUK685" s="201"/>
      <c r="QUL685" s="201"/>
      <c r="QUM685" s="201"/>
      <c r="QUN685" s="201"/>
      <c r="QUO685" s="201"/>
      <c r="QUP685" s="201"/>
      <c r="QUQ685" s="201"/>
      <c r="QUR685" s="201"/>
      <c r="QUS685" s="201"/>
      <c r="QUT685" s="201"/>
      <c r="QUU685" s="201"/>
      <c r="QUV685" s="201"/>
      <c r="QUW685" s="201"/>
      <c r="QUX685" s="201"/>
      <c r="QUY685" s="201"/>
      <c r="QUZ685" s="201"/>
      <c r="QVA685" s="201"/>
      <c r="QVB685" s="201"/>
      <c r="QVC685" s="201"/>
      <c r="QVD685" s="201"/>
      <c r="QVE685" s="201"/>
      <c r="QVF685" s="201"/>
      <c r="QVG685" s="201"/>
      <c r="QVH685" s="201"/>
      <c r="QVI685" s="201"/>
      <c r="QVJ685" s="201"/>
      <c r="QVK685" s="201"/>
      <c r="QVL685" s="201"/>
      <c r="QVM685" s="201"/>
      <c r="QVN685" s="201"/>
      <c r="QVO685" s="201"/>
      <c r="QVP685" s="201"/>
      <c r="QVQ685" s="201"/>
      <c r="QVR685" s="201"/>
      <c r="QVS685" s="201"/>
      <c r="QVT685" s="201"/>
      <c r="QVU685" s="201"/>
      <c r="QVV685" s="201"/>
      <c r="QVW685" s="201"/>
      <c r="QVX685" s="201"/>
      <c r="QVY685" s="201"/>
      <c r="QVZ685" s="201"/>
      <c r="QWA685" s="201"/>
      <c r="QWB685" s="201"/>
      <c r="QWC685" s="201"/>
      <c r="QWD685" s="201"/>
      <c r="QWE685" s="201"/>
      <c r="QWF685" s="201"/>
      <c r="QWG685" s="201"/>
      <c r="QWH685" s="201"/>
      <c r="QWI685" s="201"/>
      <c r="QWJ685" s="201"/>
      <c r="QWK685" s="201"/>
      <c r="QWL685" s="201"/>
      <c r="QWM685" s="201"/>
      <c r="QWN685" s="201"/>
      <c r="QWO685" s="201"/>
      <c r="QWP685" s="201"/>
      <c r="QWQ685" s="201"/>
      <c r="QWR685" s="201"/>
      <c r="QWS685" s="201"/>
      <c r="QWT685" s="201"/>
      <c r="QWU685" s="201"/>
      <c r="QWV685" s="201"/>
      <c r="QWW685" s="201"/>
      <c r="QWX685" s="201"/>
      <c r="QWY685" s="201"/>
      <c r="QWZ685" s="201"/>
      <c r="QXA685" s="201"/>
      <c r="QXB685" s="201"/>
      <c r="QXC685" s="201"/>
      <c r="QXD685" s="201"/>
      <c r="QXE685" s="201"/>
      <c r="QXF685" s="201"/>
      <c r="QXG685" s="201"/>
      <c r="QXH685" s="201"/>
      <c r="QXI685" s="201"/>
      <c r="QXJ685" s="201"/>
      <c r="QXK685" s="201"/>
      <c r="QXL685" s="201"/>
      <c r="QXM685" s="201"/>
      <c r="QXN685" s="201"/>
      <c r="QXO685" s="201"/>
      <c r="QXP685" s="201"/>
      <c r="QXQ685" s="201"/>
      <c r="QXR685" s="201"/>
      <c r="QXS685" s="201"/>
      <c r="QXT685" s="201"/>
      <c r="QXU685" s="201"/>
      <c r="QXV685" s="201"/>
      <c r="QXW685" s="201"/>
      <c r="QXX685" s="201"/>
      <c r="QXY685" s="201"/>
      <c r="QXZ685" s="201"/>
      <c r="QYA685" s="201"/>
      <c r="QYB685" s="201"/>
      <c r="QYC685" s="201"/>
      <c r="QYD685" s="201"/>
      <c r="QYE685" s="201"/>
      <c r="QYF685" s="201"/>
      <c r="QYG685" s="201"/>
      <c r="QYH685" s="201"/>
      <c r="QYI685" s="201"/>
      <c r="QYJ685" s="201"/>
      <c r="QYK685" s="201"/>
      <c r="QYL685" s="201"/>
      <c r="QYM685" s="201"/>
      <c r="QYN685" s="201"/>
      <c r="QYO685" s="201"/>
      <c r="QYP685" s="201"/>
      <c r="QYQ685" s="201"/>
      <c r="QYR685" s="201"/>
      <c r="QYS685" s="201"/>
      <c r="QYT685" s="201"/>
      <c r="QYU685" s="201"/>
      <c r="QYV685" s="201"/>
      <c r="QYW685" s="201"/>
      <c r="QYX685" s="201"/>
      <c r="QYY685" s="201"/>
      <c r="QYZ685" s="201"/>
      <c r="QZA685" s="201"/>
      <c r="QZB685" s="201"/>
      <c r="QZC685" s="201"/>
      <c r="QZD685" s="201"/>
      <c r="QZE685" s="201"/>
      <c r="QZF685" s="201"/>
      <c r="QZG685" s="201"/>
      <c r="QZH685" s="201"/>
      <c r="QZI685" s="201"/>
      <c r="QZJ685" s="201"/>
      <c r="QZK685" s="201"/>
      <c r="QZL685" s="201"/>
      <c r="QZM685" s="201"/>
      <c r="QZN685" s="201"/>
      <c r="QZO685" s="201"/>
      <c r="QZP685" s="201"/>
      <c r="QZQ685" s="201"/>
      <c r="QZR685" s="201"/>
      <c r="QZS685" s="201"/>
      <c r="QZT685" s="201"/>
      <c r="QZU685" s="201"/>
      <c r="QZV685" s="201"/>
      <c r="QZW685" s="201"/>
      <c r="QZX685" s="201"/>
      <c r="QZY685" s="201"/>
      <c r="QZZ685" s="201"/>
      <c r="RAA685" s="201"/>
      <c r="RAB685" s="201"/>
      <c r="RAC685" s="201"/>
      <c r="RAD685" s="201"/>
      <c r="RAE685" s="201"/>
      <c r="RAF685" s="201"/>
      <c r="RAG685" s="201"/>
      <c r="RAH685" s="201"/>
      <c r="RAI685" s="201"/>
      <c r="RAJ685" s="201"/>
      <c r="RAK685" s="201"/>
      <c r="RAL685" s="201"/>
      <c r="RAM685" s="201"/>
      <c r="RAN685" s="201"/>
      <c r="RAO685" s="201"/>
      <c r="RAP685" s="201"/>
      <c r="RAQ685" s="201"/>
      <c r="RAR685" s="201"/>
      <c r="RAS685" s="201"/>
      <c r="RAT685" s="201"/>
      <c r="RAU685" s="201"/>
      <c r="RAV685" s="201"/>
      <c r="RAW685" s="201"/>
      <c r="RAX685" s="201"/>
      <c r="RAY685" s="201"/>
      <c r="RAZ685" s="201"/>
      <c r="RBA685" s="201"/>
      <c r="RBB685" s="201"/>
      <c r="RBC685" s="201"/>
      <c r="RBD685" s="201"/>
      <c r="RBE685" s="201"/>
      <c r="RBF685" s="201"/>
      <c r="RBG685" s="201"/>
      <c r="RBH685" s="201"/>
      <c r="RBI685" s="201"/>
      <c r="RBJ685" s="201"/>
      <c r="RBK685" s="201"/>
      <c r="RBL685" s="201"/>
      <c r="RBM685" s="201"/>
      <c r="RBN685" s="201"/>
      <c r="RBO685" s="201"/>
      <c r="RBP685" s="201"/>
      <c r="RBQ685" s="201"/>
      <c r="RBR685" s="201"/>
      <c r="RBS685" s="201"/>
      <c r="RBT685" s="201"/>
      <c r="RBU685" s="201"/>
      <c r="RBV685" s="201"/>
      <c r="RBW685" s="201"/>
      <c r="RBX685" s="201"/>
      <c r="RBY685" s="201"/>
      <c r="RBZ685" s="201"/>
      <c r="RCA685" s="201"/>
      <c r="RCB685" s="201"/>
      <c r="RCC685" s="201"/>
      <c r="RCD685" s="201"/>
      <c r="RCE685" s="201"/>
      <c r="RCF685" s="201"/>
      <c r="RCG685" s="201"/>
      <c r="RCH685" s="201"/>
      <c r="RCI685" s="201"/>
      <c r="RCJ685" s="201"/>
      <c r="RCK685" s="201"/>
      <c r="RCL685" s="201"/>
      <c r="RCM685" s="201"/>
      <c r="RCN685" s="201"/>
      <c r="RCO685" s="201"/>
      <c r="RCP685" s="201"/>
      <c r="RCQ685" s="201"/>
      <c r="RCR685" s="201"/>
      <c r="RCS685" s="201"/>
      <c r="RCT685" s="201"/>
      <c r="RCU685" s="201"/>
      <c r="RCV685" s="201"/>
      <c r="RCW685" s="201"/>
      <c r="RCX685" s="201"/>
      <c r="RCY685" s="201"/>
      <c r="RCZ685" s="201"/>
      <c r="RDA685" s="201"/>
      <c r="RDB685" s="201"/>
      <c r="RDC685" s="201"/>
      <c r="RDD685" s="201"/>
      <c r="RDE685" s="201"/>
      <c r="RDF685" s="201"/>
      <c r="RDG685" s="201"/>
      <c r="RDH685" s="201"/>
      <c r="RDI685" s="201"/>
      <c r="RDJ685" s="201"/>
      <c r="RDK685" s="201"/>
      <c r="RDL685" s="201"/>
      <c r="RDM685" s="201"/>
      <c r="RDN685" s="201"/>
      <c r="RDO685" s="201"/>
      <c r="RDP685" s="201"/>
      <c r="RDQ685" s="201"/>
      <c r="RDR685" s="201"/>
      <c r="RDS685" s="201"/>
      <c r="RDT685" s="201"/>
      <c r="RDU685" s="201"/>
      <c r="RDV685" s="201"/>
      <c r="RDW685" s="201"/>
      <c r="RDX685" s="201"/>
      <c r="RDY685" s="201"/>
      <c r="RDZ685" s="201"/>
      <c r="REA685" s="201"/>
      <c r="REB685" s="201"/>
      <c r="REC685" s="201"/>
      <c r="RED685" s="201"/>
      <c r="REE685" s="201"/>
      <c r="REF685" s="201"/>
      <c r="REG685" s="201"/>
      <c r="REH685" s="201"/>
      <c r="REI685" s="201"/>
      <c r="REJ685" s="201"/>
      <c r="REK685" s="201"/>
      <c r="REL685" s="201"/>
      <c r="REM685" s="201"/>
      <c r="REN685" s="201"/>
      <c r="REO685" s="201"/>
      <c r="REP685" s="201"/>
      <c r="REQ685" s="201"/>
      <c r="RER685" s="201"/>
      <c r="RES685" s="201"/>
      <c r="RET685" s="201"/>
      <c r="REU685" s="201"/>
      <c r="REV685" s="201"/>
      <c r="REW685" s="201"/>
      <c r="REX685" s="201"/>
      <c r="REY685" s="201"/>
      <c r="REZ685" s="201"/>
      <c r="RFA685" s="201"/>
      <c r="RFB685" s="201"/>
      <c r="RFC685" s="201"/>
      <c r="RFD685" s="201"/>
      <c r="RFE685" s="201"/>
      <c r="RFF685" s="201"/>
      <c r="RFG685" s="201"/>
      <c r="RFH685" s="201"/>
      <c r="RFI685" s="201"/>
      <c r="RFJ685" s="201"/>
      <c r="RFK685" s="201"/>
      <c r="RFL685" s="201"/>
      <c r="RFM685" s="201"/>
      <c r="RFN685" s="201"/>
      <c r="RFO685" s="201"/>
      <c r="RFP685" s="201"/>
      <c r="RFQ685" s="201"/>
      <c r="RFR685" s="201"/>
      <c r="RFS685" s="201"/>
      <c r="RFT685" s="201"/>
      <c r="RFU685" s="201"/>
      <c r="RFV685" s="201"/>
      <c r="RFW685" s="201"/>
      <c r="RFX685" s="201"/>
      <c r="RFY685" s="201"/>
      <c r="RFZ685" s="201"/>
      <c r="RGA685" s="201"/>
      <c r="RGB685" s="201"/>
      <c r="RGC685" s="201"/>
      <c r="RGD685" s="201"/>
      <c r="RGE685" s="201"/>
      <c r="RGF685" s="201"/>
      <c r="RGG685" s="201"/>
      <c r="RGH685" s="201"/>
      <c r="RGI685" s="201"/>
      <c r="RGJ685" s="201"/>
      <c r="RGK685" s="201"/>
      <c r="RGL685" s="201"/>
      <c r="RGM685" s="201"/>
      <c r="RGN685" s="201"/>
      <c r="RGO685" s="201"/>
      <c r="RGP685" s="201"/>
      <c r="RGQ685" s="201"/>
      <c r="RGR685" s="201"/>
      <c r="RGS685" s="201"/>
      <c r="RGT685" s="201"/>
      <c r="RGU685" s="201"/>
      <c r="RGV685" s="201"/>
      <c r="RGW685" s="201"/>
      <c r="RGX685" s="201"/>
      <c r="RGY685" s="201"/>
      <c r="RGZ685" s="201"/>
      <c r="RHA685" s="201"/>
      <c r="RHB685" s="201"/>
      <c r="RHC685" s="201"/>
      <c r="RHD685" s="201"/>
      <c r="RHE685" s="201"/>
      <c r="RHF685" s="201"/>
      <c r="RHG685" s="201"/>
      <c r="RHH685" s="201"/>
      <c r="RHI685" s="201"/>
      <c r="RHJ685" s="201"/>
      <c r="RHK685" s="201"/>
      <c r="RHL685" s="201"/>
      <c r="RHM685" s="201"/>
      <c r="RHN685" s="201"/>
      <c r="RHO685" s="201"/>
      <c r="RHP685" s="201"/>
      <c r="RHQ685" s="201"/>
      <c r="RHR685" s="201"/>
      <c r="RHS685" s="201"/>
      <c r="RHT685" s="201"/>
      <c r="RHU685" s="201"/>
      <c r="RHV685" s="201"/>
      <c r="RHW685" s="201"/>
      <c r="RHX685" s="201"/>
      <c r="RHY685" s="201"/>
      <c r="RHZ685" s="201"/>
      <c r="RIA685" s="201"/>
      <c r="RIB685" s="201"/>
      <c r="RIC685" s="201"/>
      <c r="RID685" s="201"/>
      <c r="RIE685" s="201"/>
      <c r="RIF685" s="201"/>
      <c r="RIG685" s="201"/>
      <c r="RIH685" s="201"/>
      <c r="RII685" s="201"/>
      <c r="RIJ685" s="201"/>
      <c r="RIK685" s="201"/>
      <c r="RIL685" s="201"/>
      <c r="RIM685" s="201"/>
      <c r="RIN685" s="201"/>
      <c r="RIO685" s="201"/>
      <c r="RIP685" s="201"/>
      <c r="RIQ685" s="201"/>
      <c r="RIR685" s="201"/>
      <c r="RIS685" s="201"/>
      <c r="RIT685" s="201"/>
      <c r="RIU685" s="201"/>
      <c r="RIV685" s="201"/>
      <c r="RIW685" s="201"/>
      <c r="RIX685" s="201"/>
      <c r="RIY685" s="201"/>
      <c r="RIZ685" s="201"/>
      <c r="RJA685" s="201"/>
      <c r="RJB685" s="201"/>
      <c r="RJC685" s="201"/>
      <c r="RJD685" s="201"/>
      <c r="RJE685" s="201"/>
      <c r="RJF685" s="201"/>
      <c r="RJG685" s="201"/>
      <c r="RJH685" s="201"/>
      <c r="RJI685" s="201"/>
      <c r="RJJ685" s="201"/>
      <c r="RJK685" s="201"/>
      <c r="RJL685" s="201"/>
      <c r="RJM685" s="201"/>
      <c r="RJN685" s="201"/>
      <c r="RJO685" s="201"/>
      <c r="RJP685" s="201"/>
      <c r="RJQ685" s="201"/>
      <c r="RJR685" s="201"/>
      <c r="RJS685" s="201"/>
      <c r="RJT685" s="201"/>
      <c r="RJU685" s="201"/>
      <c r="RJV685" s="201"/>
      <c r="RJW685" s="201"/>
      <c r="RJX685" s="201"/>
      <c r="RJY685" s="201"/>
      <c r="RJZ685" s="201"/>
      <c r="RKA685" s="201"/>
      <c r="RKB685" s="201"/>
      <c r="RKC685" s="201"/>
      <c r="RKD685" s="201"/>
      <c r="RKE685" s="201"/>
      <c r="RKF685" s="201"/>
      <c r="RKG685" s="201"/>
      <c r="RKH685" s="201"/>
      <c r="RKI685" s="201"/>
      <c r="RKJ685" s="201"/>
      <c r="RKK685" s="201"/>
      <c r="RKL685" s="201"/>
      <c r="RKM685" s="201"/>
      <c r="RKN685" s="201"/>
      <c r="RKO685" s="201"/>
      <c r="RKP685" s="201"/>
      <c r="RKQ685" s="201"/>
      <c r="RKR685" s="201"/>
      <c r="RKS685" s="201"/>
      <c r="RKT685" s="201"/>
      <c r="RKU685" s="201"/>
      <c r="RKV685" s="201"/>
      <c r="RKW685" s="201"/>
      <c r="RKX685" s="201"/>
      <c r="RKY685" s="201"/>
      <c r="RKZ685" s="201"/>
      <c r="RLA685" s="201"/>
      <c r="RLB685" s="201"/>
      <c r="RLC685" s="201"/>
      <c r="RLD685" s="201"/>
      <c r="RLE685" s="201"/>
      <c r="RLF685" s="201"/>
      <c r="RLG685" s="201"/>
      <c r="RLH685" s="201"/>
      <c r="RLI685" s="201"/>
      <c r="RLJ685" s="201"/>
      <c r="RLK685" s="201"/>
      <c r="RLL685" s="201"/>
      <c r="RLM685" s="201"/>
      <c r="RLN685" s="201"/>
      <c r="RLO685" s="201"/>
      <c r="RLP685" s="201"/>
      <c r="RLQ685" s="201"/>
      <c r="RLR685" s="201"/>
      <c r="RLS685" s="201"/>
      <c r="RLT685" s="201"/>
      <c r="RLU685" s="201"/>
      <c r="RLV685" s="201"/>
      <c r="RLW685" s="201"/>
      <c r="RLX685" s="201"/>
      <c r="RLY685" s="201"/>
      <c r="RLZ685" s="201"/>
      <c r="RMA685" s="201"/>
      <c r="RMB685" s="201"/>
      <c r="RMC685" s="201"/>
      <c r="RMD685" s="201"/>
      <c r="RME685" s="201"/>
      <c r="RMF685" s="201"/>
      <c r="RMG685" s="201"/>
      <c r="RMH685" s="201"/>
      <c r="RMI685" s="201"/>
      <c r="RMJ685" s="201"/>
      <c r="RMK685" s="201"/>
      <c r="RML685" s="201"/>
      <c r="RMM685" s="201"/>
      <c r="RMN685" s="201"/>
      <c r="RMO685" s="201"/>
      <c r="RMP685" s="201"/>
      <c r="RMQ685" s="201"/>
      <c r="RMR685" s="201"/>
      <c r="RMS685" s="201"/>
      <c r="RMT685" s="201"/>
      <c r="RMU685" s="201"/>
      <c r="RMV685" s="201"/>
      <c r="RMW685" s="201"/>
      <c r="RMX685" s="201"/>
      <c r="RMY685" s="201"/>
      <c r="RMZ685" s="201"/>
      <c r="RNA685" s="201"/>
      <c r="RNB685" s="201"/>
      <c r="RNC685" s="201"/>
      <c r="RND685" s="201"/>
      <c r="RNE685" s="201"/>
      <c r="RNF685" s="201"/>
      <c r="RNG685" s="201"/>
      <c r="RNH685" s="201"/>
      <c r="RNI685" s="201"/>
      <c r="RNJ685" s="201"/>
      <c r="RNK685" s="201"/>
      <c r="RNL685" s="201"/>
      <c r="RNM685" s="201"/>
      <c r="RNN685" s="201"/>
      <c r="RNO685" s="201"/>
      <c r="RNP685" s="201"/>
      <c r="RNQ685" s="201"/>
      <c r="RNR685" s="201"/>
      <c r="RNS685" s="201"/>
      <c r="RNT685" s="201"/>
      <c r="RNU685" s="201"/>
      <c r="RNV685" s="201"/>
      <c r="RNW685" s="201"/>
      <c r="RNX685" s="201"/>
      <c r="RNY685" s="201"/>
      <c r="RNZ685" s="201"/>
      <c r="ROA685" s="201"/>
      <c r="ROB685" s="201"/>
      <c r="ROC685" s="201"/>
      <c r="ROD685" s="201"/>
      <c r="ROE685" s="201"/>
      <c r="ROF685" s="201"/>
      <c r="ROG685" s="201"/>
      <c r="ROH685" s="201"/>
      <c r="ROI685" s="201"/>
      <c r="ROJ685" s="201"/>
      <c r="ROK685" s="201"/>
      <c r="ROL685" s="201"/>
      <c r="ROM685" s="201"/>
      <c r="RON685" s="201"/>
      <c r="ROO685" s="201"/>
      <c r="ROP685" s="201"/>
      <c r="ROQ685" s="201"/>
      <c r="ROR685" s="201"/>
      <c r="ROS685" s="201"/>
      <c r="ROT685" s="201"/>
      <c r="ROU685" s="201"/>
      <c r="ROV685" s="201"/>
      <c r="ROW685" s="201"/>
      <c r="ROX685" s="201"/>
      <c r="ROY685" s="201"/>
      <c r="ROZ685" s="201"/>
      <c r="RPA685" s="201"/>
      <c r="RPB685" s="201"/>
      <c r="RPC685" s="201"/>
      <c r="RPD685" s="201"/>
      <c r="RPE685" s="201"/>
      <c r="RPF685" s="201"/>
      <c r="RPG685" s="201"/>
      <c r="RPH685" s="201"/>
      <c r="RPI685" s="201"/>
      <c r="RPJ685" s="201"/>
      <c r="RPK685" s="201"/>
      <c r="RPL685" s="201"/>
      <c r="RPM685" s="201"/>
      <c r="RPN685" s="201"/>
      <c r="RPO685" s="201"/>
      <c r="RPP685" s="201"/>
      <c r="RPQ685" s="201"/>
      <c r="RPR685" s="201"/>
      <c r="RPS685" s="201"/>
      <c r="RPT685" s="201"/>
      <c r="RPU685" s="201"/>
      <c r="RPV685" s="201"/>
      <c r="RPW685" s="201"/>
      <c r="RPX685" s="201"/>
      <c r="RPY685" s="201"/>
      <c r="RPZ685" s="201"/>
      <c r="RQA685" s="201"/>
      <c r="RQB685" s="201"/>
      <c r="RQC685" s="201"/>
      <c r="RQD685" s="201"/>
      <c r="RQE685" s="201"/>
      <c r="RQF685" s="201"/>
      <c r="RQG685" s="201"/>
      <c r="RQH685" s="201"/>
      <c r="RQI685" s="201"/>
      <c r="RQJ685" s="201"/>
      <c r="RQK685" s="201"/>
      <c r="RQL685" s="201"/>
      <c r="RQM685" s="201"/>
      <c r="RQN685" s="201"/>
      <c r="RQO685" s="201"/>
      <c r="RQP685" s="201"/>
      <c r="RQQ685" s="201"/>
      <c r="RQR685" s="201"/>
      <c r="RQS685" s="201"/>
      <c r="RQT685" s="201"/>
      <c r="RQU685" s="201"/>
      <c r="RQV685" s="201"/>
      <c r="RQW685" s="201"/>
      <c r="RQX685" s="201"/>
      <c r="RQY685" s="201"/>
      <c r="RQZ685" s="201"/>
      <c r="RRA685" s="201"/>
      <c r="RRB685" s="201"/>
      <c r="RRC685" s="201"/>
      <c r="RRD685" s="201"/>
      <c r="RRE685" s="201"/>
      <c r="RRF685" s="201"/>
      <c r="RRG685" s="201"/>
      <c r="RRH685" s="201"/>
      <c r="RRI685" s="201"/>
      <c r="RRJ685" s="201"/>
      <c r="RRK685" s="201"/>
      <c r="RRL685" s="201"/>
      <c r="RRM685" s="201"/>
      <c r="RRN685" s="201"/>
      <c r="RRO685" s="201"/>
      <c r="RRP685" s="201"/>
      <c r="RRQ685" s="201"/>
      <c r="RRR685" s="201"/>
      <c r="RRS685" s="201"/>
      <c r="RRT685" s="201"/>
      <c r="RRU685" s="201"/>
      <c r="RRV685" s="201"/>
      <c r="RRW685" s="201"/>
      <c r="RRX685" s="201"/>
      <c r="RRY685" s="201"/>
      <c r="RRZ685" s="201"/>
      <c r="RSA685" s="201"/>
      <c r="RSB685" s="201"/>
      <c r="RSC685" s="201"/>
      <c r="RSD685" s="201"/>
      <c r="RSE685" s="201"/>
      <c r="RSF685" s="201"/>
      <c r="RSG685" s="201"/>
      <c r="RSH685" s="201"/>
      <c r="RSI685" s="201"/>
      <c r="RSJ685" s="201"/>
      <c r="RSK685" s="201"/>
      <c r="RSL685" s="201"/>
      <c r="RSM685" s="201"/>
      <c r="RSN685" s="201"/>
      <c r="RSO685" s="201"/>
      <c r="RSP685" s="201"/>
      <c r="RSQ685" s="201"/>
      <c r="RSR685" s="201"/>
      <c r="RSS685" s="201"/>
      <c r="RST685" s="201"/>
      <c r="RSU685" s="201"/>
      <c r="RSV685" s="201"/>
      <c r="RSW685" s="201"/>
      <c r="RSX685" s="201"/>
      <c r="RSY685" s="201"/>
      <c r="RSZ685" s="201"/>
      <c r="RTA685" s="201"/>
      <c r="RTB685" s="201"/>
      <c r="RTC685" s="201"/>
      <c r="RTD685" s="201"/>
      <c r="RTE685" s="201"/>
      <c r="RTF685" s="201"/>
      <c r="RTG685" s="201"/>
      <c r="RTH685" s="201"/>
      <c r="RTI685" s="201"/>
      <c r="RTJ685" s="201"/>
      <c r="RTK685" s="201"/>
      <c r="RTL685" s="201"/>
      <c r="RTM685" s="201"/>
      <c r="RTN685" s="201"/>
      <c r="RTO685" s="201"/>
      <c r="RTP685" s="201"/>
      <c r="RTQ685" s="201"/>
      <c r="RTR685" s="201"/>
      <c r="RTS685" s="201"/>
      <c r="RTT685" s="201"/>
      <c r="RTU685" s="201"/>
      <c r="RTV685" s="201"/>
      <c r="RTW685" s="201"/>
      <c r="RTX685" s="201"/>
      <c r="RTY685" s="201"/>
      <c r="RTZ685" s="201"/>
      <c r="RUA685" s="201"/>
      <c r="RUB685" s="201"/>
      <c r="RUC685" s="201"/>
      <c r="RUD685" s="201"/>
      <c r="RUE685" s="201"/>
      <c r="RUF685" s="201"/>
      <c r="RUG685" s="201"/>
      <c r="RUH685" s="201"/>
      <c r="RUI685" s="201"/>
      <c r="RUJ685" s="201"/>
      <c r="RUK685" s="201"/>
      <c r="RUL685" s="201"/>
      <c r="RUM685" s="201"/>
      <c r="RUN685" s="201"/>
      <c r="RUO685" s="201"/>
      <c r="RUP685" s="201"/>
      <c r="RUQ685" s="201"/>
      <c r="RUR685" s="201"/>
      <c r="RUS685" s="201"/>
      <c r="RUT685" s="201"/>
      <c r="RUU685" s="201"/>
      <c r="RUV685" s="201"/>
      <c r="RUW685" s="201"/>
      <c r="RUX685" s="201"/>
      <c r="RUY685" s="201"/>
      <c r="RUZ685" s="201"/>
      <c r="RVA685" s="201"/>
      <c r="RVB685" s="201"/>
      <c r="RVC685" s="201"/>
      <c r="RVD685" s="201"/>
      <c r="RVE685" s="201"/>
      <c r="RVF685" s="201"/>
      <c r="RVG685" s="201"/>
      <c r="RVH685" s="201"/>
      <c r="RVI685" s="201"/>
      <c r="RVJ685" s="201"/>
      <c r="RVK685" s="201"/>
      <c r="RVL685" s="201"/>
      <c r="RVM685" s="201"/>
      <c r="RVN685" s="201"/>
      <c r="RVO685" s="201"/>
      <c r="RVP685" s="201"/>
      <c r="RVQ685" s="201"/>
      <c r="RVR685" s="201"/>
      <c r="RVS685" s="201"/>
      <c r="RVT685" s="201"/>
      <c r="RVU685" s="201"/>
      <c r="RVV685" s="201"/>
      <c r="RVW685" s="201"/>
      <c r="RVX685" s="201"/>
      <c r="RVY685" s="201"/>
      <c r="RVZ685" s="201"/>
      <c r="RWA685" s="201"/>
      <c r="RWB685" s="201"/>
      <c r="RWC685" s="201"/>
      <c r="RWD685" s="201"/>
      <c r="RWE685" s="201"/>
      <c r="RWF685" s="201"/>
      <c r="RWG685" s="201"/>
      <c r="RWH685" s="201"/>
      <c r="RWI685" s="201"/>
      <c r="RWJ685" s="201"/>
      <c r="RWK685" s="201"/>
      <c r="RWL685" s="201"/>
      <c r="RWM685" s="201"/>
      <c r="RWN685" s="201"/>
      <c r="RWO685" s="201"/>
      <c r="RWP685" s="201"/>
      <c r="RWQ685" s="201"/>
      <c r="RWR685" s="201"/>
      <c r="RWS685" s="201"/>
      <c r="RWT685" s="201"/>
      <c r="RWU685" s="201"/>
      <c r="RWV685" s="201"/>
      <c r="RWW685" s="201"/>
      <c r="RWX685" s="201"/>
      <c r="RWY685" s="201"/>
      <c r="RWZ685" s="201"/>
      <c r="RXA685" s="201"/>
      <c r="RXB685" s="201"/>
      <c r="RXC685" s="201"/>
      <c r="RXD685" s="201"/>
      <c r="RXE685" s="201"/>
      <c r="RXF685" s="201"/>
      <c r="RXG685" s="201"/>
      <c r="RXH685" s="201"/>
      <c r="RXI685" s="201"/>
      <c r="RXJ685" s="201"/>
      <c r="RXK685" s="201"/>
      <c r="RXL685" s="201"/>
      <c r="RXM685" s="201"/>
      <c r="RXN685" s="201"/>
      <c r="RXO685" s="201"/>
      <c r="RXP685" s="201"/>
      <c r="RXQ685" s="201"/>
      <c r="RXR685" s="201"/>
      <c r="RXS685" s="201"/>
      <c r="RXT685" s="201"/>
      <c r="RXU685" s="201"/>
      <c r="RXV685" s="201"/>
      <c r="RXW685" s="201"/>
      <c r="RXX685" s="201"/>
      <c r="RXY685" s="201"/>
      <c r="RXZ685" s="201"/>
      <c r="RYA685" s="201"/>
      <c r="RYB685" s="201"/>
      <c r="RYC685" s="201"/>
      <c r="RYD685" s="201"/>
      <c r="RYE685" s="201"/>
      <c r="RYF685" s="201"/>
      <c r="RYG685" s="201"/>
      <c r="RYH685" s="201"/>
      <c r="RYI685" s="201"/>
      <c r="RYJ685" s="201"/>
      <c r="RYK685" s="201"/>
      <c r="RYL685" s="201"/>
      <c r="RYM685" s="201"/>
      <c r="RYN685" s="201"/>
      <c r="RYO685" s="201"/>
      <c r="RYP685" s="201"/>
      <c r="RYQ685" s="201"/>
      <c r="RYR685" s="201"/>
      <c r="RYS685" s="201"/>
      <c r="RYT685" s="201"/>
      <c r="RYU685" s="201"/>
      <c r="RYV685" s="201"/>
      <c r="RYW685" s="201"/>
      <c r="RYX685" s="201"/>
      <c r="RYY685" s="201"/>
      <c r="RYZ685" s="201"/>
      <c r="RZA685" s="201"/>
      <c r="RZB685" s="201"/>
      <c r="RZC685" s="201"/>
      <c r="RZD685" s="201"/>
      <c r="RZE685" s="201"/>
      <c r="RZF685" s="201"/>
      <c r="RZG685" s="201"/>
      <c r="RZH685" s="201"/>
      <c r="RZI685" s="201"/>
      <c r="RZJ685" s="201"/>
      <c r="RZK685" s="201"/>
      <c r="RZL685" s="201"/>
      <c r="RZM685" s="201"/>
      <c r="RZN685" s="201"/>
      <c r="RZO685" s="201"/>
      <c r="RZP685" s="201"/>
      <c r="RZQ685" s="201"/>
      <c r="RZR685" s="201"/>
      <c r="RZS685" s="201"/>
      <c r="RZT685" s="201"/>
      <c r="RZU685" s="201"/>
      <c r="RZV685" s="201"/>
      <c r="RZW685" s="201"/>
      <c r="RZX685" s="201"/>
      <c r="RZY685" s="201"/>
      <c r="RZZ685" s="201"/>
      <c r="SAA685" s="201"/>
      <c r="SAB685" s="201"/>
      <c r="SAC685" s="201"/>
      <c r="SAD685" s="201"/>
      <c r="SAE685" s="201"/>
      <c r="SAF685" s="201"/>
      <c r="SAG685" s="201"/>
      <c r="SAH685" s="201"/>
      <c r="SAI685" s="201"/>
      <c r="SAJ685" s="201"/>
      <c r="SAK685" s="201"/>
      <c r="SAL685" s="201"/>
      <c r="SAM685" s="201"/>
      <c r="SAN685" s="201"/>
      <c r="SAO685" s="201"/>
      <c r="SAP685" s="201"/>
      <c r="SAQ685" s="201"/>
      <c r="SAR685" s="201"/>
      <c r="SAS685" s="201"/>
      <c r="SAT685" s="201"/>
      <c r="SAU685" s="201"/>
      <c r="SAV685" s="201"/>
      <c r="SAW685" s="201"/>
      <c r="SAX685" s="201"/>
      <c r="SAY685" s="201"/>
      <c r="SAZ685" s="201"/>
      <c r="SBA685" s="201"/>
      <c r="SBB685" s="201"/>
      <c r="SBC685" s="201"/>
      <c r="SBD685" s="201"/>
      <c r="SBE685" s="201"/>
      <c r="SBF685" s="201"/>
      <c r="SBG685" s="201"/>
      <c r="SBH685" s="201"/>
      <c r="SBI685" s="201"/>
      <c r="SBJ685" s="201"/>
      <c r="SBK685" s="201"/>
      <c r="SBL685" s="201"/>
      <c r="SBM685" s="201"/>
      <c r="SBN685" s="201"/>
      <c r="SBO685" s="201"/>
      <c r="SBP685" s="201"/>
      <c r="SBQ685" s="201"/>
      <c r="SBR685" s="201"/>
      <c r="SBS685" s="201"/>
      <c r="SBT685" s="201"/>
      <c r="SBU685" s="201"/>
      <c r="SBV685" s="201"/>
      <c r="SBW685" s="201"/>
      <c r="SBX685" s="201"/>
      <c r="SBY685" s="201"/>
      <c r="SBZ685" s="201"/>
      <c r="SCA685" s="201"/>
      <c r="SCB685" s="201"/>
      <c r="SCC685" s="201"/>
      <c r="SCD685" s="201"/>
      <c r="SCE685" s="201"/>
      <c r="SCF685" s="201"/>
      <c r="SCG685" s="201"/>
      <c r="SCH685" s="201"/>
      <c r="SCI685" s="201"/>
      <c r="SCJ685" s="201"/>
      <c r="SCK685" s="201"/>
      <c r="SCL685" s="201"/>
      <c r="SCM685" s="201"/>
      <c r="SCN685" s="201"/>
      <c r="SCO685" s="201"/>
      <c r="SCP685" s="201"/>
      <c r="SCQ685" s="201"/>
      <c r="SCR685" s="201"/>
      <c r="SCS685" s="201"/>
      <c r="SCT685" s="201"/>
      <c r="SCU685" s="201"/>
      <c r="SCV685" s="201"/>
      <c r="SCW685" s="201"/>
      <c r="SCX685" s="201"/>
      <c r="SCY685" s="201"/>
      <c r="SCZ685" s="201"/>
      <c r="SDA685" s="201"/>
      <c r="SDB685" s="201"/>
      <c r="SDC685" s="201"/>
      <c r="SDD685" s="201"/>
      <c r="SDE685" s="201"/>
      <c r="SDF685" s="201"/>
      <c r="SDG685" s="201"/>
      <c r="SDH685" s="201"/>
      <c r="SDI685" s="201"/>
      <c r="SDJ685" s="201"/>
      <c r="SDK685" s="201"/>
      <c r="SDL685" s="201"/>
      <c r="SDM685" s="201"/>
      <c r="SDN685" s="201"/>
      <c r="SDO685" s="201"/>
      <c r="SDP685" s="201"/>
      <c r="SDQ685" s="201"/>
      <c r="SDR685" s="201"/>
      <c r="SDS685" s="201"/>
      <c r="SDT685" s="201"/>
      <c r="SDU685" s="201"/>
      <c r="SDV685" s="201"/>
      <c r="SDW685" s="201"/>
      <c r="SDX685" s="201"/>
      <c r="SDY685" s="201"/>
      <c r="SDZ685" s="201"/>
      <c r="SEA685" s="201"/>
      <c r="SEB685" s="201"/>
      <c r="SEC685" s="201"/>
      <c r="SED685" s="201"/>
      <c r="SEE685" s="201"/>
      <c r="SEF685" s="201"/>
      <c r="SEG685" s="201"/>
      <c r="SEH685" s="201"/>
      <c r="SEI685" s="201"/>
      <c r="SEJ685" s="201"/>
      <c r="SEK685" s="201"/>
      <c r="SEL685" s="201"/>
      <c r="SEM685" s="201"/>
      <c r="SEN685" s="201"/>
      <c r="SEO685" s="201"/>
      <c r="SEP685" s="201"/>
      <c r="SEQ685" s="201"/>
      <c r="SER685" s="201"/>
      <c r="SES685" s="201"/>
      <c r="SET685" s="201"/>
      <c r="SEU685" s="201"/>
      <c r="SEV685" s="201"/>
      <c r="SEW685" s="201"/>
      <c r="SEX685" s="201"/>
      <c r="SEY685" s="201"/>
      <c r="SEZ685" s="201"/>
      <c r="SFA685" s="201"/>
      <c r="SFB685" s="201"/>
      <c r="SFC685" s="201"/>
      <c r="SFD685" s="201"/>
      <c r="SFE685" s="201"/>
      <c r="SFF685" s="201"/>
      <c r="SFG685" s="201"/>
      <c r="SFH685" s="201"/>
      <c r="SFI685" s="201"/>
      <c r="SFJ685" s="201"/>
      <c r="SFK685" s="201"/>
      <c r="SFL685" s="201"/>
      <c r="SFM685" s="201"/>
      <c r="SFN685" s="201"/>
      <c r="SFO685" s="201"/>
      <c r="SFP685" s="201"/>
      <c r="SFQ685" s="201"/>
      <c r="SFR685" s="201"/>
      <c r="SFS685" s="201"/>
      <c r="SFT685" s="201"/>
      <c r="SFU685" s="201"/>
      <c r="SFV685" s="201"/>
      <c r="SFW685" s="201"/>
      <c r="SFX685" s="201"/>
      <c r="SFY685" s="201"/>
      <c r="SFZ685" s="201"/>
      <c r="SGA685" s="201"/>
      <c r="SGB685" s="201"/>
      <c r="SGC685" s="201"/>
      <c r="SGD685" s="201"/>
      <c r="SGE685" s="201"/>
      <c r="SGF685" s="201"/>
      <c r="SGG685" s="201"/>
      <c r="SGH685" s="201"/>
      <c r="SGI685" s="201"/>
      <c r="SGJ685" s="201"/>
      <c r="SGK685" s="201"/>
      <c r="SGL685" s="201"/>
      <c r="SGM685" s="201"/>
      <c r="SGN685" s="201"/>
      <c r="SGO685" s="201"/>
      <c r="SGP685" s="201"/>
      <c r="SGQ685" s="201"/>
      <c r="SGR685" s="201"/>
      <c r="SGS685" s="201"/>
      <c r="SGT685" s="201"/>
      <c r="SGU685" s="201"/>
      <c r="SGV685" s="201"/>
      <c r="SGW685" s="201"/>
      <c r="SGX685" s="201"/>
      <c r="SGY685" s="201"/>
      <c r="SGZ685" s="201"/>
      <c r="SHA685" s="201"/>
      <c r="SHB685" s="201"/>
      <c r="SHC685" s="201"/>
      <c r="SHD685" s="201"/>
      <c r="SHE685" s="201"/>
      <c r="SHF685" s="201"/>
      <c r="SHG685" s="201"/>
      <c r="SHH685" s="201"/>
      <c r="SHI685" s="201"/>
      <c r="SHJ685" s="201"/>
      <c r="SHK685" s="201"/>
      <c r="SHL685" s="201"/>
      <c r="SHM685" s="201"/>
      <c r="SHN685" s="201"/>
      <c r="SHO685" s="201"/>
      <c r="SHP685" s="201"/>
      <c r="SHQ685" s="201"/>
      <c r="SHR685" s="201"/>
      <c r="SHS685" s="201"/>
      <c r="SHT685" s="201"/>
      <c r="SHU685" s="201"/>
      <c r="SHV685" s="201"/>
      <c r="SHW685" s="201"/>
      <c r="SHX685" s="201"/>
      <c r="SHY685" s="201"/>
      <c r="SHZ685" s="201"/>
      <c r="SIA685" s="201"/>
      <c r="SIB685" s="201"/>
      <c r="SIC685" s="201"/>
      <c r="SID685" s="201"/>
      <c r="SIE685" s="201"/>
      <c r="SIF685" s="201"/>
      <c r="SIG685" s="201"/>
      <c r="SIH685" s="201"/>
      <c r="SII685" s="201"/>
      <c r="SIJ685" s="201"/>
      <c r="SIK685" s="201"/>
      <c r="SIL685" s="201"/>
      <c r="SIM685" s="201"/>
      <c r="SIN685" s="201"/>
      <c r="SIO685" s="201"/>
      <c r="SIP685" s="201"/>
      <c r="SIQ685" s="201"/>
      <c r="SIR685" s="201"/>
      <c r="SIS685" s="201"/>
      <c r="SIT685" s="201"/>
      <c r="SIU685" s="201"/>
      <c r="SIV685" s="201"/>
      <c r="SIW685" s="201"/>
      <c r="SIX685" s="201"/>
      <c r="SIY685" s="201"/>
      <c r="SIZ685" s="201"/>
      <c r="SJA685" s="201"/>
      <c r="SJB685" s="201"/>
      <c r="SJC685" s="201"/>
      <c r="SJD685" s="201"/>
      <c r="SJE685" s="201"/>
      <c r="SJF685" s="201"/>
      <c r="SJG685" s="201"/>
      <c r="SJH685" s="201"/>
      <c r="SJI685" s="201"/>
      <c r="SJJ685" s="201"/>
      <c r="SJK685" s="201"/>
      <c r="SJL685" s="201"/>
      <c r="SJM685" s="201"/>
      <c r="SJN685" s="201"/>
      <c r="SJO685" s="201"/>
      <c r="SJP685" s="201"/>
      <c r="SJQ685" s="201"/>
      <c r="SJR685" s="201"/>
      <c r="SJS685" s="201"/>
      <c r="SJT685" s="201"/>
      <c r="SJU685" s="201"/>
      <c r="SJV685" s="201"/>
      <c r="SJW685" s="201"/>
      <c r="SJX685" s="201"/>
      <c r="SJY685" s="201"/>
      <c r="SJZ685" s="201"/>
      <c r="SKA685" s="201"/>
      <c r="SKB685" s="201"/>
      <c r="SKC685" s="201"/>
      <c r="SKD685" s="201"/>
      <c r="SKE685" s="201"/>
      <c r="SKF685" s="201"/>
      <c r="SKG685" s="201"/>
      <c r="SKH685" s="201"/>
      <c r="SKI685" s="201"/>
      <c r="SKJ685" s="201"/>
      <c r="SKK685" s="201"/>
      <c r="SKL685" s="201"/>
      <c r="SKM685" s="201"/>
      <c r="SKN685" s="201"/>
      <c r="SKO685" s="201"/>
      <c r="SKP685" s="201"/>
      <c r="SKQ685" s="201"/>
      <c r="SKR685" s="201"/>
      <c r="SKS685" s="201"/>
      <c r="SKT685" s="201"/>
      <c r="SKU685" s="201"/>
      <c r="SKV685" s="201"/>
      <c r="SKW685" s="201"/>
      <c r="SKX685" s="201"/>
      <c r="SKY685" s="201"/>
      <c r="SKZ685" s="201"/>
      <c r="SLA685" s="201"/>
      <c r="SLB685" s="201"/>
      <c r="SLC685" s="201"/>
      <c r="SLD685" s="201"/>
      <c r="SLE685" s="201"/>
      <c r="SLF685" s="201"/>
      <c r="SLG685" s="201"/>
      <c r="SLH685" s="201"/>
      <c r="SLI685" s="201"/>
      <c r="SLJ685" s="201"/>
      <c r="SLK685" s="201"/>
      <c r="SLL685" s="201"/>
      <c r="SLM685" s="201"/>
      <c r="SLN685" s="201"/>
      <c r="SLO685" s="201"/>
      <c r="SLP685" s="201"/>
      <c r="SLQ685" s="201"/>
      <c r="SLR685" s="201"/>
      <c r="SLS685" s="201"/>
      <c r="SLT685" s="201"/>
      <c r="SLU685" s="201"/>
      <c r="SLV685" s="201"/>
      <c r="SLW685" s="201"/>
      <c r="SLX685" s="201"/>
      <c r="SLY685" s="201"/>
      <c r="SLZ685" s="201"/>
      <c r="SMA685" s="201"/>
      <c r="SMB685" s="201"/>
      <c r="SMC685" s="201"/>
      <c r="SMD685" s="201"/>
      <c r="SME685" s="201"/>
      <c r="SMF685" s="201"/>
      <c r="SMG685" s="201"/>
      <c r="SMH685" s="201"/>
      <c r="SMI685" s="201"/>
      <c r="SMJ685" s="201"/>
      <c r="SMK685" s="201"/>
      <c r="SML685" s="201"/>
      <c r="SMM685" s="201"/>
      <c r="SMN685" s="201"/>
      <c r="SMO685" s="201"/>
      <c r="SMP685" s="201"/>
      <c r="SMQ685" s="201"/>
      <c r="SMR685" s="201"/>
      <c r="SMS685" s="201"/>
      <c r="SMT685" s="201"/>
      <c r="SMU685" s="201"/>
      <c r="SMV685" s="201"/>
      <c r="SMW685" s="201"/>
      <c r="SMX685" s="201"/>
      <c r="SMY685" s="201"/>
      <c r="SMZ685" s="201"/>
      <c r="SNA685" s="201"/>
      <c r="SNB685" s="201"/>
      <c r="SNC685" s="201"/>
      <c r="SND685" s="201"/>
      <c r="SNE685" s="201"/>
      <c r="SNF685" s="201"/>
      <c r="SNG685" s="201"/>
      <c r="SNH685" s="201"/>
      <c r="SNI685" s="201"/>
      <c r="SNJ685" s="201"/>
      <c r="SNK685" s="201"/>
      <c r="SNL685" s="201"/>
      <c r="SNM685" s="201"/>
      <c r="SNN685" s="201"/>
      <c r="SNO685" s="201"/>
      <c r="SNP685" s="201"/>
      <c r="SNQ685" s="201"/>
      <c r="SNR685" s="201"/>
      <c r="SNS685" s="201"/>
      <c r="SNT685" s="201"/>
      <c r="SNU685" s="201"/>
      <c r="SNV685" s="201"/>
      <c r="SNW685" s="201"/>
      <c r="SNX685" s="201"/>
      <c r="SNY685" s="201"/>
      <c r="SNZ685" s="201"/>
      <c r="SOA685" s="201"/>
      <c r="SOB685" s="201"/>
      <c r="SOC685" s="201"/>
      <c r="SOD685" s="201"/>
      <c r="SOE685" s="201"/>
      <c r="SOF685" s="201"/>
      <c r="SOG685" s="201"/>
      <c r="SOH685" s="201"/>
      <c r="SOI685" s="201"/>
      <c r="SOJ685" s="201"/>
      <c r="SOK685" s="201"/>
      <c r="SOL685" s="201"/>
      <c r="SOM685" s="201"/>
      <c r="SON685" s="201"/>
      <c r="SOO685" s="201"/>
      <c r="SOP685" s="201"/>
      <c r="SOQ685" s="201"/>
      <c r="SOR685" s="201"/>
      <c r="SOS685" s="201"/>
      <c r="SOT685" s="201"/>
      <c r="SOU685" s="201"/>
      <c r="SOV685" s="201"/>
      <c r="SOW685" s="201"/>
      <c r="SOX685" s="201"/>
      <c r="SOY685" s="201"/>
      <c r="SOZ685" s="201"/>
      <c r="SPA685" s="201"/>
      <c r="SPB685" s="201"/>
      <c r="SPC685" s="201"/>
      <c r="SPD685" s="201"/>
      <c r="SPE685" s="201"/>
      <c r="SPF685" s="201"/>
      <c r="SPG685" s="201"/>
      <c r="SPH685" s="201"/>
      <c r="SPI685" s="201"/>
      <c r="SPJ685" s="201"/>
      <c r="SPK685" s="201"/>
      <c r="SPL685" s="201"/>
      <c r="SPM685" s="201"/>
      <c r="SPN685" s="201"/>
      <c r="SPO685" s="201"/>
      <c r="SPP685" s="201"/>
      <c r="SPQ685" s="201"/>
      <c r="SPR685" s="201"/>
      <c r="SPS685" s="201"/>
      <c r="SPT685" s="201"/>
      <c r="SPU685" s="201"/>
      <c r="SPV685" s="201"/>
      <c r="SPW685" s="201"/>
      <c r="SPX685" s="201"/>
      <c r="SPY685" s="201"/>
      <c r="SPZ685" s="201"/>
      <c r="SQA685" s="201"/>
      <c r="SQB685" s="201"/>
      <c r="SQC685" s="201"/>
      <c r="SQD685" s="201"/>
      <c r="SQE685" s="201"/>
      <c r="SQF685" s="201"/>
      <c r="SQG685" s="201"/>
      <c r="SQH685" s="201"/>
      <c r="SQI685" s="201"/>
      <c r="SQJ685" s="201"/>
      <c r="SQK685" s="201"/>
      <c r="SQL685" s="201"/>
      <c r="SQM685" s="201"/>
      <c r="SQN685" s="201"/>
      <c r="SQO685" s="201"/>
      <c r="SQP685" s="201"/>
      <c r="SQQ685" s="201"/>
      <c r="SQR685" s="201"/>
      <c r="SQS685" s="201"/>
      <c r="SQT685" s="201"/>
      <c r="SQU685" s="201"/>
      <c r="SQV685" s="201"/>
      <c r="SQW685" s="201"/>
      <c r="SQX685" s="201"/>
      <c r="SQY685" s="201"/>
      <c r="SQZ685" s="201"/>
      <c r="SRA685" s="201"/>
      <c r="SRB685" s="201"/>
      <c r="SRC685" s="201"/>
      <c r="SRD685" s="201"/>
      <c r="SRE685" s="201"/>
      <c r="SRF685" s="201"/>
      <c r="SRG685" s="201"/>
      <c r="SRH685" s="201"/>
      <c r="SRI685" s="201"/>
      <c r="SRJ685" s="201"/>
      <c r="SRK685" s="201"/>
      <c r="SRL685" s="201"/>
      <c r="SRM685" s="201"/>
      <c r="SRN685" s="201"/>
      <c r="SRO685" s="201"/>
      <c r="SRP685" s="201"/>
      <c r="SRQ685" s="201"/>
      <c r="SRR685" s="201"/>
      <c r="SRS685" s="201"/>
      <c r="SRT685" s="201"/>
      <c r="SRU685" s="201"/>
      <c r="SRV685" s="201"/>
      <c r="SRW685" s="201"/>
      <c r="SRX685" s="201"/>
      <c r="SRY685" s="201"/>
      <c r="SRZ685" s="201"/>
      <c r="SSA685" s="201"/>
      <c r="SSB685" s="201"/>
      <c r="SSC685" s="201"/>
      <c r="SSD685" s="201"/>
      <c r="SSE685" s="201"/>
      <c r="SSF685" s="201"/>
      <c r="SSG685" s="201"/>
      <c r="SSH685" s="201"/>
      <c r="SSI685" s="201"/>
      <c r="SSJ685" s="201"/>
      <c r="SSK685" s="201"/>
      <c r="SSL685" s="201"/>
      <c r="SSM685" s="201"/>
      <c r="SSN685" s="201"/>
      <c r="SSO685" s="201"/>
      <c r="SSP685" s="201"/>
      <c r="SSQ685" s="201"/>
      <c r="SSR685" s="201"/>
      <c r="SSS685" s="201"/>
      <c r="SST685" s="201"/>
      <c r="SSU685" s="201"/>
      <c r="SSV685" s="201"/>
      <c r="SSW685" s="201"/>
      <c r="SSX685" s="201"/>
      <c r="SSY685" s="201"/>
      <c r="SSZ685" s="201"/>
      <c r="STA685" s="201"/>
      <c r="STB685" s="201"/>
      <c r="STC685" s="201"/>
      <c r="STD685" s="201"/>
      <c r="STE685" s="201"/>
      <c r="STF685" s="201"/>
      <c r="STG685" s="201"/>
      <c r="STH685" s="201"/>
      <c r="STI685" s="201"/>
      <c r="STJ685" s="201"/>
      <c r="STK685" s="201"/>
      <c r="STL685" s="201"/>
      <c r="STM685" s="201"/>
      <c r="STN685" s="201"/>
      <c r="STO685" s="201"/>
      <c r="STP685" s="201"/>
      <c r="STQ685" s="201"/>
      <c r="STR685" s="201"/>
      <c r="STS685" s="201"/>
      <c r="STT685" s="201"/>
      <c r="STU685" s="201"/>
      <c r="STV685" s="201"/>
      <c r="STW685" s="201"/>
      <c r="STX685" s="201"/>
      <c r="STY685" s="201"/>
      <c r="STZ685" s="201"/>
      <c r="SUA685" s="201"/>
      <c r="SUB685" s="201"/>
      <c r="SUC685" s="201"/>
      <c r="SUD685" s="201"/>
      <c r="SUE685" s="201"/>
      <c r="SUF685" s="201"/>
      <c r="SUG685" s="201"/>
      <c r="SUH685" s="201"/>
      <c r="SUI685" s="201"/>
      <c r="SUJ685" s="201"/>
      <c r="SUK685" s="201"/>
      <c r="SUL685" s="201"/>
      <c r="SUM685" s="201"/>
      <c r="SUN685" s="201"/>
      <c r="SUO685" s="201"/>
      <c r="SUP685" s="201"/>
      <c r="SUQ685" s="201"/>
      <c r="SUR685" s="201"/>
      <c r="SUS685" s="201"/>
      <c r="SUT685" s="201"/>
      <c r="SUU685" s="201"/>
      <c r="SUV685" s="201"/>
      <c r="SUW685" s="201"/>
      <c r="SUX685" s="201"/>
      <c r="SUY685" s="201"/>
      <c r="SUZ685" s="201"/>
      <c r="SVA685" s="201"/>
      <c r="SVB685" s="201"/>
      <c r="SVC685" s="201"/>
      <c r="SVD685" s="201"/>
      <c r="SVE685" s="201"/>
      <c r="SVF685" s="201"/>
      <c r="SVG685" s="201"/>
      <c r="SVH685" s="201"/>
      <c r="SVI685" s="201"/>
      <c r="SVJ685" s="201"/>
      <c r="SVK685" s="201"/>
      <c r="SVL685" s="201"/>
      <c r="SVM685" s="201"/>
      <c r="SVN685" s="201"/>
      <c r="SVO685" s="201"/>
      <c r="SVP685" s="201"/>
      <c r="SVQ685" s="201"/>
      <c r="SVR685" s="201"/>
      <c r="SVS685" s="201"/>
      <c r="SVT685" s="201"/>
      <c r="SVU685" s="201"/>
      <c r="SVV685" s="201"/>
      <c r="SVW685" s="201"/>
      <c r="SVX685" s="201"/>
      <c r="SVY685" s="201"/>
      <c r="SVZ685" s="201"/>
      <c r="SWA685" s="201"/>
      <c r="SWB685" s="201"/>
      <c r="SWC685" s="201"/>
      <c r="SWD685" s="201"/>
      <c r="SWE685" s="201"/>
      <c r="SWF685" s="201"/>
      <c r="SWG685" s="201"/>
      <c r="SWH685" s="201"/>
      <c r="SWI685" s="201"/>
      <c r="SWJ685" s="201"/>
      <c r="SWK685" s="201"/>
      <c r="SWL685" s="201"/>
      <c r="SWM685" s="201"/>
      <c r="SWN685" s="201"/>
      <c r="SWO685" s="201"/>
      <c r="SWP685" s="201"/>
      <c r="SWQ685" s="201"/>
      <c r="SWR685" s="201"/>
      <c r="SWS685" s="201"/>
      <c r="SWT685" s="201"/>
      <c r="SWU685" s="201"/>
      <c r="SWV685" s="201"/>
      <c r="SWW685" s="201"/>
      <c r="SWX685" s="201"/>
      <c r="SWY685" s="201"/>
      <c r="SWZ685" s="201"/>
      <c r="SXA685" s="201"/>
      <c r="SXB685" s="201"/>
      <c r="SXC685" s="201"/>
      <c r="SXD685" s="201"/>
      <c r="SXE685" s="201"/>
      <c r="SXF685" s="201"/>
      <c r="SXG685" s="201"/>
      <c r="SXH685" s="201"/>
      <c r="SXI685" s="201"/>
      <c r="SXJ685" s="201"/>
      <c r="SXK685" s="201"/>
      <c r="SXL685" s="201"/>
      <c r="SXM685" s="201"/>
      <c r="SXN685" s="201"/>
      <c r="SXO685" s="201"/>
      <c r="SXP685" s="201"/>
      <c r="SXQ685" s="201"/>
      <c r="SXR685" s="201"/>
      <c r="SXS685" s="201"/>
      <c r="SXT685" s="201"/>
      <c r="SXU685" s="201"/>
      <c r="SXV685" s="201"/>
      <c r="SXW685" s="201"/>
      <c r="SXX685" s="201"/>
      <c r="SXY685" s="201"/>
      <c r="SXZ685" s="201"/>
      <c r="SYA685" s="201"/>
      <c r="SYB685" s="201"/>
      <c r="SYC685" s="201"/>
      <c r="SYD685" s="201"/>
      <c r="SYE685" s="201"/>
      <c r="SYF685" s="201"/>
      <c r="SYG685" s="201"/>
      <c r="SYH685" s="201"/>
      <c r="SYI685" s="201"/>
      <c r="SYJ685" s="201"/>
      <c r="SYK685" s="201"/>
      <c r="SYL685" s="201"/>
      <c r="SYM685" s="201"/>
      <c r="SYN685" s="201"/>
      <c r="SYO685" s="201"/>
      <c r="SYP685" s="201"/>
      <c r="SYQ685" s="201"/>
      <c r="SYR685" s="201"/>
      <c r="SYS685" s="201"/>
      <c r="SYT685" s="201"/>
      <c r="SYU685" s="201"/>
      <c r="SYV685" s="201"/>
      <c r="SYW685" s="201"/>
      <c r="SYX685" s="201"/>
      <c r="SYY685" s="201"/>
      <c r="SYZ685" s="201"/>
      <c r="SZA685" s="201"/>
      <c r="SZB685" s="201"/>
      <c r="SZC685" s="201"/>
      <c r="SZD685" s="201"/>
      <c r="SZE685" s="201"/>
      <c r="SZF685" s="201"/>
      <c r="SZG685" s="201"/>
      <c r="SZH685" s="201"/>
      <c r="SZI685" s="201"/>
      <c r="SZJ685" s="201"/>
      <c r="SZK685" s="201"/>
      <c r="SZL685" s="201"/>
      <c r="SZM685" s="201"/>
      <c r="SZN685" s="201"/>
      <c r="SZO685" s="201"/>
      <c r="SZP685" s="201"/>
      <c r="SZQ685" s="201"/>
      <c r="SZR685" s="201"/>
      <c r="SZS685" s="201"/>
      <c r="SZT685" s="201"/>
      <c r="SZU685" s="201"/>
      <c r="SZV685" s="201"/>
      <c r="SZW685" s="201"/>
      <c r="SZX685" s="201"/>
      <c r="SZY685" s="201"/>
      <c r="SZZ685" s="201"/>
      <c r="TAA685" s="201"/>
      <c r="TAB685" s="201"/>
      <c r="TAC685" s="201"/>
      <c r="TAD685" s="201"/>
      <c r="TAE685" s="201"/>
      <c r="TAF685" s="201"/>
      <c r="TAG685" s="201"/>
      <c r="TAH685" s="201"/>
      <c r="TAI685" s="201"/>
      <c r="TAJ685" s="201"/>
      <c r="TAK685" s="201"/>
      <c r="TAL685" s="201"/>
      <c r="TAM685" s="201"/>
      <c r="TAN685" s="201"/>
      <c r="TAO685" s="201"/>
      <c r="TAP685" s="201"/>
      <c r="TAQ685" s="201"/>
      <c r="TAR685" s="201"/>
      <c r="TAS685" s="201"/>
      <c r="TAT685" s="201"/>
      <c r="TAU685" s="201"/>
      <c r="TAV685" s="201"/>
      <c r="TAW685" s="201"/>
      <c r="TAX685" s="201"/>
      <c r="TAY685" s="201"/>
      <c r="TAZ685" s="201"/>
      <c r="TBA685" s="201"/>
      <c r="TBB685" s="201"/>
      <c r="TBC685" s="201"/>
      <c r="TBD685" s="201"/>
      <c r="TBE685" s="201"/>
      <c r="TBF685" s="201"/>
      <c r="TBG685" s="201"/>
      <c r="TBH685" s="201"/>
      <c r="TBI685" s="201"/>
      <c r="TBJ685" s="201"/>
      <c r="TBK685" s="201"/>
      <c r="TBL685" s="201"/>
      <c r="TBM685" s="201"/>
      <c r="TBN685" s="201"/>
      <c r="TBO685" s="201"/>
      <c r="TBP685" s="201"/>
      <c r="TBQ685" s="201"/>
      <c r="TBR685" s="201"/>
      <c r="TBS685" s="201"/>
      <c r="TBT685" s="201"/>
      <c r="TBU685" s="201"/>
      <c r="TBV685" s="201"/>
      <c r="TBW685" s="201"/>
      <c r="TBX685" s="201"/>
      <c r="TBY685" s="201"/>
      <c r="TBZ685" s="201"/>
      <c r="TCA685" s="201"/>
      <c r="TCB685" s="201"/>
      <c r="TCC685" s="201"/>
      <c r="TCD685" s="201"/>
      <c r="TCE685" s="201"/>
      <c r="TCF685" s="201"/>
      <c r="TCG685" s="201"/>
      <c r="TCH685" s="201"/>
      <c r="TCI685" s="201"/>
      <c r="TCJ685" s="201"/>
      <c r="TCK685" s="201"/>
      <c r="TCL685" s="201"/>
      <c r="TCM685" s="201"/>
      <c r="TCN685" s="201"/>
      <c r="TCO685" s="201"/>
      <c r="TCP685" s="201"/>
      <c r="TCQ685" s="201"/>
      <c r="TCR685" s="201"/>
      <c r="TCS685" s="201"/>
      <c r="TCT685" s="201"/>
      <c r="TCU685" s="201"/>
      <c r="TCV685" s="201"/>
      <c r="TCW685" s="201"/>
      <c r="TCX685" s="201"/>
      <c r="TCY685" s="201"/>
      <c r="TCZ685" s="201"/>
      <c r="TDA685" s="201"/>
      <c r="TDB685" s="201"/>
      <c r="TDC685" s="201"/>
      <c r="TDD685" s="201"/>
      <c r="TDE685" s="201"/>
      <c r="TDF685" s="201"/>
      <c r="TDG685" s="201"/>
      <c r="TDH685" s="201"/>
      <c r="TDI685" s="201"/>
      <c r="TDJ685" s="201"/>
      <c r="TDK685" s="201"/>
      <c r="TDL685" s="201"/>
      <c r="TDM685" s="201"/>
      <c r="TDN685" s="201"/>
      <c r="TDO685" s="201"/>
      <c r="TDP685" s="201"/>
      <c r="TDQ685" s="201"/>
      <c r="TDR685" s="201"/>
      <c r="TDS685" s="201"/>
      <c r="TDT685" s="201"/>
      <c r="TDU685" s="201"/>
      <c r="TDV685" s="201"/>
      <c r="TDW685" s="201"/>
      <c r="TDX685" s="201"/>
      <c r="TDY685" s="201"/>
      <c r="TDZ685" s="201"/>
      <c r="TEA685" s="201"/>
      <c r="TEB685" s="201"/>
      <c r="TEC685" s="201"/>
      <c r="TED685" s="201"/>
      <c r="TEE685" s="201"/>
      <c r="TEF685" s="201"/>
      <c r="TEG685" s="201"/>
      <c r="TEH685" s="201"/>
      <c r="TEI685" s="201"/>
      <c r="TEJ685" s="201"/>
      <c r="TEK685" s="201"/>
      <c r="TEL685" s="201"/>
      <c r="TEM685" s="201"/>
      <c r="TEN685" s="201"/>
      <c r="TEO685" s="201"/>
      <c r="TEP685" s="201"/>
      <c r="TEQ685" s="201"/>
      <c r="TER685" s="201"/>
      <c r="TES685" s="201"/>
      <c r="TET685" s="201"/>
      <c r="TEU685" s="201"/>
      <c r="TEV685" s="201"/>
      <c r="TEW685" s="201"/>
      <c r="TEX685" s="201"/>
      <c r="TEY685" s="201"/>
      <c r="TEZ685" s="201"/>
      <c r="TFA685" s="201"/>
      <c r="TFB685" s="201"/>
      <c r="TFC685" s="201"/>
      <c r="TFD685" s="201"/>
      <c r="TFE685" s="201"/>
      <c r="TFF685" s="201"/>
      <c r="TFG685" s="201"/>
      <c r="TFH685" s="201"/>
      <c r="TFI685" s="201"/>
      <c r="TFJ685" s="201"/>
      <c r="TFK685" s="201"/>
      <c r="TFL685" s="201"/>
      <c r="TFM685" s="201"/>
      <c r="TFN685" s="201"/>
      <c r="TFO685" s="201"/>
      <c r="TFP685" s="201"/>
      <c r="TFQ685" s="201"/>
      <c r="TFR685" s="201"/>
      <c r="TFS685" s="201"/>
      <c r="TFT685" s="201"/>
      <c r="TFU685" s="201"/>
      <c r="TFV685" s="201"/>
      <c r="TFW685" s="201"/>
      <c r="TFX685" s="201"/>
      <c r="TFY685" s="201"/>
      <c r="TFZ685" s="201"/>
      <c r="TGA685" s="201"/>
      <c r="TGB685" s="201"/>
      <c r="TGC685" s="201"/>
      <c r="TGD685" s="201"/>
      <c r="TGE685" s="201"/>
      <c r="TGF685" s="201"/>
      <c r="TGG685" s="201"/>
      <c r="TGH685" s="201"/>
      <c r="TGI685" s="201"/>
      <c r="TGJ685" s="201"/>
      <c r="TGK685" s="201"/>
      <c r="TGL685" s="201"/>
      <c r="TGM685" s="201"/>
      <c r="TGN685" s="201"/>
      <c r="TGO685" s="201"/>
      <c r="TGP685" s="201"/>
      <c r="TGQ685" s="201"/>
      <c r="TGR685" s="201"/>
      <c r="TGS685" s="201"/>
      <c r="TGT685" s="201"/>
      <c r="TGU685" s="201"/>
      <c r="TGV685" s="201"/>
      <c r="TGW685" s="201"/>
      <c r="TGX685" s="201"/>
      <c r="TGY685" s="201"/>
      <c r="TGZ685" s="201"/>
      <c r="THA685" s="201"/>
      <c r="THB685" s="201"/>
      <c r="THC685" s="201"/>
      <c r="THD685" s="201"/>
      <c r="THE685" s="201"/>
      <c r="THF685" s="201"/>
      <c r="THG685" s="201"/>
      <c r="THH685" s="201"/>
      <c r="THI685" s="201"/>
      <c r="THJ685" s="201"/>
      <c r="THK685" s="201"/>
      <c r="THL685" s="201"/>
      <c r="THM685" s="201"/>
      <c r="THN685" s="201"/>
      <c r="THO685" s="201"/>
      <c r="THP685" s="201"/>
      <c r="THQ685" s="201"/>
      <c r="THR685" s="201"/>
      <c r="THS685" s="201"/>
      <c r="THT685" s="201"/>
      <c r="THU685" s="201"/>
      <c r="THV685" s="201"/>
      <c r="THW685" s="201"/>
      <c r="THX685" s="201"/>
      <c r="THY685" s="201"/>
      <c r="THZ685" s="201"/>
      <c r="TIA685" s="201"/>
      <c r="TIB685" s="201"/>
      <c r="TIC685" s="201"/>
      <c r="TID685" s="201"/>
      <c r="TIE685" s="201"/>
      <c r="TIF685" s="201"/>
      <c r="TIG685" s="201"/>
      <c r="TIH685" s="201"/>
      <c r="TII685" s="201"/>
      <c r="TIJ685" s="201"/>
      <c r="TIK685" s="201"/>
      <c r="TIL685" s="201"/>
      <c r="TIM685" s="201"/>
      <c r="TIN685" s="201"/>
      <c r="TIO685" s="201"/>
      <c r="TIP685" s="201"/>
      <c r="TIQ685" s="201"/>
      <c r="TIR685" s="201"/>
      <c r="TIS685" s="201"/>
      <c r="TIT685" s="201"/>
      <c r="TIU685" s="201"/>
      <c r="TIV685" s="201"/>
      <c r="TIW685" s="201"/>
      <c r="TIX685" s="201"/>
      <c r="TIY685" s="201"/>
      <c r="TIZ685" s="201"/>
      <c r="TJA685" s="201"/>
      <c r="TJB685" s="201"/>
      <c r="TJC685" s="201"/>
      <c r="TJD685" s="201"/>
      <c r="TJE685" s="201"/>
      <c r="TJF685" s="201"/>
      <c r="TJG685" s="201"/>
      <c r="TJH685" s="201"/>
      <c r="TJI685" s="201"/>
      <c r="TJJ685" s="201"/>
      <c r="TJK685" s="201"/>
      <c r="TJL685" s="201"/>
      <c r="TJM685" s="201"/>
      <c r="TJN685" s="201"/>
      <c r="TJO685" s="201"/>
      <c r="TJP685" s="201"/>
      <c r="TJQ685" s="201"/>
      <c r="TJR685" s="201"/>
      <c r="TJS685" s="201"/>
      <c r="TJT685" s="201"/>
      <c r="TJU685" s="201"/>
      <c r="TJV685" s="201"/>
      <c r="TJW685" s="201"/>
      <c r="TJX685" s="201"/>
      <c r="TJY685" s="201"/>
      <c r="TJZ685" s="201"/>
      <c r="TKA685" s="201"/>
      <c r="TKB685" s="201"/>
      <c r="TKC685" s="201"/>
      <c r="TKD685" s="201"/>
      <c r="TKE685" s="201"/>
      <c r="TKF685" s="201"/>
      <c r="TKG685" s="201"/>
      <c r="TKH685" s="201"/>
      <c r="TKI685" s="201"/>
      <c r="TKJ685" s="201"/>
      <c r="TKK685" s="201"/>
      <c r="TKL685" s="201"/>
      <c r="TKM685" s="201"/>
      <c r="TKN685" s="201"/>
      <c r="TKO685" s="201"/>
      <c r="TKP685" s="201"/>
      <c r="TKQ685" s="201"/>
      <c r="TKR685" s="201"/>
      <c r="TKS685" s="201"/>
      <c r="TKT685" s="201"/>
      <c r="TKU685" s="201"/>
      <c r="TKV685" s="201"/>
      <c r="TKW685" s="201"/>
      <c r="TKX685" s="201"/>
      <c r="TKY685" s="201"/>
      <c r="TKZ685" s="201"/>
      <c r="TLA685" s="201"/>
      <c r="TLB685" s="201"/>
      <c r="TLC685" s="201"/>
      <c r="TLD685" s="201"/>
      <c r="TLE685" s="201"/>
      <c r="TLF685" s="201"/>
      <c r="TLG685" s="201"/>
      <c r="TLH685" s="201"/>
      <c r="TLI685" s="201"/>
      <c r="TLJ685" s="201"/>
      <c r="TLK685" s="201"/>
      <c r="TLL685" s="201"/>
      <c r="TLM685" s="201"/>
      <c r="TLN685" s="201"/>
      <c r="TLO685" s="201"/>
      <c r="TLP685" s="201"/>
      <c r="TLQ685" s="201"/>
      <c r="TLR685" s="201"/>
      <c r="TLS685" s="201"/>
      <c r="TLT685" s="201"/>
      <c r="TLU685" s="201"/>
      <c r="TLV685" s="201"/>
      <c r="TLW685" s="201"/>
      <c r="TLX685" s="201"/>
      <c r="TLY685" s="201"/>
      <c r="TLZ685" s="201"/>
      <c r="TMA685" s="201"/>
      <c r="TMB685" s="201"/>
      <c r="TMC685" s="201"/>
      <c r="TMD685" s="201"/>
      <c r="TME685" s="201"/>
      <c r="TMF685" s="201"/>
      <c r="TMG685" s="201"/>
      <c r="TMH685" s="201"/>
      <c r="TMI685" s="201"/>
      <c r="TMJ685" s="201"/>
      <c r="TMK685" s="201"/>
      <c r="TML685" s="201"/>
      <c r="TMM685" s="201"/>
      <c r="TMN685" s="201"/>
      <c r="TMO685" s="201"/>
      <c r="TMP685" s="201"/>
      <c r="TMQ685" s="201"/>
      <c r="TMR685" s="201"/>
      <c r="TMS685" s="201"/>
      <c r="TMT685" s="201"/>
      <c r="TMU685" s="201"/>
      <c r="TMV685" s="201"/>
      <c r="TMW685" s="201"/>
      <c r="TMX685" s="201"/>
      <c r="TMY685" s="201"/>
      <c r="TMZ685" s="201"/>
      <c r="TNA685" s="201"/>
      <c r="TNB685" s="201"/>
      <c r="TNC685" s="201"/>
      <c r="TND685" s="201"/>
      <c r="TNE685" s="201"/>
      <c r="TNF685" s="201"/>
      <c r="TNG685" s="201"/>
      <c r="TNH685" s="201"/>
      <c r="TNI685" s="201"/>
      <c r="TNJ685" s="201"/>
      <c r="TNK685" s="201"/>
      <c r="TNL685" s="201"/>
      <c r="TNM685" s="201"/>
      <c r="TNN685" s="201"/>
      <c r="TNO685" s="201"/>
      <c r="TNP685" s="201"/>
      <c r="TNQ685" s="201"/>
      <c r="TNR685" s="201"/>
      <c r="TNS685" s="201"/>
      <c r="TNT685" s="201"/>
      <c r="TNU685" s="201"/>
      <c r="TNV685" s="201"/>
      <c r="TNW685" s="201"/>
      <c r="TNX685" s="201"/>
      <c r="TNY685" s="201"/>
      <c r="TNZ685" s="201"/>
      <c r="TOA685" s="201"/>
      <c r="TOB685" s="201"/>
      <c r="TOC685" s="201"/>
      <c r="TOD685" s="201"/>
      <c r="TOE685" s="201"/>
      <c r="TOF685" s="201"/>
      <c r="TOG685" s="201"/>
      <c r="TOH685" s="201"/>
      <c r="TOI685" s="201"/>
      <c r="TOJ685" s="201"/>
      <c r="TOK685" s="201"/>
      <c r="TOL685" s="201"/>
      <c r="TOM685" s="201"/>
      <c r="TON685" s="201"/>
      <c r="TOO685" s="201"/>
      <c r="TOP685" s="201"/>
      <c r="TOQ685" s="201"/>
      <c r="TOR685" s="201"/>
      <c r="TOS685" s="201"/>
      <c r="TOT685" s="201"/>
      <c r="TOU685" s="201"/>
      <c r="TOV685" s="201"/>
      <c r="TOW685" s="201"/>
      <c r="TOX685" s="201"/>
      <c r="TOY685" s="201"/>
      <c r="TOZ685" s="201"/>
      <c r="TPA685" s="201"/>
      <c r="TPB685" s="201"/>
      <c r="TPC685" s="201"/>
      <c r="TPD685" s="201"/>
      <c r="TPE685" s="201"/>
      <c r="TPF685" s="201"/>
      <c r="TPG685" s="201"/>
      <c r="TPH685" s="201"/>
      <c r="TPI685" s="201"/>
      <c r="TPJ685" s="201"/>
      <c r="TPK685" s="201"/>
      <c r="TPL685" s="201"/>
      <c r="TPM685" s="201"/>
      <c r="TPN685" s="201"/>
      <c r="TPO685" s="201"/>
      <c r="TPP685" s="201"/>
      <c r="TPQ685" s="201"/>
      <c r="TPR685" s="201"/>
      <c r="TPS685" s="201"/>
      <c r="TPT685" s="201"/>
      <c r="TPU685" s="201"/>
      <c r="TPV685" s="201"/>
      <c r="TPW685" s="201"/>
      <c r="TPX685" s="201"/>
      <c r="TPY685" s="201"/>
      <c r="TPZ685" s="201"/>
      <c r="TQA685" s="201"/>
      <c r="TQB685" s="201"/>
      <c r="TQC685" s="201"/>
      <c r="TQD685" s="201"/>
      <c r="TQE685" s="201"/>
      <c r="TQF685" s="201"/>
      <c r="TQG685" s="201"/>
      <c r="TQH685" s="201"/>
      <c r="TQI685" s="201"/>
      <c r="TQJ685" s="201"/>
      <c r="TQK685" s="201"/>
      <c r="TQL685" s="201"/>
      <c r="TQM685" s="201"/>
      <c r="TQN685" s="201"/>
      <c r="TQO685" s="201"/>
      <c r="TQP685" s="201"/>
      <c r="TQQ685" s="201"/>
      <c r="TQR685" s="201"/>
      <c r="TQS685" s="201"/>
      <c r="TQT685" s="201"/>
      <c r="TQU685" s="201"/>
      <c r="TQV685" s="201"/>
      <c r="TQW685" s="201"/>
      <c r="TQX685" s="201"/>
      <c r="TQY685" s="201"/>
      <c r="TQZ685" s="201"/>
      <c r="TRA685" s="201"/>
      <c r="TRB685" s="201"/>
      <c r="TRC685" s="201"/>
      <c r="TRD685" s="201"/>
      <c r="TRE685" s="201"/>
      <c r="TRF685" s="201"/>
      <c r="TRG685" s="201"/>
      <c r="TRH685" s="201"/>
      <c r="TRI685" s="201"/>
      <c r="TRJ685" s="201"/>
      <c r="TRK685" s="201"/>
      <c r="TRL685" s="201"/>
      <c r="TRM685" s="201"/>
      <c r="TRN685" s="201"/>
      <c r="TRO685" s="201"/>
      <c r="TRP685" s="201"/>
      <c r="TRQ685" s="201"/>
      <c r="TRR685" s="201"/>
      <c r="TRS685" s="201"/>
      <c r="TRT685" s="201"/>
      <c r="TRU685" s="201"/>
      <c r="TRV685" s="201"/>
      <c r="TRW685" s="201"/>
      <c r="TRX685" s="201"/>
      <c r="TRY685" s="201"/>
      <c r="TRZ685" s="201"/>
      <c r="TSA685" s="201"/>
      <c r="TSB685" s="201"/>
      <c r="TSC685" s="201"/>
      <c r="TSD685" s="201"/>
      <c r="TSE685" s="201"/>
      <c r="TSF685" s="201"/>
      <c r="TSG685" s="201"/>
      <c r="TSH685" s="201"/>
      <c r="TSI685" s="201"/>
      <c r="TSJ685" s="201"/>
      <c r="TSK685" s="201"/>
      <c r="TSL685" s="201"/>
      <c r="TSM685" s="201"/>
      <c r="TSN685" s="201"/>
      <c r="TSO685" s="201"/>
      <c r="TSP685" s="201"/>
      <c r="TSQ685" s="201"/>
      <c r="TSR685" s="201"/>
      <c r="TSS685" s="201"/>
      <c r="TST685" s="201"/>
      <c r="TSU685" s="201"/>
      <c r="TSV685" s="201"/>
      <c r="TSW685" s="201"/>
      <c r="TSX685" s="201"/>
      <c r="TSY685" s="201"/>
      <c r="TSZ685" s="201"/>
      <c r="TTA685" s="201"/>
      <c r="TTB685" s="201"/>
      <c r="TTC685" s="201"/>
      <c r="TTD685" s="201"/>
      <c r="TTE685" s="201"/>
      <c r="TTF685" s="201"/>
      <c r="TTG685" s="201"/>
      <c r="TTH685" s="201"/>
      <c r="TTI685" s="201"/>
      <c r="TTJ685" s="201"/>
      <c r="TTK685" s="201"/>
      <c r="TTL685" s="201"/>
      <c r="TTM685" s="201"/>
      <c r="TTN685" s="201"/>
      <c r="TTO685" s="201"/>
      <c r="TTP685" s="201"/>
      <c r="TTQ685" s="201"/>
      <c r="TTR685" s="201"/>
      <c r="TTS685" s="201"/>
      <c r="TTT685" s="201"/>
      <c r="TTU685" s="201"/>
      <c r="TTV685" s="201"/>
      <c r="TTW685" s="201"/>
      <c r="TTX685" s="201"/>
      <c r="TTY685" s="201"/>
      <c r="TTZ685" s="201"/>
      <c r="TUA685" s="201"/>
      <c r="TUB685" s="201"/>
      <c r="TUC685" s="201"/>
      <c r="TUD685" s="201"/>
      <c r="TUE685" s="201"/>
      <c r="TUF685" s="201"/>
      <c r="TUG685" s="201"/>
      <c r="TUH685" s="201"/>
      <c r="TUI685" s="201"/>
      <c r="TUJ685" s="201"/>
      <c r="TUK685" s="201"/>
      <c r="TUL685" s="201"/>
      <c r="TUM685" s="201"/>
      <c r="TUN685" s="201"/>
      <c r="TUO685" s="201"/>
      <c r="TUP685" s="201"/>
      <c r="TUQ685" s="201"/>
      <c r="TUR685" s="201"/>
      <c r="TUS685" s="201"/>
      <c r="TUT685" s="201"/>
      <c r="TUU685" s="201"/>
      <c r="TUV685" s="201"/>
      <c r="TUW685" s="201"/>
      <c r="TUX685" s="201"/>
      <c r="TUY685" s="201"/>
      <c r="TUZ685" s="201"/>
      <c r="TVA685" s="201"/>
      <c r="TVB685" s="201"/>
      <c r="TVC685" s="201"/>
      <c r="TVD685" s="201"/>
      <c r="TVE685" s="201"/>
      <c r="TVF685" s="201"/>
      <c r="TVG685" s="201"/>
      <c r="TVH685" s="201"/>
      <c r="TVI685" s="201"/>
      <c r="TVJ685" s="201"/>
      <c r="TVK685" s="201"/>
      <c r="TVL685" s="201"/>
      <c r="TVM685" s="201"/>
      <c r="TVN685" s="201"/>
      <c r="TVO685" s="201"/>
      <c r="TVP685" s="201"/>
      <c r="TVQ685" s="201"/>
      <c r="TVR685" s="201"/>
      <c r="TVS685" s="201"/>
      <c r="TVT685" s="201"/>
      <c r="TVU685" s="201"/>
      <c r="TVV685" s="201"/>
      <c r="TVW685" s="201"/>
      <c r="TVX685" s="201"/>
      <c r="TVY685" s="201"/>
      <c r="TVZ685" s="201"/>
      <c r="TWA685" s="201"/>
      <c r="TWB685" s="201"/>
      <c r="TWC685" s="201"/>
      <c r="TWD685" s="201"/>
      <c r="TWE685" s="201"/>
      <c r="TWF685" s="201"/>
      <c r="TWG685" s="201"/>
      <c r="TWH685" s="201"/>
      <c r="TWI685" s="201"/>
      <c r="TWJ685" s="201"/>
      <c r="TWK685" s="201"/>
      <c r="TWL685" s="201"/>
      <c r="TWM685" s="201"/>
      <c r="TWN685" s="201"/>
      <c r="TWO685" s="201"/>
      <c r="TWP685" s="201"/>
      <c r="TWQ685" s="201"/>
      <c r="TWR685" s="201"/>
      <c r="TWS685" s="201"/>
      <c r="TWT685" s="201"/>
      <c r="TWU685" s="201"/>
      <c r="TWV685" s="201"/>
      <c r="TWW685" s="201"/>
      <c r="TWX685" s="201"/>
      <c r="TWY685" s="201"/>
      <c r="TWZ685" s="201"/>
      <c r="TXA685" s="201"/>
      <c r="TXB685" s="201"/>
      <c r="TXC685" s="201"/>
      <c r="TXD685" s="201"/>
      <c r="TXE685" s="201"/>
      <c r="TXF685" s="201"/>
      <c r="TXG685" s="201"/>
      <c r="TXH685" s="201"/>
      <c r="TXI685" s="201"/>
      <c r="TXJ685" s="201"/>
      <c r="TXK685" s="201"/>
      <c r="TXL685" s="201"/>
      <c r="TXM685" s="201"/>
      <c r="TXN685" s="201"/>
      <c r="TXO685" s="201"/>
      <c r="TXP685" s="201"/>
      <c r="TXQ685" s="201"/>
      <c r="TXR685" s="201"/>
      <c r="TXS685" s="201"/>
      <c r="TXT685" s="201"/>
      <c r="TXU685" s="201"/>
      <c r="TXV685" s="201"/>
      <c r="TXW685" s="201"/>
      <c r="TXX685" s="201"/>
      <c r="TXY685" s="201"/>
      <c r="TXZ685" s="201"/>
      <c r="TYA685" s="201"/>
      <c r="TYB685" s="201"/>
      <c r="TYC685" s="201"/>
      <c r="TYD685" s="201"/>
      <c r="TYE685" s="201"/>
      <c r="TYF685" s="201"/>
      <c r="TYG685" s="201"/>
      <c r="TYH685" s="201"/>
      <c r="TYI685" s="201"/>
      <c r="TYJ685" s="201"/>
      <c r="TYK685" s="201"/>
      <c r="TYL685" s="201"/>
      <c r="TYM685" s="201"/>
      <c r="TYN685" s="201"/>
      <c r="TYO685" s="201"/>
      <c r="TYP685" s="201"/>
      <c r="TYQ685" s="201"/>
      <c r="TYR685" s="201"/>
      <c r="TYS685" s="201"/>
      <c r="TYT685" s="201"/>
      <c r="TYU685" s="201"/>
      <c r="TYV685" s="201"/>
      <c r="TYW685" s="201"/>
      <c r="TYX685" s="201"/>
      <c r="TYY685" s="201"/>
      <c r="TYZ685" s="201"/>
      <c r="TZA685" s="201"/>
      <c r="TZB685" s="201"/>
      <c r="TZC685" s="201"/>
      <c r="TZD685" s="201"/>
      <c r="TZE685" s="201"/>
      <c r="TZF685" s="201"/>
      <c r="TZG685" s="201"/>
      <c r="TZH685" s="201"/>
      <c r="TZI685" s="201"/>
      <c r="TZJ685" s="201"/>
      <c r="TZK685" s="201"/>
      <c r="TZL685" s="201"/>
      <c r="TZM685" s="201"/>
      <c r="TZN685" s="201"/>
      <c r="TZO685" s="201"/>
      <c r="TZP685" s="201"/>
      <c r="TZQ685" s="201"/>
      <c r="TZR685" s="201"/>
      <c r="TZS685" s="201"/>
      <c r="TZT685" s="201"/>
      <c r="TZU685" s="201"/>
      <c r="TZV685" s="201"/>
      <c r="TZW685" s="201"/>
      <c r="TZX685" s="201"/>
      <c r="TZY685" s="201"/>
      <c r="TZZ685" s="201"/>
      <c r="UAA685" s="201"/>
      <c r="UAB685" s="201"/>
      <c r="UAC685" s="201"/>
      <c r="UAD685" s="201"/>
      <c r="UAE685" s="201"/>
      <c r="UAF685" s="201"/>
      <c r="UAG685" s="201"/>
      <c r="UAH685" s="201"/>
      <c r="UAI685" s="201"/>
      <c r="UAJ685" s="201"/>
      <c r="UAK685" s="201"/>
      <c r="UAL685" s="201"/>
      <c r="UAM685" s="201"/>
      <c r="UAN685" s="201"/>
      <c r="UAO685" s="201"/>
      <c r="UAP685" s="201"/>
      <c r="UAQ685" s="201"/>
      <c r="UAR685" s="201"/>
      <c r="UAS685" s="201"/>
      <c r="UAT685" s="201"/>
      <c r="UAU685" s="201"/>
      <c r="UAV685" s="201"/>
      <c r="UAW685" s="201"/>
      <c r="UAX685" s="201"/>
      <c r="UAY685" s="201"/>
      <c r="UAZ685" s="201"/>
      <c r="UBA685" s="201"/>
      <c r="UBB685" s="201"/>
      <c r="UBC685" s="201"/>
      <c r="UBD685" s="201"/>
      <c r="UBE685" s="201"/>
      <c r="UBF685" s="201"/>
      <c r="UBG685" s="201"/>
      <c r="UBH685" s="201"/>
      <c r="UBI685" s="201"/>
      <c r="UBJ685" s="201"/>
      <c r="UBK685" s="201"/>
      <c r="UBL685" s="201"/>
      <c r="UBM685" s="201"/>
      <c r="UBN685" s="201"/>
      <c r="UBO685" s="201"/>
      <c r="UBP685" s="201"/>
      <c r="UBQ685" s="201"/>
      <c r="UBR685" s="201"/>
      <c r="UBS685" s="201"/>
      <c r="UBT685" s="201"/>
      <c r="UBU685" s="201"/>
      <c r="UBV685" s="201"/>
      <c r="UBW685" s="201"/>
      <c r="UBX685" s="201"/>
      <c r="UBY685" s="201"/>
      <c r="UBZ685" s="201"/>
      <c r="UCA685" s="201"/>
      <c r="UCB685" s="201"/>
      <c r="UCC685" s="201"/>
      <c r="UCD685" s="201"/>
      <c r="UCE685" s="201"/>
      <c r="UCF685" s="201"/>
      <c r="UCG685" s="201"/>
      <c r="UCH685" s="201"/>
      <c r="UCI685" s="201"/>
      <c r="UCJ685" s="201"/>
      <c r="UCK685" s="201"/>
      <c r="UCL685" s="201"/>
      <c r="UCM685" s="201"/>
      <c r="UCN685" s="201"/>
      <c r="UCO685" s="201"/>
      <c r="UCP685" s="201"/>
      <c r="UCQ685" s="201"/>
      <c r="UCR685" s="201"/>
      <c r="UCS685" s="201"/>
      <c r="UCT685" s="201"/>
      <c r="UCU685" s="201"/>
      <c r="UCV685" s="201"/>
      <c r="UCW685" s="201"/>
      <c r="UCX685" s="201"/>
      <c r="UCY685" s="201"/>
      <c r="UCZ685" s="201"/>
      <c r="UDA685" s="201"/>
      <c r="UDB685" s="201"/>
      <c r="UDC685" s="201"/>
      <c r="UDD685" s="201"/>
      <c r="UDE685" s="201"/>
      <c r="UDF685" s="201"/>
      <c r="UDG685" s="201"/>
      <c r="UDH685" s="201"/>
      <c r="UDI685" s="201"/>
      <c r="UDJ685" s="201"/>
      <c r="UDK685" s="201"/>
      <c r="UDL685" s="201"/>
      <c r="UDM685" s="201"/>
      <c r="UDN685" s="201"/>
      <c r="UDO685" s="201"/>
      <c r="UDP685" s="201"/>
      <c r="UDQ685" s="201"/>
      <c r="UDR685" s="201"/>
      <c r="UDS685" s="201"/>
      <c r="UDT685" s="201"/>
      <c r="UDU685" s="201"/>
      <c r="UDV685" s="201"/>
      <c r="UDW685" s="201"/>
      <c r="UDX685" s="201"/>
      <c r="UDY685" s="201"/>
      <c r="UDZ685" s="201"/>
      <c r="UEA685" s="201"/>
      <c r="UEB685" s="201"/>
      <c r="UEC685" s="201"/>
      <c r="UED685" s="201"/>
      <c r="UEE685" s="201"/>
      <c r="UEF685" s="201"/>
      <c r="UEG685" s="201"/>
      <c r="UEH685" s="201"/>
      <c r="UEI685" s="201"/>
      <c r="UEJ685" s="201"/>
      <c r="UEK685" s="201"/>
      <c r="UEL685" s="201"/>
      <c r="UEM685" s="201"/>
      <c r="UEN685" s="201"/>
      <c r="UEO685" s="201"/>
      <c r="UEP685" s="201"/>
      <c r="UEQ685" s="201"/>
      <c r="UER685" s="201"/>
      <c r="UES685" s="201"/>
      <c r="UET685" s="201"/>
      <c r="UEU685" s="201"/>
      <c r="UEV685" s="201"/>
      <c r="UEW685" s="201"/>
      <c r="UEX685" s="201"/>
      <c r="UEY685" s="201"/>
      <c r="UEZ685" s="201"/>
      <c r="UFA685" s="201"/>
      <c r="UFB685" s="201"/>
      <c r="UFC685" s="201"/>
      <c r="UFD685" s="201"/>
      <c r="UFE685" s="201"/>
      <c r="UFF685" s="201"/>
      <c r="UFG685" s="201"/>
      <c r="UFH685" s="201"/>
      <c r="UFI685" s="201"/>
      <c r="UFJ685" s="201"/>
      <c r="UFK685" s="201"/>
      <c r="UFL685" s="201"/>
      <c r="UFM685" s="201"/>
      <c r="UFN685" s="201"/>
      <c r="UFO685" s="201"/>
      <c r="UFP685" s="201"/>
      <c r="UFQ685" s="201"/>
      <c r="UFR685" s="201"/>
      <c r="UFS685" s="201"/>
      <c r="UFT685" s="201"/>
      <c r="UFU685" s="201"/>
      <c r="UFV685" s="201"/>
      <c r="UFW685" s="201"/>
      <c r="UFX685" s="201"/>
      <c r="UFY685" s="201"/>
      <c r="UFZ685" s="201"/>
      <c r="UGA685" s="201"/>
      <c r="UGB685" s="201"/>
      <c r="UGC685" s="201"/>
      <c r="UGD685" s="201"/>
      <c r="UGE685" s="201"/>
      <c r="UGF685" s="201"/>
      <c r="UGG685" s="201"/>
      <c r="UGH685" s="201"/>
      <c r="UGI685" s="201"/>
      <c r="UGJ685" s="201"/>
      <c r="UGK685" s="201"/>
      <c r="UGL685" s="201"/>
      <c r="UGM685" s="201"/>
      <c r="UGN685" s="201"/>
      <c r="UGO685" s="201"/>
      <c r="UGP685" s="201"/>
      <c r="UGQ685" s="201"/>
      <c r="UGR685" s="201"/>
      <c r="UGS685" s="201"/>
      <c r="UGT685" s="201"/>
      <c r="UGU685" s="201"/>
      <c r="UGV685" s="201"/>
      <c r="UGW685" s="201"/>
      <c r="UGX685" s="201"/>
      <c r="UGY685" s="201"/>
      <c r="UGZ685" s="201"/>
      <c r="UHA685" s="201"/>
      <c r="UHB685" s="201"/>
      <c r="UHC685" s="201"/>
      <c r="UHD685" s="201"/>
      <c r="UHE685" s="201"/>
      <c r="UHF685" s="201"/>
      <c r="UHG685" s="201"/>
      <c r="UHH685" s="201"/>
      <c r="UHI685" s="201"/>
      <c r="UHJ685" s="201"/>
      <c r="UHK685" s="201"/>
      <c r="UHL685" s="201"/>
      <c r="UHM685" s="201"/>
      <c r="UHN685" s="201"/>
      <c r="UHO685" s="201"/>
      <c r="UHP685" s="201"/>
      <c r="UHQ685" s="201"/>
      <c r="UHR685" s="201"/>
      <c r="UHS685" s="201"/>
      <c r="UHT685" s="201"/>
      <c r="UHU685" s="201"/>
      <c r="UHV685" s="201"/>
      <c r="UHW685" s="201"/>
      <c r="UHX685" s="201"/>
      <c r="UHY685" s="201"/>
      <c r="UHZ685" s="201"/>
      <c r="UIA685" s="201"/>
      <c r="UIB685" s="201"/>
      <c r="UIC685" s="201"/>
      <c r="UID685" s="201"/>
      <c r="UIE685" s="201"/>
      <c r="UIF685" s="201"/>
      <c r="UIG685" s="201"/>
      <c r="UIH685" s="201"/>
      <c r="UII685" s="201"/>
      <c r="UIJ685" s="201"/>
      <c r="UIK685" s="201"/>
      <c r="UIL685" s="201"/>
      <c r="UIM685" s="201"/>
      <c r="UIN685" s="201"/>
      <c r="UIO685" s="201"/>
      <c r="UIP685" s="201"/>
      <c r="UIQ685" s="201"/>
      <c r="UIR685" s="201"/>
      <c r="UIS685" s="201"/>
      <c r="UIT685" s="201"/>
      <c r="UIU685" s="201"/>
      <c r="UIV685" s="201"/>
      <c r="UIW685" s="201"/>
      <c r="UIX685" s="201"/>
      <c r="UIY685" s="201"/>
      <c r="UIZ685" s="201"/>
      <c r="UJA685" s="201"/>
      <c r="UJB685" s="201"/>
      <c r="UJC685" s="201"/>
      <c r="UJD685" s="201"/>
      <c r="UJE685" s="201"/>
      <c r="UJF685" s="201"/>
      <c r="UJG685" s="201"/>
      <c r="UJH685" s="201"/>
      <c r="UJI685" s="201"/>
      <c r="UJJ685" s="201"/>
      <c r="UJK685" s="201"/>
      <c r="UJL685" s="201"/>
      <c r="UJM685" s="201"/>
      <c r="UJN685" s="201"/>
      <c r="UJO685" s="201"/>
      <c r="UJP685" s="201"/>
      <c r="UJQ685" s="201"/>
      <c r="UJR685" s="201"/>
      <c r="UJS685" s="201"/>
      <c r="UJT685" s="201"/>
      <c r="UJU685" s="201"/>
      <c r="UJV685" s="201"/>
      <c r="UJW685" s="201"/>
      <c r="UJX685" s="201"/>
      <c r="UJY685" s="201"/>
      <c r="UJZ685" s="201"/>
      <c r="UKA685" s="201"/>
      <c r="UKB685" s="201"/>
      <c r="UKC685" s="201"/>
      <c r="UKD685" s="201"/>
      <c r="UKE685" s="201"/>
      <c r="UKF685" s="201"/>
      <c r="UKG685" s="201"/>
      <c r="UKH685" s="201"/>
      <c r="UKI685" s="201"/>
      <c r="UKJ685" s="201"/>
      <c r="UKK685" s="201"/>
      <c r="UKL685" s="201"/>
      <c r="UKM685" s="201"/>
      <c r="UKN685" s="201"/>
      <c r="UKO685" s="201"/>
      <c r="UKP685" s="201"/>
      <c r="UKQ685" s="201"/>
      <c r="UKR685" s="201"/>
      <c r="UKS685" s="201"/>
      <c r="UKT685" s="201"/>
      <c r="UKU685" s="201"/>
      <c r="UKV685" s="201"/>
      <c r="UKW685" s="201"/>
      <c r="UKX685" s="201"/>
      <c r="UKY685" s="201"/>
      <c r="UKZ685" s="201"/>
      <c r="ULA685" s="201"/>
      <c r="ULB685" s="201"/>
      <c r="ULC685" s="201"/>
      <c r="ULD685" s="201"/>
      <c r="ULE685" s="201"/>
      <c r="ULF685" s="201"/>
      <c r="ULG685" s="201"/>
      <c r="ULH685" s="201"/>
      <c r="ULI685" s="201"/>
      <c r="ULJ685" s="201"/>
      <c r="ULK685" s="201"/>
      <c r="ULL685" s="201"/>
      <c r="ULM685" s="201"/>
      <c r="ULN685" s="201"/>
      <c r="ULO685" s="201"/>
      <c r="ULP685" s="201"/>
      <c r="ULQ685" s="201"/>
      <c r="ULR685" s="201"/>
      <c r="ULS685" s="201"/>
      <c r="ULT685" s="201"/>
      <c r="ULU685" s="201"/>
      <c r="ULV685" s="201"/>
      <c r="ULW685" s="201"/>
      <c r="ULX685" s="201"/>
      <c r="ULY685" s="201"/>
      <c r="ULZ685" s="201"/>
      <c r="UMA685" s="201"/>
      <c r="UMB685" s="201"/>
      <c r="UMC685" s="201"/>
      <c r="UMD685" s="201"/>
      <c r="UME685" s="201"/>
      <c r="UMF685" s="201"/>
      <c r="UMG685" s="201"/>
      <c r="UMH685" s="201"/>
      <c r="UMI685" s="201"/>
      <c r="UMJ685" s="201"/>
      <c r="UMK685" s="201"/>
      <c r="UML685" s="201"/>
      <c r="UMM685" s="201"/>
      <c r="UMN685" s="201"/>
      <c r="UMO685" s="201"/>
      <c r="UMP685" s="201"/>
      <c r="UMQ685" s="201"/>
      <c r="UMR685" s="201"/>
      <c r="UMS685" s="201"/>
      <c r="UMT685" s="201"/>
      <c r="UMU685" s="201"/>
      <c r="UMV685" s="201"/>
      <c r="UMW685" s="201"/>
      <c r="UMX685" s="201"/>
      <c r="UMY685" s="201"/>
      <c r="UMZ685" s="201"/>
      <c r="UNA685" s="201"/>
      <c r="UNB685" s="201"/>
      <c r="UNC685" s="201"/>
      <c r="UND685" s="201"/>
      <c r="UNE685" s="201"/>
      <c r="UNF685" s="201"/>
      <c r="UNG685" s="201"/>
      <c r="UNH685" s="201"/>
      <c r="UNI685" s="201"/>
      <c r="UNJ685" s="201"/>
      <c r="UNK685" s="201"/>
      <c r="UNL685" s="201"/>
      <c r="UNM685" s="201"/>
      <c r="UNN685" s="201"/>
      <c r="UNO685" s="201"/>
      <c r="UNP685" s="201"/>
      <c r="UNQ685" s="201"/>
      <c r="UNR685" s="201"/>
      <c r="UNS685" s="201"/>
      <c r="UNT685" s="201"/>
      <c r="UNU685" s="201"/>
      <c r="UNV685" s="201"/>
      <c r="UNW685" s="201"/>
      <c r="UNX685" s="201"/>
      <c r="UNY685" s="201"/>
      <c r="UNZ685" s="201"/>
      <c r="UOA685" s="201"/>
      <c r="UOB685" s="201"/>
      <c r="UOC685" s="201"/>
      <c r="UOD685" s="201"/>
      <c r="UOE685" s="201"/>
      <c r="UOF685" s="201"/>
      <c r="UOG685" s="201"/>
      <c r="UOH685" s="201"/>
      <c r="UOI685" s="201"/>
      <c r="UOJ685" s="201"/>
      <c r="UOK685" s="201"/>
      <c r="UOL685" s="201"/>
      <c r="UOM685" s="201"/>
      <c r="UON685" s="201"/>
      <c r="UOO685" s="201"/>
      <c r="UOP685" s="201"/>
      <c r="UOQ685" s="201"/>
      <c r="UOR685" s="201"/>
      <c r="UOS685" s="201"/>
      <c r="UOT685" s="201"/>
      <c r="UOU685" s="201"/>
      <c r="UOV685" s="201"/>
      <c r="UOW685" s="201"/>
      <c r="UOX685" s="201"/>
      <c r="UOY685" s="201"/>
      <c r="UOZ685" s="201"/>
      <c r="UPA685" s="201"/>
      <c r="UPB685" s="201"/>
      <c r="UPC685" s="201"/>
      <c r="UPD685" s="201"/>
      <c r="UPE685" s="201"/>
      <c r="UPF685" s="201"/>
      <c r="UPG685" s="201"/>
      <c r="UPH685" s="201"/>
      <c r="UPI685" s="201"/>
      <c r="UPJ685" s="201"/>
      <c r="UPK685" s="201"/>
      <c r="UPL685" s="201"/>
      <c r="UPM685" s="201"/>
      <c r="UPN685" s="201"/>
      <c r="UPO685" s="201"/>
      <c r="UPP685" s="201"/>
      <c r="UPQ685" s="201"/>
      <c r="UPR685" s="201"/>
      <c r="UPS685" s="201"/>
      <c r="UPT685" s="201"/>
      <c r="UPU685" s="201"/>
      <c r="UPV685" s="201"/>
      <c r="UPW685" s="201"/>
      <c r="UPX685" s="201"/>
      <c r="UPY685" s="201"/>
      <c r="UPZ685" s="201"/>
      <c r="UQA685" s="201"/>
      <c r="UQB685" s="201"/>
      <c r="UQC685" s="201"/>
      <c r="UQD685" s="201"/>
      <c r="UQE685" s="201"/>
      <c r="UQF685" s="201"/>
      <c r="UQG685" s="201"/>
      <c r="UQH685" s="201"/>
      <c r="UQI685" s="201"/>
      <c r="UQJ685" s="201"/>
      <c r="UQK685" s="201"/>
      <c r="UQL685" s="201"/>
      <c r="UQM685" s="201"/>
      <c r="UQN685" s="201"/>
      <c r="UQO685" s="201"/>
      <c r="UQP685" s="201"/>
      <c r="UQQ685" s="201"/>
      <c r="UQR685" s="201"/>
      <c r="UQS685" s="201"/>
      <c r="UQT685" s="201"/>
      <c r="UQU685" s="201"/>
      <c r="UQV685" s="201"/>
      <c r="UQW685" s="201"/>
      <c r="UQX685" s="201"/>
      <c r="UQY685" s="201"/>
      <c r="UQZ685" s="201"/>
      <c r="URA685" s="201"/>
      <c r="URB685" s="201"/>
      <c r="URC685" s="201"/>
      <c r="URD685" s="201"/>
      <c r="URE685" s="201"/>
      <c r="URF685" s="201"/>
      <c r="URG685" s="201"/>
      <c r="URH685" s="201"/>
      <c r="URI685" s="201"/>
      <c r="URJ685" s="201"/>
      <c r="URK685" s="201"/>
      <c r="URL685" s="201"/>
      <c r="URM685" s="201"/>
      <c r="URN685" s="201"/>
      <c r="URO685" s="201"/>
      <c r="URP685" s="201"/>
      <c r="URQ685" s="201"/>
      <c r="URR685" s="201"/>
      <c r="URS685" s="201"/>
      <c r="URT685" s="201"/>
      <c r="URU685" s="201"/>
      <c r="URV685" s="201"/>
      <c r="URW685" s="201"/>
      <c r="URX685" s="201"/>
      <c r="URY685" s="201"/>
      <c r="URZ685" s="201"/>
      <c r="USA685" s="201"/>
      <c r="USB685" s="201"/>
      <c r="USC685" s="201"/>
      <c r="USD685" s="201"/>
      <c r="USE685" s="201"/>
      <c r="USF685" s="201"/>
      <c r="USG685" s="201"/>
      <c r="USH685" s="201"/>
      <c r="USI685" s="201"/>
      <c r="USJ685" s="201"/>
      <c r="USK685" s="201"/>
      <c r="USL685" s="201"/>
      <c r="USM685" s="201"/>
      <c r="USN685" s="201"/>
      <c r="USO685" s="201"/>
      <c r="USP685" s="201"/>
      <c r="USQ685" s="201"/>
      <c r="USR685" s="201"/>
      <c r="USS685" s="201"/>
      <c r="UST685" s="201"/>
      <c r="USU685" s="201"/>
      <c r="USV685" s="201"/>
      <c r="USW685" s="201"/>
      <c r="USX685" s="201"/>
      <c r="USY685" s="201"/>
      <c r="USZ685" s="201"/>
      <c r="UTA685" s="201"/>
      <c r="UTB685" s="201"/>
      <c r="UTC685" s="201"/>
      <c r="UTD685" s="201"/>
      <c r="UTE685" s="201"/>
      <c r="UTF685" s="201"/>
      <c r="UTG685" s="201"/>
      <c r="UTH685" s="201"/>
      <c r="UTI685" s="201"/>
      <c r="UTJ685" s="201"/>
      <c r="UTK685" s="201"/>
      <c r="UTL685" s="201"/>
      <c r="UTM685" s="201"/>
      <c r="UTN685" s="201"/>
      <c r="UTO685" s="201"/>
      <c r="UTP685" s="201"/>
      <c r="UTQ685" s="201"/>
      <c r="UTR685" s="201"/>
      <c r="UTS685" s="201"/>
      <c r="UTT685" s="201"/>
      <c r="UTU685" s="201"/>
      <c r="UTV685" s="201"/>
      <c r="UTW685" s="201"/>
      <c r="UTX685" s="201"/>
      <c r="UTY685" s="201"/>
      <c r="UTZ685" s="201"/>
      <c r="UUA685" s="201"/>
      <c r="UUB685" s="201"/>
      <c r="UUC685" s="201"/>
      <c r="UUD685" s="201"/>
      <c r="UUE685" s="201"/>
      <c r="UUF685" s="201"/>
      <c r="UUG685" s="201"/>
      <c r="UUH685" s="201"/>
      <c r="UUI685" s="201"/>
      <c r="UUJ685" s="201"/>
      <c r="UUK685" s="201"/>
      <c r="UUL685" s="201"/>
      <c r="UUM685" s="201"/>
      <c r="UUN685" s="201"/>
      <c r="UUO685" s="201"/>
      <c r="UUP685" s="201"/>
      <c r="UUQ685" s="201"/>
      <c r="UUR685" s="201"/>
      <c r="UUS685" s="201"/>
      <c r="UUT685" s="201"/>
      <c r="UUU685" s="201"/>
      <c r="UUV685" s="201"/>
      <c r="UUW685" s="201"/>
      <c r="UUX685" s="201"/>
      <c r="UUY685" s="201"/>
      <c r="UUZ685" s="201"/>
      <c r="UVA685" s="201"/>
      <c r="UVB685" s="201"/>
      <c r="UVC685" s="201"/>
      <c r="UVD685" s="201"/>
      <c r="UVE685" s="201"/>
      <c r="UVF685" s="201"/>
      <c r="UVG685" s="201"/>
      <c r="UVH685" s="201"/>
      <c r="UVI685" s="201"/>
      <c r="UVJ685" s="201"/>
      <c r="UVK685" s="201"/>
      <c r="UVL685" s="201"/>
      <c r="UVM685" s="201"/>
      <c r="UVN685" s="201"/>
      <c r="UVO685" s="201"/>
      <c r="UVP685" s="201"/>
      <c r="UVQ685" s="201"/>
      <c r="UVR685" s="201"/>
      <c r="UVS685" s="201"/>
      <c r="UVT685" s="201"/>
      <c r="UVU685" s="201"/>
      <c r="UVV685" s="201"/>
      <c r="UVW685" s="201"/>
      <c r="UVX685" s="201"/>
      <c r="UVY685" s="201"/>
      <c r="UVZ685" s="201"/>
      <c r="UWA685" s="201"/>
      <c r="UWB685" s="201"/>
      <c r="UWC685" s="201"/>
      <c r="UWD685" s="201"/>
      <c r="UWE685" s="201"/>
      <c r="UWF685" s="201"/>
      <c r="UWG685" s="201"/>
      <c r="UWH685" s="201"/>
      <c r="UWI685" s="201"/>
      <c r="UWJ685" s="201"/>
      <c r="UWK685" s="201"/>
      <c r="UWL685" s="201"/>
      <c r="UWM685" s="201"/>
      <c r="UWN685" s="201"/>
      <c r="UWO685" s="201"/>
      <c r="UWP685" s="201"/>
      <c r="UWQ685" s="201"/>
      <c r="UWR685" s="201"/>
      <c r="UWS685" s="201"/>
      <c r="UWT685" s="201"/>
      <c r="UWU685" s="201"/>
      <c r="UWV685" s="201"/>
      <c r="UWW685" s="201"/>
      <c r="UWX685" s="201"/>
      <c r="UWY685" s="201"/>
      <c r="UWZ685" s="201"/>
      <c r="UXA685" s="201"/>
      <c r="UXB685" s="201"/>
      <c r="UXC685" s="201"/>
      <c r="UXD685" s="201"/>
      <c r="UXE685" s="201"/>
      <c r="UXF685" s="201"/>
      <c r="UXG685" s="201"/>
      <c r="UXH685" s="201"/>
      <c r="UXI685" s="201"/>
      <c r="UXJ685" s="201"/>
      <c r="UXK685" s="201"/>
      <c r="UXL685" s="201"/>
      <c r="UXM685" s="201"/>
      <c r="UXN685" s="201"/>
      <c r="UXO685" s="201"/>
      <c r="UXP685" s="201"/>
      <c r="UXQ685" s="201"/>
      <c r="UXR685" s="201"/>
      <c r="UXS685" s="201"/>
      <c r="UXT685" s="201"/>
      <c r="UXU685" s="201"/>
      <c r="UXV685" s="201"/>
      <c r="UXW685" s="201"/>
      <c r="UXX685" s="201"/>
      <c r="UXY685" s="201"/>
      <c r="UXZ685" s="201"/>
      <c r="UYA685" s="201"/>
      <c r="UYB685" s="201"/>
      <c r="UYC685" s="201"/>
      <c r="UYD685" s="201"/>
      <c r="UYE685" s="201"/>
      <c r="UYF685" s="201"/>
      <c r="UYG685" s="201"/>
      <c r="UYH685" s="201"/>
      <c r="UYI685" s="201"/>
      <c r="UYJ685" s="201"/>
      <c r="UYK685" s="201"/>
      <c r="UYL685" s="201"/>
      <c r="UYM685" s="201"/>
      <c r="UYN685" s="201"/>
      <c r="UYO685" s="201"/>
      <c r="UYP685" s="201"/>
      <c r="UYQ685" s="201"/>
      <c r="UYR685" s="201"/>
      <c r="UYS685" s="201"/>
      <c r="UYT685" s="201"/>
      <c r="UYU685" s="201"/>
      <c r="UYV685" s="201"/>
      <c r="UYW685" s="201"/>
      <c r="UYX685" s="201"/>
      <c r="UYY685" s="201"/>
      <c r="UYZ685" s="201"/>
      <c r="UZA685" s="201"/>
      <c r="UZB685" s="201"/>
      <c r="UZC685" s="201"/>
      <c r="UZD685" s="201"/>
      <c r="UZE685" s="201"/>
      <c r="UZF685" s="201"/>
      <c r="UZG685" s="201"/>
      <c r="UZH685" s="201"/>
      <c r="UZI685" s="201"/>
      <c r="UZJ685" s="201"/>
      <c r="UZK685" s="201"/>
      <c r="UZL685" s="201"/>
      <c r="UZM685" s="201"/>
      <c r="UZN685" s="201"/>
      <c r="UZO685" s="201"/>
      <c r="UZP685" s="201"/>
      <c r="UZQ685" s="201"/>
      <c r="UZR685" s="201"/>
      <c r="UZS685" s="201"/>
      <c r="UZT685" s="201"/>
      <c r="UZU685" s="201"/>
      <c r="UZV685" s="201"/>
      <c r="UZW685" s="201"/>
      <c r="UZX685" s="201"/>
      <c r="UZY685" s="201"/>
      <c r="UZZ685" s="201"/>
      <c r="VAA685" s="201"/>
      <c r="VAB685" s="201"/>
      <c r="VAC685" s="201"/>
      <c r="VAD685" s="201"/>
      <c r="VAE685" s="201"/>
      <c r="VAF685" s="201"/>
      <c r="VAG685" s="201"/>
      <c r="VAH685" s="201"/>
      <c r="VAI685" s="201"/>
      <c r="VAJ685" s="201"/>
      <c r="VAK685" s="201"/>
      <c r="VAL685" s="201"/>
      <c r="VAM685" s="201"/>
      <c r="VAN685" s="201"/>
      <c r="VAO685" s="201"/>
      <c r="VAP685" s="201"/>
      <c r="VAQ685" s="201"/>
      <c r="VAR685" s="201"/>
      <c r="VAS685" s="201"/>
      <c r="VAT685" s="201"/>
      <c r="VAU685" s="201"/>
      <c r="VAV685" s="201"/>
      <c r="VAW685" s="201"/>
      <c r="VAX685" s="201"/>
      <c r="VAY685" s="201"/>
      <c r="VAZ685" s="201"/>
      <c r="VBA685" s="201"/>
      <c r="VBB685" s="201"/>
      <c r="VBC685" s="201"/>
      <c r="VBD685" s="201"/>
      <c r="VBE685" s="201"/>
      <c r="VBF685" s="201"/>
      <c r="VBG685" s="201"/>
      <c r="VBH685" s="201"/>
      <c r="VBI685" s="201"/>
      <c r="VBJ685" s="201"/>
      <c r="VBK685" s="201"/>
      <c r="VBL685" s="201"/>
      <c r="VBM685" s="201"/>
      <c r="VBN685" s="201"/>
      <c r="VBO685" s="201"/>
      <c r="VBP685" s="201"/>
      <c r="VBQ685" s="201"/>
      <c r="VBR685" s="201"/>
      <c r="VBS685" s="201"/>
      <c r="VBT685" s="201"/>
      <c r="VBU685" s="201"/>
      <c r="VBV685" s="201"/>
      <c r="VBW685" s="201"/>
      <c r="VBX685" s="201"/>
      <c r="VBY685" s="201"/>
      <c r="VBZ685" s="201"/>
      <c r="VCA685" s="201"/>
      <c r="VCB685" s="201"/>
      <c r="VCC685" s="201"/>
      <c r="VCD685" s="201"/>
      <c r="VCE685" s="201"/>
      <c r="VCF685" s="201"/>
      <c r="VCG685" s="201"/>
      <c r="VCH685" s="201"/>
      <c r="VCI685" s="201"/>
      <c r="VCJ685" s="201"/>
      <c r="VCK685" s="201"/>
      <c r="VCL685" s="201"/>
      <c r="VCM685" s="201"/>
      <c r="VCN685" s="201"/>
      <c r="VCO685" s="201"/>
      <c r="VCP685" s="201"/>
      <c r="VCQ685" s="201"/>
      <c r="VCR685" s="201"/>
      <c r="VCS685" s="201"/>
      <c r="VCT685" s="201"/>
      <c r="VCU685" s="201"/>
      <c r="VCV685" s="201"/>
      <c r="VCW685" s="201"/>
      <c r="VCX685" s="201"/>
      <c r="VCY685" s="201"/>
      <c r="VCZ685" s="201"/>
      <c r="VDA685" s="201"/>
      <c r="VDB685" s="201"/>
      <c r="VDC685" s="201"/>
      <c r="VDD685" s="201"/>
      <c r="VDE685" s="201"/>
      <c r="VDF685" s="201"/>
      <c r="VDG685" s="201"/>
      <c r="VDH685" s="201"/>
      <c r="VDI685" s="201"/>
      <c r="VDJ685" s="201"/>
      <c r="VDK685" s="201"/>
      <c r="VDL685" s="201"/>
      <c r="VDM685" s="201"/>
      <c r="VDN685" s="201"/>
      <c r="VDO685" s="201"/>
      <c r="VDP685" s="201"/>
      <c r="VDQ685" s="201"/>
      <c r="VDR685" s="201"/>
      <c r="VDS685" s="201"/>
      <c r="VDT685" s="201"/>
      <c r="VDU685" s="201"/>
      <c r="VDV685" s="201"/>
      <c r="VDW685" s="201"/>
      <c r="VDX685" s="201"/>
      <c r="VDY685" s="201"/>
      <c r="VDZ685" s="201"/>
      <c r="VEA685" s="201"/>
      <c r="VEB685" s="201"/>
      <c r="VEC685" s="201"/>
      <c r="VED685" s="201"/>
      <c r="VEE685" s="201"/>
      <c r="VEF685" s="201"/>
      <c r="VEG685" s="201"/>
      <c r="VEH685" s="201"/>
      <c r="VEI685" s="201"/>
      <c r="VEJ685" s="201"/>
      <c r="VEK685" s="201"/>
      <c r="VEL685" s="201"/>
      <c r="VEM685" s="201"/>
      <c r="VEN685" s="201"/>
      <c r="VEO685" s="201"/>
      <c r="VEP685" s="201"/>
      <c r="VEQ685" s="201"/>
      <c r="VER685" s="201"/>
      <c r="VES685" s="201"/>
      <c r="VET685" s="201"/>
      <c r="VEU685" s="201"/>
      <c r="VEV685" s="201"/>
      <c r="VEW685" s="201"/>
      <c r="VEX685" s="201"/>
      <c r="VEY685" s="201"/>
      <c r="VEZ685" s="201"/>
      <c r="VFA685" s="201"/>
      <c r="VFB685" s="201"/>
      <c r="VFC685" s="201"/>
      <c r="VFD685" s="201"/>
      <c r="VFE685" s="201"/>
      <c r="VFF685" s="201"/>
      <c r="VFG685" s="201"/>
      <c r="VFH685" s="201"/>
      <c r="VFI685" s="201"/>
      <c r="VFJ685" s="201"/>
      <c r="VFK685" s="201"/>
      <c r="VFL685" s="201"/>
      <c r="VFM685" s="201"/>
      <c r="VFN685" s="201"/>
      <c r="VFO685" s="201"/>
      <c r="VFP685" s="201"/>
      <c r="VFQ685" s="201"/>
      <c r="VFR685" s="201"/>
      <c r="VFS685" s="201"/>
      <c r="VFT685" s="201"/>
      <c r="VFU685" s="201"/>
      <c r="VFV685" s="201"/>
      <c r="VFW685" s="201"/>
      <c r="VFX685" s="201"/>
      <c r="VFY685" s="201"/>
      <c r="VFZ685" s="201"/>
      <c r="VGA685" s="201"/>
      <c r="VGB685" s="201"/>
      <c r="VGC685" s="201"/>
      <c r="VGD685" s="201"/>
      <c r="VGE685" s="201"/>
      <c r="VGF685" s="201"/>
      <c r="VGG685" s="201"/>
      <c r="VGH685" s="201"/>
      <c r="VGI685" s="201"/>
      <c r="VGJ685" s="201"/>
      <c r="VGK685" s="201"/>
      <c r="VGL685" s="201"/>
      <c r="VGM685" s="201"/>
      <c r="VGN685" s="201"/>
      <c r="VGO685" s="201"/>
      <c r="VGP685" s="201"/>
      <c r="VGQ685" s="201"/>
      <c r="VGR685" s="201"/>
      <c r="VGS685" s="201"/>
      <c r="VGT685" s="201"/>
      <c r="VGU685" s="201"/>
      <c r="VGV685" s="201"/>
      <c r="VGW685" s="201"/>
      <c r="VGX685" s="201"/>
      <c r="VGY685" s="201"/>
      <c r="VGZ685" s="201"/>
      <c r="VHA685" s="201"/>
      <c r="VHB685" s="201"/>
      <c r="VHC685" s="201"/>
      <c r="VHD685" s="201"/>
      <c r="VHE685" s="201"/>
      <c r="VHF685" s="201"/>
      <c r="VHG685" s="201"/>
      <c r="VHH685" s="201"/>
      <c r="VHI685" s="201"/>
      <c r="VHJ685" s="201"/>
      <c r="VHK685" s="201"/>
      <c r="VHL685" s="201"/>
      <c r="VHM685" s="201"/>
      <c r="VHN685" s="201"/>
      <c r="VHO685" s="201"/>
      <c r="VHP685" s="201"/>
      <c r="VHQ685" s="201"/>
      <c r="VHR685" s="201"/>
      <c r="VHS685" s="201"/>
      <c r="VHT685" s="201"/>
      <c r="VHU685" s="201"/>
      <c r="VHV685" s="201"/>
      <c r="VHW685" s="201"/>
      <c r="VHX685" s="201"/>
      <c r="VHY685" s="201"/>
      <c r="VHZ685" s="201"/>
      <c r="VIA685" s="201"/>
      <c r="VIB685" s="201"/>
      <c r="VIC685" s="201"/>
      <c r="VID685" s="201"/>
      <c r="VIE685" s="201"/>
      <c r="VIF685" s="201"/>
      <c r="VIG685" s="201"/>
      <c r="VIH685" s="201"/>
      <c r="VII685" s="201"/>
      <c r="VIJ685" s="201"/>
      <c r="VIK685" s="201"/>
      <c r="VIL685" s="201"/>
      <c r="VIM685" s="201"/>
      <c r="VIN685" s="201"/>
      <c r="VIO685" s="201"/>
      <c r="VIP685" s="201"/>
      <c r="VIQ685" s="201"/>
      <c r="VIR685" s="201"/>
      <c r="VIS685" s="201"/>
      <c r="VIT685" s="201"/>
      <c r="VIU685" s="201"/>
      <c r="VIV685" s="201"/>
      <c r="VIW685" s="201"/>
      <c r="VIX685" s="201"/>
      <c r="VIY685" s="201"/>
      <c r="VIZ685" s="201"/>
      <c r="VJA685" s="201"/>
      <c r="VJB685" s="201"/>
      <c r="VJC685" s="201"/>
      <c r="VJD685" s="201"/>
      <c r="VJE685" s="201"/>
      <c r="VJF685" s="201"/>
      <c r="VJG685" s="201"/>
      <c r="VJH685" s="201"/>
      <c r="VJI685" s="201"/>
      <c r="VJJ685" s="201"/>
      <c r="VJK685" s="201"/>
      <c r="VJL685" s="201"/>
      <c r="VJM685" s="201"/>
      <c r="VJN685" s="201"/>
      <c r="VJO685" s="201"/>
      <c r="VJP685" s="201"/>
      <c r="VJQ685" s="201"/>
      <c r="VJR685" s="201"/>
      <c r="VJS685" s="201"/>
      <c r="VJT685" s="201"/>
      <c r="VJU685" s="201"/>
      <c r="VJV685" s="201"/>
      <c r="VJW685" s="201"/>
      <c r="VJX685" s="201"/>
      <c r="VJY685" s="201"/>
      <c r="VJZ685" s="201"/>
      <c r="VKA685" s="201"/>
      <c r="VKB685" s="201"/>
      <c r="VKC685" s="201"/>
      <c r="VKD685" s="201"/>
      <c r="VKE685" s="201"/>
      <c r="VKF685" s="201"/>
      <c r="VKG685" s="201"/>
      <c r="VKH685" s="201"/>
      <c r="VKI685" s="201"/>
      <c r="VKJ685" s="201"/>
      <c r="VKK685" s="201"/>
      <c r="VKL685" s="201"/>
      <c r="VKM685" s="201"/>
      <c r="VKN685" s="201"/>
      <c r="VKO685" s="201"/>
      <c r="VKP685" s="201"/>
      <c r="VKQ685" s="201"/>
      <c r="VKR685" s="201"/>
      <c r="VKS685" s="201"/>
      <c r="VKT685" s="201"/>
      <c r="VKU685" s="201"/>
      <c r="VKV685" s="201"/>
      <c r="VKW685" s="201"/>
      <c r="VKX685" s="201"/>
      <c r="VKY685" s="201"/>
      <c r="VKZ685" s="201"/>
      <c r="VLA685" s="201"/>
      <c r="VLB685" s="201"/>
      <c r="VLC685" s="201"/>
      <c r="VLD685" s="201"/>
      <c r="VLE685" s="201"/>
      <c r="VLF685" s="201"/>
      <c r="VLG685" s="201"/>
      <c r="VLH685" s="201"/>
      <c r="VLI685" s="201"/>
      <c r="VLJ685" s="201"/>
      <c r="VLK685" s="201"/>
      <c r="VLL685" s="201"/>
      <c r="VLM685" s="201"/>
      <c r="VLN685" s="201"/>
      <c r="VLO685" s="201"/>
      <c r="VLP685" s="201"/>
      <c r="VLQ685" s="201"/>
      <c r="VLR685" s="201"/>
      <c r="VLS685" s="201"/>
      <c r="VLT685" s="201"/>
      <c r="VLU685" s="201"/>
      <c r="VLV685" s="201"/>
      <c r="VLW685" s="201"/>
      <c r="VLX685" s="201"/>
      <c r="VLY685" s="201"/>
      <c r="VLZ685" s="201"/>
      <c r="VMA685" s="201"/>
      <c r="VMB685" s="201"/>
      <c r="VMC685" s="201"/>
      <c r="VMD685" s="201"/>
      <c r="VME685" s="201"/>
      <c r="VMF685" s="201"/>
      <c r="VMG685" s="201"/>
      <c r="VMH685" s="201"/>
      <c r="VMI685" s="201"/>
      <c r="VMJ685" s="201"/>
      <c r="VMK685" s="201"/>
      <c r="VML685" s="201"/>
      <c r="VMM685" s="201"/>
      <c r="VMN685" s="201"/>
      <c r="VMO685" s="201"/>
      <c r="VMP685" s="201"/>
      <c r="VMQ685" s="201"/>
      <c r="VMR685" s="201"/>
      <c r="VMS685" s="201"/>
      <c r="VMT685" s="201"/>
      <c r="VMU685" s="201"/>
      <c r="VMV685" s="201"/>
      <c r="VMW685" s="201"/>
      <c r="VMX685" s="201"/>
      <c r="VMY685" s="201"/>
      <c r="VMZ685" s="201"/>
      <c r="VNA685" s="201"/>
      <c r="VNB685" s="201"/>
      <c r="VNC685" s="201"/>
      <c r="VND685" s="201"/>
      <c r="VNE685" s="201"/>
      <c r="VNF685" s="201"/>
      <c r="VNG685" s="201"/>
      <c r="VNH685" s="201"/>
      <c r="VNI685" s="201"/>
      <c r="VNJ685" s="201"/>
      <c r="VNK685" s="201"/>
      <c r="VNL685" s="201"/>
      <c r="VNM685" s="201"/>
      <c r="VNN685" s="201"/>
      <c r="VNO685" s="201"/>
      <c r="VNP685" s="201"/>
      <c r="VNQ685" s="201"/>
      <c r="VNR685" s="201"/>
      <c r="VNS685" s="201"/>
      <c r="VNT685" s="201"/>
      <c r="VNU685" s="201"/>
      <c r="VNV685" s="201"/>
      <c r="VNW685" s="201"/>
      <c r="VNX685" s="201"/>
      <c r="VNY685" s="201"/>
      <c r="VNZ685" s="201"/>
      <c r="VOA685" s="201"/>
      <c r="VOB685" s="201"/>
      <c r="VOC685" s="201"/>
      <c r="VOD685" s="201"/>
      <c r="VOE685" s="201"/>
      <c r="VOF685" s="201"/>
      <c r="VOG685" s="201"/>
      <c r="VOH685" s="201"/>
      <c r="VOI685" s="201"/>
      <c r="VOJ685" s="201"/>
      <c r="VOK685" s="201"/>
      <c r="VOL685" s="201"/>
      <c r="VOM685" s="201"/>
      <c r="VON685" s="201"/>
      <c r="VOO685" s="201"/>
      <c r="VOP685" s="201"/>
      <c r="VOQ685" s="201"/>
      <c r="VOR685" s="201"/>
      <c r="VOS685" s="201"/>
      <c r="VOT685" s="201"/>
      <c r="VOU685" s="201"/>
      <c r="VOV685" s="201"/>
      <c r="VOW685" s="201"/>
      <c r="VOX685" s="201"/>
      <c r="VOY685" s="201"/>
      <c r="VOZ685" s="201"/>
      <c r="VPA685" s="201"/>
      <c r="VPB685" s="201"/>
      <c r="VPC685" s="201"/>
      <c r="VPD685" s="201"/>
      <c r="VPE685" s="201"/>
      <c r="VPF685" s="201"/>
      <c r="VPG685" s="201"/>
      <c r="VPH685" s="201"/>
      <c r="VPI685" s="201"/>
      <c r="VPJ685" s="201"/>
      <c r="VPK685" s="201"/>
      <c r="VPL685" s="201"/>
      <c r="VPM685" s="201"/>
      <c r="VPN685" s="201"/>
      <c r="VPO685" s="201"/>
      <c r="VPP685" s="201"/>
      <c r="VPQ685" s="201"/>
      <c r="VPR685" s="201"/>
      <c r="VPS685" s="201"/>
      <c r="VPT685" s="201"/>
      <c r="VPU685" s="201"/>
      <c r="VPV685" s="201"/>
      <c r="VPW685" s="201"/>
      <c r="VPX685" s="201"/>
      <c r="VPY685" s="201"/>
      <c r="VPZ685" s="201"/>
      <c r="VQA685" s="201"/>
      <c r="VQB685" s="201"/>
      <c r="VQC685" s="201"/>
      <c r="VQD685" s="201"/>
      <c r="VQE685" s="201"/>
      <c r="VQF685" s="201"/>
      <c r="VQG685" s="201"/>
      <c r="VQH685" s="201"/>
      <c r="VQI685" s="201"/>
      <c r="VQJ685" s="201"/>
      <c r="VQK685" s="201"/>
      <c r="VQL685" s="201"/>
      <c r="VQM685" s="201"/>
      <c r="VQN685" s="201"/>
      <c r="VQO685" s="201"/>
      <c r="VQP685" s="201"/>
      <c r="VQQ685" s="201"/>
      <c r="VQR685" s="201"/>
      <c r="VQS685" s="201"/>
      <c r="VQT685" s="201"/>
      <c r="VQU685" s="201"/>
      <c r="VQV685" s="201"/>
      <c r="VQW685" s="201"/>
      <c r="VQX685" s="201"/>
      <c r="VQY685" s="201"/>
      <c r="VQZ685" s="201"/>
      <c r="VRA685" s="201"/>
      <c r="VRB685" s="201"/>
      <c r="VRC685" s="201"/>
      <c r="VRD685" s="201"/>
      <c r="VRE685" s="201"/>
      <c r="VRF685" s="201"/>
      <c r="VRG685" s="201"/>
      <c r="VRH685" s="201"/>
      <c r="VRI685" s="201"/>
      <c r="VRJ685" s="201"/>
      <c r="VRK685" s="201"/>
      <c r="VRL685" s="201"/>
      <c r="VRM685" s="201"/>
      <c r="VRN685" s="201"/>
      <c r="VRO685" s="201"/>
      <c r="VRP685" s="201"/>
      <c r="VRQ685" s="201"/>
      <c r="VRR685" s="201"/>
      <c r="VRS685" s="201"/>
      <c r="VRT685" s="201"/>
      <c r="VRU685" s="201"/>
      <c r="VRV685" s="201"/>
      <c r="VRW685" s="201"/>
      <c r="VRX685" s="201"/>
      <c r="VRY685" s="201"/>
      <c r="VRZ685" s="201"/>
      <c r="VSA685" s="201"/>
      <c r="VSB685" s="201"/>
      <c r="VSC685" s="201"/>
      <c r="VSD685" s="201"/>
      <c r="VSE685" s="201"/>
      <c r="VSF685" s="201"/>
      <c r="VSG685" s="201"/>
      <c r="VSH685" s="201"/>
      <c r="VSI685" s="201"/>
      <c r="VSJ685" s="201"/>
      <c r="VSK685" s="201"/>
      <c r="VSL685" s="201"/>
      <c r="VSM685" s="201"/>
      <c r="VSN685" s="201"/>
      <c r="VSO685" s="201"/>
      <c r="VSP685" s="201"/>
      <c r="VSQ685" s="201"/>
      <c r="VSR685" s="201"/>
      <c r="VSS685" s="201"/>
      <c r="VST685" s="201"/>
      <c r="VSU685" s="201"/>
      <c r="VSV685" s="201"/>
      <c r="VSW685" s="201"/>
      <c r="VSX685" s="201"/>
      <c r="VSY685" s="201"/>
      <c r="VSZ685" s="201"/>
      <c r="VTA685" s="201"/>
      <c r="VTB685" s="201"/>
      <c r="VTC685" s="201"/>
      <c r="VTD685" s="201"/>
      <c r="VTE685" s="201"/>
      <c r="VTF685" s="201"/>
      <c r="VTG685" s="201"/>
      <c r="VTH685" s="201"/>
      <c r="VTI685" s="201"/>
      <c r="VTJ685" s="201"/>
      <c r="VTK685" s="201"/>
      <c r="VTL685" s="201"/>
      <c r="VTM685" s="201"/>
      <c r="VTN685" s="201"/>
      <c r="VTO685" s="201"/>
      <c r="VTP685" s="201"/>
      <c r="VTQ685" s="201"/>
      <c r="VTR685" s="201"/>
      <c r="VTS685" s="201"/>
      <c r="VTT685" s="201"/>
      <c r="VTU685" s="201"/>
      <c r="VTV685" s="201"/>
      <c r="VTW685" s="201"/>
      <c r="VTX685" s="201"/>
      <c r="VTY685" s="201"/>
      <c r="VTZ685" s="201"/>
      <c r="VUA685" s="201"/>
      <c r="VUB685" s="201"/>
      <c r="VUC685" s="201"/>
      <c r="VUD685" s="201"/>
      <c r="VUE685" s="201"/>
      <c r="VUF685" s="201"/>
      <c r="VUG685" s="201"/>
      <c r="VUH685" s="201"/>
      <c r="VUI685" s="201"/>
      <c r="VUJ685" s="201"/>
      <c r="VUK685" s="201"/>
      <c r="VUL685" s="201"/>
      <c r="VUM685" s="201"/>
      <c r="VUN685" s="201"/>
      <c r="VUO685" s="201"/>
      <c r="VUP685" s="201"/>
      <c r="VUQ685" s="201"/>
      <c r="VUR685" s="201"/>
      <c r="VUS685" s="201"/>
      <c r="VUT685" s="201"/>
      <c r="VUU685" s="201"/>
      <c r="VUV685" s="201"/>
      <c r="VUW685" s="201"/>
      <c r="VUX685" s="201"/>
      <c r="VUY685" s="201"/>
      <c r="VUZ685" s="201"/>
      <c r="VVA685" s="201"/>
      <c r="VVB685" s="201"/>
      <c r="VVC685" s="201"/>
      <c r="VVD685" s="201"/>
      <c r="VVE685" s="201"/>
      <c r="VVF685" s="201"/>
      <c r="VVG685" s="201"/>
      <c r="VVH685" s="201"/>
      <c r="VVI685" s="201"/>
      <c r="VVJ685" s="201"/>
      <c r="VVK685" s="201"/>
      <c r="VVL685" s="201"/>
      <c r="VVM685" s="201"/>
      <c r="VVN685" s="201"/>
      <c r="VVO685" s="201"/>
      <c r="VVP685" s="201"/>
      <c r="VVQ685" s="201"/>
      <c r="VVR685" s="201"/>
      <c r="VVS685" s="201"/>
      <c r="VVT685" s="201"/>
      <c r="VVU685" s="201"/>
      <c r="VVV685" s="201"/>
      <c r="VVW685" s="201"/>
      <c r="VVX685" s="201"/>
      <c r="VVY685" s="201"/>
      <c r="VVZ685" s="201"/>
      <c r="VWA685" s="201"/>
      <c r="VWB685" s="201"/>
      <c r="VWC685" s="201"/>
      <c r="VWD685" s="201"/>
      <c r="VWE685" s="201"/>
      <c r="VWF685" s="201"/>
      <c r="VWG685" s="201"/>
      <c r="VWH685" s="201"/>
      <c r="VWI685" s="201"/>
      <c r="VWJ685" s="201"/>
      <c r="VWK685" s="201"/>
      <c r="VWL685" s="201"/>
      <c r="VWM685" s="201"/>
      <c r="VWN685" s="201"/>
      <c r="VWO685" s="201"/>
      <c r="VWP685" s="201"/>
      <c r="VWQ685" s="201"/>
      <c r="VWR685" s="201"/>
      <c r="VWS685" s="201"/>
      <c r="VWT685" s="201"/>
      <c r="VWU685" s="201"/>
      <c r="VWV685" s="201"/>
      <c r="VWW685" s="201"/>
      <c r="VWX685" s="201"/>
      <c r="VWY685" s="201"/>
      <c r="VWZ685" s="201"/>
      <c r="VXA685" s="201"/>
      <c r="VXB685" s="201"/>
      <c r="VXC685" s="201"/>
      <c r="VXD685" s="201"/>
      <c r="VXE685" s="201"/>
      <c r="VXF685" s="201"/>
      <c r="VXG685" s="201"/>
      <c r="VXH685" s="201"/>
      <c r="VXI685" s="201"/>
      <c r="VXJ685" s="201"/>
      <c r="VXK685" s="201"/>
      <c r="VXL685" s="201"/>
      <c r="VXM685" s="201"/>
      <c r="VXN685" s="201"/>
      <c r="VXO685" s="201"/>
      <c r="VXP685" s="201"/>
      <c r="VXQ685" s="201"/>
      <c r="VXR685" s="201"/>
      <c r="VXS685" s="201"/>
      <c r="VXT685" s="201"/>
      <c r="VXU685" s="201"/>
      <c r="VXV685" s="201"/>
      <c r="VXW685" s="201"/>
      <c r="VXX685" s="201"/>
      <c r="VXY685" s="201"/>
      <c r="VXZ685" s="201"/>
      <c r="VYA685" s="201"/>
      <c r="VYB685" s="201"/>
      <c r="VYC685" s="201"/>
      <c r="VYD685" s="201"/>
      <c r="VYE685" s="201"/>
      <c r="VYF685" s="201"/>
      <c r="VYG685" s="201"/>
      <c r="VYH685" s="201"/>
      <c r="VYI685" s="201"/>
      <c r="VYJ685" s="201"/>
      <c r="VYK685" s="201"/>
      <c r="VYL685" s="201"/>
      <c r="VYM685" s="201"/>
      <c r="VYN685" s="201"/>
      <c r="VYO685" s="201"/>
      <c r="VYP685" s="201"/>
      <c r="VYQ685" s="201"/>
      <c r="VYR685" s="201"/>
      <c r="VYS685" s="201"/>
      <c r="VYT685" s="201"/>
      <c r="VYU685" s="201"/>
      <c r="VYV685" s="201"/>
      <c r="VYW685" s="201"/>
      <c r="VYX685" s="201"/>
      <c r="VYY685" s="201"/>
      <c r="VYZ685" s="201"/>
      <c r="VZA685" s="201"/>
      <c r="VZB685" s="201"/>
      <c r="VZC685" s="201"/>
      <c r="VZD685" s="201"/>
      <c r="VZE685" s="201"/>
      <c r="VZF685" s="201"/>
      <c r="VZG685" s="201"/>
      <c r="VZH685" s="201"/>
      <c r="VZI685" s="201"/>
      <c r="VZJ685" s="201"/>
      <c r="VZK685" s="201"/>
      <c r="VZL685" s="201"/>
      <c r="VZM685" s="201"/>
      <c r="VZN685" s="201"/>
      <c r="VZO685" s="201"/>
      <c r="VZP685" s="201"/>
      <c r="VZQ685" s="201"/>
      <c r="VZR685" s="201"/>
      <c r="VZS685" s="201"/>
      <c r="VZT685" s="201"/>
      <c r="VZU685" s="201"/>
      <c r="VZV685" s="201"/>
      <c r="VZW685" s="201"/>
      <c r="VZX685" s="201"/>
      <c r="VZY685" s="201"/>
      <c r="VZZ685" s="201"/>
      <c r="WAA685" s="201"/>
      <c r="WAB685" s="201"/>
      <c r="WAC685" s="201"/>
      <c r="WAD685" s="201"/>
      <c r="WAE685" s="201"/>
      <c r="WAF685" s="201"/>
      <c r="WAG685" s="201"/>
      <c r="WAH685" s="201"/>
      <c r="WAI685" s="201"/>
      <c r="WAJ685" s="201"/>
      <c r="WAK685" s="201"/>
      <c r="WAL685" s="201"/>
      <c r="WAM685" s="201"/>
      <c r="WAN685" s="201"/>
      <c r="WAO685" s="201"/>
      <c r="WAP685" s="201"/>
      <c r="WAQ685" s="201"/>
      <c r="WAR685" s="201"/>
      <c r="WAS685" s="201"/>
      <c r="WAT685" s="201"/>
      <c r="WAU685" s="201"/>
      <c r="WAV685" s="201"/>
      <c r="WAW685" s="201"/>
      <c r="WAX685" s="201"/>
      <c r="WAY685" s="201"/>
      <c r="WAZ685" s="201"/>
      <c r="WBA685" s="201"/>
      <c r="WBB685" s="201"/>
      <c r="WBC685" s="201"/>
      <c r="WBD685" s="201"/>
      <c r="WBE685" s="201"/>
      <c r="WBF685" s="201"/>
      <c r="WBG685" s="201"/>
      <c r="WBH685" s="201"/>
      <c r="WBI685" s="201"/>
      <c r="WBJ685" s="201"/>
      <c r="WBK685" s="201"/>
      <c r="WBL685" s="201"/>
      <c r="WBM685" s="201"/>
      <c r="WBN685" s="201"/>
      <c r="WBO685" s="201"/>
      <c r="WBP685" s="201"/>
      <c r="WBQ685" s="201"/>
      <c r="WBR685" s="201"/>
      <c r="WBS685" s="201"/>
      <c r="WBT685" s="201"/>
      <c r="WBU685" s="201"/>
      <c r="WBV685" s="201"/>
      <c r="WBW685" s="201"/>
      <c r="WBX685" s="201"/>
      <c r="WBY685" s="201"/>
      <c r="WBZ685" s="201"/>
      <c r="WCA685" s="201"/>
      <c r="WCB685" s="201"/>
      <c r="WCC685" s="201"/>
      <c r="WCD685" s="201"/>
      <c r="WCE685" s="201"/>
      <c r="WCF685" s="201"/>
      <c r="WCG685" s="201"/>
      <c r="WCH685" s="201"/>
      <c r="WCI685" s="201"/>
      <c r="WCJ685" s="201"/>
      <c r="WCK685" s="201"/>
      <c r="WCL685" s="201"/>
      <c r="WCM685" s="201"/>
      <c r="WCN685" s="201"/>
      <c r="WCO685" s="201"/>
      <c r="WCP685" s="201"/>
      <c r="WCQ685" s="201"/>
      <c r="WCR685" s="201"/>
      <c r="WCS685" s="201"/>
      <c r="WCT685" s="201"/>
      <c r="WCU685" s="201"/>
      <c r="WCV685" s="201"/>
      <c r="WCW685" s="201"/>
      <c r="WCX685" s="201"/>
      <c r="WCY685" s="201"/>
      <c r="WCZ685" s="201"/>
      <c r="WDA685" s="201"/>
      <c r="WDB685" s="201"/>
      <c r="WDC685" s="201"/>
      <c r="WDD685" s="201"/>
      <c r="WDE685" s="201"/>
      <c r="WDF685" s="201"/>
      <c r="WDG685" s="201"/>
      <c r="WDH685" s="201"/>
      <c r="WDI685" s="201"/>
      <c r="WDJ685" s="201"/>
      <c r="WDK685" s="201"/>
      <c r="WDL685" s="201"/>
      <c r="WDM685" s="201"/>
      <c r="WDN685" s="201"/>
      <c r="WDO685" s="201"/>
      <c r="WDP685" s="201"/>
      <c r="WDQ685" s="201"/>
      <c r="WDR685" s="201"/>
      <c r="WDS685" s="201"/>
      <c r="WDT685" s="201"/>
      <c r="WDU685" s="201"/>
      <c r="WDV685" s="201"/>
      <c r="WDW685" s="201"/>
      <c r="WDX685" s="201"/>
      <c r="WDY685" s="201"/>
      <c r="WDZ685" s="201"/>
      <c r="WEA685" s="201"/>
      <c r="WEB685" s="201"/>
      <c r="WEC685" s="201"/>
      <c r="WED685" s="201"/>
      <c r="WEE685" s="201"/>
      <c r="WEF685" s="201"/>
      <c r="WEG685" s="201"/>
      <c r="WEH685" s="201"/>
      <c r="WEI685" s="201"/>
      <c r="WEJ685" s="201"/>
      <c r="WEK685" s="201"/>
      <c r="WEL685" s="201"/>
      <c r="WEM685" s="201"/>
      <c r="WEN685" s="201"/>
      <c r="WEO685" s="201"/>
      <c r="WEP685" s="201"/>
      <c r="WEQ685" s="201"/>
      <c r="WER685" s="201"/>
      <c r="WES685" s="201"/>
      <c r="WET685" s="201"/>
      <c r="WEU685" s="201"/>
      <c r="WEV685" s="201"/>
      <c r="WEW685" s="201"/>
      <c r="WEX685" s="201"/>
      <c r="WEY685" s="201"/>
      <c r="WEZ685" s="201"/>
      <c r="WFA685" s="201"/>
      <c r="WFB685" s="201"/>
      <c r="WFC685" s="201"/>
      <c r="WFD685" s="201"/>
      <c r="WFE685" s="201"/>
      <c r="WFF685" s="201"/>
      <c r="WFG685" s="201"/>
      <c r="WFH685" s="201"/>
      <c r="WFI685" s="201"/>
      <c r="WFJ685" s="201"/>
      <c r="WFK685" s="201"/>
      <c r="WFL685" s="201"/>
      <c r="WFM685" s="201"/>
      <c r="WFN685" s="201"/>
      <c r="WFO685" s="201"/>
      <c r="WFP685" s="201"/>
      <c r="WFQ685" s="201"/>
      <c r="WFR685" s="201"/>
      <c r="WFS685" s="201"/>
      <c r="WFT685" s="201"/>
      <c r="WFU685" s="201"/>
      <c r="WFV685" s="201"/>
      <c r="WFW685" s="201"/>
      <c r="WFX685" s="201"/>
      <c r="WFY685" s="201"/>
      <c r="WFZ685" s="201"/>
      <c r="WGA685" s="201"/>
      <c r="WGB685" s="201"/>
      <c r="WGC685" s="201"/>
      <c r="WGD685" s="201"/>
      <c r="WGE685" s="201"/>
      <c r="WGF685" s="201"/>
      <c r="WGG685" s="201"/>
      <c r="WGH685" s="201"/>
      <c r="WGI685" s="201"/>
      <c r="WGJ685" s="201"/>
      <c r="WGK685" s="201"/>
      <c r="WGL685" s="201"/>
      <c r="WGM685" s="201"/>
      <c r="WGN685" s="201"/>
      <c r="WGO685" s="201"/>
      <c r="WGP685" s="201"/>
      <c r="WGQ685" s="201"/>
      <c r="WGR685" s="201"/>
      <c r="WGS685" s="201"/>
      <c r="WGT685" s="201"/>
      <c r="WGU685" s="201"/>
      <c r="WGV685" s="201"/>
      <c r="WGW685" s="201"/>
      <c r="WGX685" s="201"/>
      <c r="WGY685" s="201"/>
      <c r="WGZ685" s="201"/>
      <c r="WHA685" s="201"/>
      <c r="WHB685" s="201"/>
      <c r="WHC685" s="201"/>
      <c r="WHD685" s="201"/>
      <c r="WHE685" s="201"/>
      <c r="WHF685" s="201"/>
      <c r="WHG685" s="201"/>
      <c r="WHH685" s="201"/>
      <c r="WHI685" s="201"/>
      <c r="WHJ685" s="201"/>
      <c r="WHK685" s="201"/>
      <c r="WHL685" s="201"/>
      <c r="WHM685" s="201"/>
      <c r="WHN685" s="201"/>
      <c r="WHO685" s="201"/>
      <c r="WHP685" s="201"/>
      <c r="WHQ685" s="201"/>
      <c r="WHR685" s="201"/>
      <c r="WHS685" s="201"/>
      <c r="WHT685" s="201"/>
      <c r="WHU685" s="201"/>
      <c r="WHV685" s="201"/>
      <c r="WHW685" s="201"/>
      <c r="WHX685" s="201"/>
      <c r="WHY685" s="201"/>
      <c r="WHZ685" s="201"/>
      <c r="WIA685" s="201"/>
      <c r="WIB685" s="201"/>
      <c r="WIC685" s="201"/>
      <c r="WID685" s="201"/>
      <c r="WIE685" s="201"/>
      <c r="WIF685" s="201"/>
      <c r="WIG685" s="201"/>
      <c r="WIH685" s="201"/>
      <c r="WII685" s="201"/>
      <c r="WIJ685" s="201"/>
      <c r="WIK685" s="201"/>
      <c r="WIL685" s="201"/>
      <c r="WIM685" s="201"/>
      <c r="WIN685" s="201"/>
      <c r="WIO685" s="201"/>
      <c r="WIP685" s="201"/>
      <c r="WIQ685" s="201"/>
      <c r="WIR685" s="201"/>
      <c r="WIS685" s="201"/>
      <c r="WIT685" s="201"/>
      <c r="WIU685" s="201"/>
      <c r="WIV685" s="201"/>
      <c r="WIW685" s="201"/>
      <c r="WIX685" s="201"/>
      <c r="WIY685" s="201"/>
      <c r="WIZ685" s="201"/>
      <c r="WJA685" s="201"/>
      <c r="WJB685" s="201"/>
      <c r="WJC685" s="201"/>
      <c r="WJD685" s="201"/>
      <c r="WJE685" s="201"/>
      <c r="WJF685" s="201"/>
      <c r="WJG685" s="201"/>
      <c r="WJH685" s="201"/>
      <c r="WJI685" s="201"/>
      <c r="WJJ685" s="201"/>
      <c r="WJK685" s="201"/>
      <c r="WJL685" s="201"/>
      <c r="WJM685" s="201"/>
      <c r="WJN685" s="201"/>
      <c r="WJO685" s="201"/>
      <c r="WJP685" s="201"/>
      <c r="WJQ685" s="201"/>
      <c r="WJR685" s="201"/>
      <c r="WJS685" s="201"/>
      <c r="WJT685" s="201"/>
      <c r="WJU685" s="201"/>
      <c r="WJV685" s="201"/>
      <c r="WJW685" s="201"/>
      <c r="WJX685" s="201"/>
      <c r="WJY685" s="201"/>
      <c r="WJZ685" s="201"/>
      <c r="WKA685" s="201"/>
      <c r="WKB685" s="201"/>
      <c r="WKC685" s="201"/>
      <c r="WKD685" s="201"/>
      <c r="WKE685" s="201"/>
      <c r="WKF685" s="201"/>
      <c r="WKG685" s="201"/>
      <c r="WKH685" s="201"/>
      <c r="WKI685" s="201"/>
      <c r="WKJ685" s="201"/>
      <c r="WKK685" s="201"/>
      <c r="WKL685" s="201"/>
      <c r="WKM685" s="201"/>
      <c r="WKN685" s="201"/>
      <c r="WKO685" s="201"/>
      <c r="WKP685" s="201"/>
      <c r="WKQ685" s="201"/>
      <c r="WKR685" s="201"/>
      <c r="WKS685" s="201"/>
      <c r="WKT685" s="201"/>
      <c r="WKU685" s="201"/>
      <c r="WKV685" s="201"/>
      <c r="WKW685" s="201"/>
      <c r="WKX685" s="201"/>
      <c r="WKY685" s="201"/>
      <c r="WKZ685" s="201"/>
      <c r="WLA685" s="201"/>
      <c r="WLB685" s="201"/>
      <c r="WLC685" s="201"/>
      <c r="WLD685" s="201"/>
      <c r="WLE685" s="201"/>
      <c r="WLF685" s="201"/>
      <c r="WLG685" s="201"/>
      <c r="WLH685" s="201"/>
      <c r="WLI685" s="201"/>
      <c r="WLJ685" s="201"/>
      <c r="WLK685" s="201"/>
      <c r="WLL685" s="201"/>
      <c r="WLM685" s="201"/>
      <c r="WLN685" s="201"/>
      <c r="WLO685" s="201"/>
      <c r="WLP685" s="201"/>
      <c r="WLQ685" s="201"/>
      <c r="WLR685" s="201"/>
      <c r="WLS685" s="201"/>
      <c r="WLT685" s="201"/>
      <c r="WLU685" s="201"/>
      <c r="WLV685" s="201"/>
      <c r="WLW685" s="201"/>
      <c r="WLX685" s="201"/>
      <c r="WLY685" s="201"/>
      <c r="WLZ685" s="201"/>
      <c r="WMA685" s="201"/>
      <c r="WMB685" s="201"/>
      <c r="WMC685" s="201"/>
      <c r="WMD685" s="201"/>
      <c r="WME685" s="201"/>
      <c r="WMF685" s="201"/>
      <c r="WMG685" s="201"/>
      <c r="WMH685" s="201"/>
      <c r="WMI685" s="201"/>
      <c r="WMJ685" s="201"/>
      <c r="WMK685" s="201"/>
      <c r="WML685" s="201"/>
      <c r="WMM685" s="201"/>
      <c r="WMN685" s="201"/>
      <c r="WMO685" s="201"/>
      <c r="WMP685" s="201"/>
      <c r="WMQ685" s="201"/>
      <c r="WMR685" s="201"/>
      <c r="WMS685" s="201"/>
      <c r="WMT685" s="201"/>
      <c r="WMU685" s="201"/>
      <c r="WMV685" s="201"/>
      <c r="WMW685" s="201"/>
      <c r="WMX685" s="201"/>
      <c r="WMY685" s="201"/>
      <c r="WMZ685" s="201"/>
      <c r="WNA685" s="201"/>
      <c r="WNB685" s="201"/>
      <c r="WNC685" s="201"/>
      <c r="WND685" s="201"/>
      <c r="WNE685" s="201"/>
      <c r="WNF685" s="201"/>
      <c r="WNG685" s="201"/>
      <c r="WNH685" s="201"/>
      <c r="WNI685" s="201"/>
      <c r="WNJ685" s="201"/>
      <c r="WNK685" s="201"/>
      <c r="WNL685" s="201"/>
      <c r="WNM685" s="201"/>
      <c r="WNN685" s="201"/>
      <c r="WNO685" s="201"/>
      <c r="WNP685" s="201"/>
      <c r="WNQ685" s="201"/>
      <c r="WNR685" s="201"/>
      <c r="WNS685" s="201"/>
      <c r="WNT685" s="201"/>
      <c r="WNU685" s="201"/>
      <c r="WNV685" s="201"/>
      <c r="WNW685" s="201"/>
      <c r="WNX685" s="201"/>
      <c r="WNY685" s="201"/>
      <c r="WNZ685" s="201"/>
      <c r="WOA685" s="201"/>
      <c r="WOB685" s="201"/>
      <c r="WOC685" s="201"/>
      <c r="WOD685" s="201"/>
      <c r="WOE685" s="201"/>
      <c r="WOF685" s="201"/>
      <c r="WOG685" s="201"/>
      <c r="WOH685" s="201"/>
      <c r="WOI685" s="201"/>
      <c r="WOJ685" s="201"/>
      <c r="WOK685" s="201"/>
      <c r="WOL685" s="201"/>
      <c r="WOM685" s="201"/>
      <c r="WON685" s="201"/>
      <c r="WOO685" s="201"/>
      <c r="WOP685" s="201"/>
      <c r="WOQ685" s="201"/>
      <c r="WOR685" s="201"/>
      <c r="WOS685" s="201"/>
      <c r="WOT685" s="201"/>
      <c r="WOU685" s="201"/>
      <c r="WOV685" s="201"/>
      <c r="WOW685" s="201"/>
      <c r="WOX685" s="201"/>
      <c r="WOY685" s="201"/>
      <c r="WOZ685" s="201"/>
      <c r="WPA685" s="201"/>
      <c r="WPB685" s="201"/>
      <c r="WPC685" s="201"/>
      <c r="WPD685" s="201"/>
      <c r="WPE685" s="201"/>
      <c r="WPF685" s="201"/>
      <c r="WPG685" s="201"/>
      <c r="WPH685" s="201"/>
      <c r="WPI685" s="201"/>
      <c r="WPJ685" s="201"/>
      <c r="WPK685" s="201"/>
      <c r="WPL685" s="201"/>
      <c r="WPM685" s="201"/>
      <c r="WPN685" s="201"/>
      <c r="WPO685" s="201"/>
      <c r="WPP685" s="201"/>
      <c r="WPQ685" s="201"/>
      <c r="WPR685" s="201"/>
      <c r="WPS685" s="201"/>
      <c r="WPT685" s="201"/>
      <c r="WPU685" s="201"/>
      <c r="WPV685" s="201"/>
      <c r="WPW685" s="201"/>
      <c r="WPX685" s="201"/>
      <c r="WPY685" s="201"/>
      <c r="WPZ685" s="201"/>
      <c r="WQA685" s="201"/>
      <c r="WQB685" s="201"/>
      <c r="WQC685" s="201"/>
      <c r="WQD685" s="201"/>
      <c r="WQE685" s="201"/>
      <c r="WQF685" s="201"/>
      <c r="WQG685" s="201"/>
      <c r="WQH685" s="201"/>
      <c r="WQI685" s="201"/>
      <c r="WQJ685" s="201"/>
      <c r="WQK685" s="201"/>
      <c r="WQL685" s="201"/>
      <c r="WQM685" s="201"/>
      <c r="WQN685" s="201"/>
      <c r="WQO685" s="201"/>
      <c r="WQP685" s="201"/>
      <c r="WQQ685" s="201"/>
      <c r="WQR685" s="201"/>
      <c r="WQS685" s="201"/>
      <c r="WQT685" s="201"/>
      <c r="WQU685" s="201"/>
      <c r="WQV685" s="201"/>
      <c r="WQW685" s="201"/>
      <c r="WQX685" s="201"/>
      <c r="WQY685" s="201"/>
      <c r="WQZ685" s="201"/>
      <c r="WRA685" s="201"/>
      <c r="WRB685" s="201"/>
      <c r="WRC685" s="201"/>
      <c r="WRD685" s="201"/>
      <c r="WRE685" s="201"/>
      <c r="WRF685" s="201"/>
      <c r="WRG685" s="201"/>
      <c r="WRH685" s="201"/>
      <c r="WRI685" s="201"/>
      <c r="WRJ685" s="201"/>
      <c r="WRK685" s="201"/>
      <c r="WRL685" s="201"/>
      <c r="WRM685" s="201"/>
      <c r="WRN685" s="201"/>
      <c r="WRO685" s="201"/>
      <c r="WRP685" s="201"/>
      <c r="WRQ685" s="201"/>
      <c r="WRR685" s="201"/>
      <c r="WRS685" s="201"/>
      <c r="WRT685" s="201"/>
      <c r="WRU685" s="201"/>
      <c r="WRV685" s="201"/>
      <c r="WRW685" s="201"/>
      <c r="WRX685" s="201"/>
      <c r="WRY685" s="201"/>
      <c r="WRZ685" s="201"/>
      <c r="WSA685" s="201"/>
      <c r="WSB685" s="201"/>
      <c r="WSC685" s="201"/>
      <c r="WSD685" s="201"/>
      <c r="WSE685" s="201"/>
      <c r="WSF685" s="201"/>
      <c r="WSG685" s="201"/>
      <c r="WSH685" s="201"/>
      <c r="WSI685" s="201"/>
      <c r="WSJ685" s="201"/>
      <c r="WSK685" s="201"/>
      <c r="WSL685" s="201"/>
      <c r="WSM685" s="201"/>
      <c r="WSN685" s="201"/>
      <c r="WSO685" s="201"/>
      <c r="WSP685" s="201"/>
      <c r="WSQ685" s="201"/>
      <c r="WSR685" s="201"/>
      <c r="WSS685" s="201"/>
      <c r="WST685" s="201"/>
      <c r="WSU685" s="201"/>
      <c r="WSV685" s="201"/>
      <c r="WSW685" s="201"/>
      <c r="WSX685" s="201"/>
      <c r="WSY685" s="201"/>
      <c r="WSZ685" s="201"/>
      <c r="WTA685" s="201"/>
      <c r="WTB685" s="201"/>
      <c r="WTC685" s="201"/>
      <c r="WTD685" s="201"/>
      <c r="WTE685" s="201"/>
      <c r="WTF685" s="201"/>
      <c r="WTG685" s="201"/>
      <c r="WTH685" s="201"/>
      <c r="WTI685" s="201"/>
      <c r="WTJ685" s="201"/>
      <c r="WTK685" s="201"/>
      <c r="WTL685" s="201"/>
      <c r="WTM685" s="201"/>
      <c r="WTN685" s="201"/>
      <c r="WTO685" s="201"/>
      <c r="WTP685" s="201"/>
      <c r="WTQ685" s="201"/>
      <c r="WTR685" s="201"/>
      <c r="WTS685" s="201"/>
      <c r="WTT685" s="201"/>
      <c r="WTU685" s="201"/>
      <c r="WTV685" s="201"/>
      <c r="WTW685" s="201"/>
      <c r="WTX685" s="201"/>
      <c r="WTY685" s="201"/>
      <c r="WTZ685" s="201"/>
      <c r="WUA685" s="201"/>
      <c r="WUB685" s="201"/>
      <c r="WUC685" s="201"/>
      <c r="WUD685" s="201"/>
      <c r="WUE685" s="201"/>
      <c r="WUF685" s="201"/>
      <c r="WUG685" s="201"/>
      <c r="WUH685" s="201"/>
      <c r="WUI685" s="201"/>
      <c r="WUJ685" s="201"/>
      <c r="WUK685" s="201"/>
      <c r="WUL685" s="201"/>
      <c r="WUM685" s="201"/>
      <c r="WUN685" s="201"/>
      <c r="WUO685" s="201"/>
      <c r="WUP685" s="201"/>
      <c r="WUQ685" s="201"/>
      <c r="WUR685" s="201"/>
      <c r="WUS685" s="201"/>
      <c r="WUT685" s="201"/>
      <c r="WUU685" s="201"/>
      <c r="WUV685" s="201"/>
      <c r="WUW685" s="201"/>
      <c r="WUX685" s="201"/>
      <c r="WUY685" s="201"/>
      <c r="WUZ685" s="201"/>
      <c r="WVA685" s="201"/>
      <c r="WVB685" s="201"/>
      <c r="WVC685" s="201"/>
      <c r="WVD685" s="201"/>
      <c r="WVE685" s="201"/>
      <c r="WVF685" s="201"/>
      <c r="WVG685" s="201"/>
      <c r="WVH685" s="201"/>
      <c r="WVI685" s="201"/>
      <c r="WVJ685" s="201"/>
      <c r="WVK685" s="201"/>
      <c r="WVL685" s="201"/>
      <c r="WVM685" s="201"/>
      <c r="WVN685" s="201"/>
      <c r="WVO685" s="201"/>
      <c r="WVP685" s="201"/>
      <c r="WVQ685" s="201"/>
      <c r="WVR685" s="201"/>
      <c r="WVS685" s="201"/>
      <c r="WVT685" s="201"/>
      <c r="WVU685" s="201"/>
      <c r="WVV685" s="201"/>
      <c r="WVW685" s="201"/>
      <c r="WVX685" s="201"/>
      <c r="WVY685" s="201"/>
      <c r="WVZ685" s="201"/>
      <c r="WWA685" s="201"/>
      <c r="WWB685" s="201"/>
      <c r="WWC685" s="201"/>
      <c r="WWD685" s="201"/>
      <c r="WWE685" s="201"/>
      <c r="WWF685" s="201"/>
      <c r="WWG685" s="201"/>
      <c r="WWH685" s="201"/>
      <c r="WWI685" s="201"/>
      <c r="WWJ685" s="201"/>
      <c r="WWK685" s="201"/>
      <c r="WWL685" s="201"/>
      <c r="WWM685" s="201"/>
      <c r="WWN685" s="201"/>
      <c r="WWO685" s="201"/>
      <c r="WWP685" s="201"/>
      <c r="WWQ685" s="201"/>
      <c r="WWR685" s="201"/>
      <c r="WWS685" s="201"/>
      <c r="WWT685" s="201"/>
      <c r="WWU685" s="201"/>
      <c r="WWV685" s="201"/>
      <c r="WWW685" s="201"/>
      <c r="WWX685" s="201"/>
      <c r="WWY685" s="201"/>
      <c r="WWZ685" s="201"/>
      <c r="WXA685" s="201"/>
      <c r="WXB685" s="201"/>
      <c r="WXC685" s="201"/>
      <c r="WXD685" s="201"/>
      <c r="WXE685" s="201"/>
      <c r="WXF685" s="201"/>
      <c r="WXG685" s="201"/>
      <c r="WXH685" s="201"/>
      <c r="WXI685" s="201"/>
      <c r="WXJ685" s="201"/>
      <c r="WXK685" s="201"/>
      <c r="WXL685" s="201"/>
      <c r="WXM685" s="201"/>
      <c r="WXN685" s="201"/>
      <c r="WXO685" s="201"/>
      <c r="WXP685" s="201"/>
      <c r="WXQ685" s="201"/>
      <c r="WXR685" s="201"/>
      <c r="WXS685" s="201"/>
      <c r="WXT685" s="201"/>
      <c r="WXU685" s="201"/>
      <c r="WXV685" s="201"/>
      <c r="WXW685" s="201"/>
      <c r="WXX685" s="201"/>
      <c r="WXY685" s="201"/>
      <c r="WXZ685" s="201"/>
      <c r="WYA685" s="201"/>
      <c r="WYB685" s="201"/>
      <c r="WYC685" s="201"/>
      <c r="WYD685" s="201"/>
      <c r="WYE685" s="201"/>
      <c r="WYF685" s="201"/>
      <c r="WYG685" s="201"/>
      <c r="WYH685" s="201"/>
      <c r="WYI685" s="201"/>
      <c r="WYJ685" s="201"/>
      <c r="WYK685" s="201"/>
      <c r="WYL685" s="201"/>
      <c r="WYM685" s="201"/>
      <c r="WYN685" s="201"/>
      <c r="WYO685" s="201"/>
      <c r="WYP685" s="201"/>
      <c r="WYQ685" s="201"/>
      <c r="WYR685" s="201"/>
      <c r="WYS685" s="201"/>
      <c r="WYT685" s="201"/>
      <c r="WYU685" s="201"/>
      <c r="WYV685" s="201"/>
      <c r="WYW685" s="201"/>
      <c r="WYX685" s="201"/>
      <c r="WYY685" s="201"/>
      <c r="WYZ685" s="201"/>
      <c r="WZA685" s="201"/>
      <c r="WZB685" s="201"/>
      <c r="WZC685" s="201"/>
      <c r="WZD685" s="201"/>
      <c r="WZE685" s="201"/>
      <c r="WZF685" s="201"/>
      <c r="WZG685" s="201"/>
      <c r="WZH685" s="201"/>
      <c r="WZI685" s="201"/>
      <c r="WZJ685" s="201"/>
      <c r="WZK685" s="201"/>
      <c r="WZL685" s="201"/>
      <c r="WZM685" s="201"/>
      <c r="WZN685" s="201"/>
      <c r="WZO685" s="201"/>
      <c r="WZP685" s="201"/>
      <c r="WZQ685" s="201"/>
      <c r="WZR685" s="201"/>
      <c r="WZS685" s="201"/>
      <c r="WZT685" s="201"/>
      <c r="WZU685" s="201"/>
      <c r="WZV685" s="201"/>
      <c r="WZW685" s="201"/>
      <c r="WZX685" s="201"/>
      <c r="WZY685" s="201"/>
      <c r="WZZ685" s="201"/>
      <c r="XAA685" s="201"/>
      <c r="XAB685" s="201"/>
      <c r="XAC685" s="201"/>
      <c r="XAD685" s="201"/>
      <c r="XAE685" s="201"/>
      <c r="XAF685" s="201"/>
      <c r="XAG685" s="201"/>
      <c r="XAH685" s="201"/>
      <c r="XAI685" s="201"/>
      <c r="XAJ685" s="201"/>
      <c r="XAK685" s="201"/>
      <c r="XAL685" s="201"/>
      <c r="XAM685" s="201"/>
      <c r="XAN685" s="201"/>
      <c r="XAO685" s="201"/>
      <c r="XAP685" s="201"/>
      <c r="XAQ685" s="201"/>
      <c r="XAR685" s="201"/>
      <c r="XAS685" s="201"/>
      <c r="XAT685" s="201"/>
      <c r="XAU685" s="201"/>
      <c r="XAV685" s="201"/>
      <c r="XAW685" s="201"/>
      <c r="XAX685" s="201"/>
      <c r="XAY685" s="201"/>
      <c r="XAZ685" s="201"/>
      <c r="XBA685" s="201"/>
      <c r="XBB685" s="201"/>
      <c r="XBC685" s="201"/>
      <c r="XBD685" s="201"/>
      <c r="XBE685" s="201"/>
      <c r="XBF685" s="201"/>
      <c r="XBG685" s="201"/>
      <c r="XBH685" s="201"/>
      <c r="XBI685" s="201"/>
      <c r="XBJ685" s="201"/>
      <c r="XBK685" s="201"/>
      <c r="XBL685" s="201"/>
      <c r="XBM685" s="201"/>
      <c r="XBN685" s="201"/>
      <c r="XBO685" s="201"/>
      <c r="XBP685" s="201"/>
      <c r="XBQ685" s="201"/>
      <c r="XBR685" s="201"/>
      <c r="XBS685" s="201"/>
      <c r="XBT685" s="201"/>
      <c r="XBU685" s="201"/>
      <c r="XBV685" s="201"/>
      <c r="XBW685" s="201"/>
      <c r="XBX685" s="201"/>
      <c r="XBY685" s="201"/>
      <c r="XBZ685" s="201"/>
      <c r="XCA685" s="201"/>
      <c r="XCB685" s="201"/>
      <c r="XCC685" s="201"/>
      <c r="XCD685" s="201"/>
      <c r="XCE685" s="201"/>
      <c r="XCF685" s="201"/>
      <c r="XCG685" s="201"/>
      <c r="XCH685" s="201"/>
      <c r="XCI685" s="201"/>
      <c r="XCJ685" s="201"/>
      <c r="XCK685" s="201"/>
      <c r="XCL685" s="201"/>
      <c r="XCM685" s="201"/>
      <c r="XCN685" s="201"/>
      <c r="XCO685" s="201"/>
      <c r="XCP685" s="201"/>
      <c r="XCQ685" s="201"/>
      <c r="XCR685" s="201"/>
      <c r="XCS685" s="201"/>
      <c r="XCT685" s="201"/>
      <c r="XCU685" s="201"/>
      <c r="XCV685" s="201"/>
      <c r="XCW685" s="201"/>
      <c r="XCX685" s="201"/>
      <c r="XCY685" s="201"/>
      <c r="XCZ685" s="201"/>
      <c r="XDA685" s="201"/>
      <c r="XDB685" s="201"/>
      <c r="XDC685" s="201"/>
      <c r="XDD685" s="201"/>
      <c r="XDE685" s="201"/>
      <c r="XDF685" s="201"/>
      <c r="XDG685" s="201"/>
      <c r="XDH685" s="201"/>
      <c r="XDI685" s="201"/>
      <c r="XDJ685" s="201"/>
      <c r="XDK685" s="201"/>
      <c r="XDL685" s="201"/>
      <c r="XDM685" s="201"/>
      <c r="XDN685" s="201"/>
      <c r="XDO685" s="201"/>
      <c r="XDP685" s="201"/>
      <c r="XDQ685" s="201"/>
      <c r="XDR685" s="201"/>
      <c r="XDS685" s="201"/>
      <c r="XDT685" s="201"/>
      <c r="XDU685" s="201"/>
      <c r="XDV685" s="201"/>
      <c r="XDW685" s="201"/>
      <c r="XDX685" s="201"/>
      <c r="XDY685" s="201"/>
      <c r="XDZ685" s="201"/>
      <c r="XEA685" s="201"/>
      <c r="XEB685" s="201"/>
      <c r="XEC685" s="201"/>
      <c r="XED685" s="201"/>
      <c r="XEE685" s="201"/>
      <c r="XEF685" s="201"/>
      <c r="XEG685" s="201"/>
      <c r="XEH685" s="201"/>
      <c r="XEI685" s="201"/>
      <c r="XEJ685" s="201"/>
      <c r="XEK685" s="201"/>
      <c r="XEL685" s="201"/>
      <c r="XEM685" s="201"/>
      <c r="XEN685" s="201"/>
      <c r="XEO685" s="201"/>
      <c r="XEP685" s="201"/>
      <c r="XEQ685" s="201"/>
      <c r="XER685" s="201"/>
      <c r="XES685" s="201"/>
      <c r="XET685" s="201"/>
      <c r="XEU685" s="201"/>
      <c r="XEV685" s="201"/>
      <c r="XEW685" s="201"/>
      <c r="XEX685" s="201"/>
      <c r="XEY685" s="201"/>
      <c r="XEZ685" s="201"/>
      <c r="XFA685" s="201"/>
      <c r="XFB685" s="201"/>
      <c r="XFC685" s="201"/>
    </row>
    <row r="686" spans="1:16383" ht="70.150000000000006" customHeight="1">
      <c r="A686" s="154">
        <v>681</v>
      </c>
      <c r="B686" s="155" t="s">
        <v>4088</v>
      </c>
      <c r="C686" s="85" t="s">
        <v>4089</v>
      </c>
      <c r="D686" s="120" t="s">
        <v>53</v>
      </c>
      <c r="E686" s="120" t="s">
        <v>160</v>
      </c>
      <c r="F686" s="120"/>
      <c r="G686" s="120"/>
      <c r="H686" s="120"/>
      <c r="I686" s="120"/>
      <c r="J686" s="155" t="s">
        <v>4098</v>
      </c>
      <c r="K686" s="260" t="s">
        <v>2338</v>
      </c>
      <c r="L686" s="122"/>
      <c r="M686" s="266"/>
      <c r="N686" s="121" t="s">
        <v>4090</v>
      </c>
      <c r="O686" s="122" t="s">
        <v>4091</v>
      </c>
      <c r="P686" s="120" t="s">
        <v>4092</v>
      </c>
      <c r="Q686" s="120" t="s">
        <v>4093</v>
      </c>
      <c r="R686" s="155">
        <v>7094475918</v>
      </c>
      <c r="S686" s="120" t="s">
        <v>4094</v>
      </c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226"/>
      <c r="AF686" s="157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5"/>
      <c r="AW686" s="157"/>
      <c r="AX686" s="156"/>
      <c r="AZ686" s="120" t="s">
        <v>49</v>
      </c>
      <c r="BA686" s="156"/>
      <c r="BB686" s="156"/>
      <c r="BC686" s="156"/>
      <c r="BF686" s="157"/>
    </row>
    <row r="687" spans="1:16383" ht="70.150000000000006" customHeight="1">
      <c r="A687" s="154">
        <v>682</v>
      </c>
      <c r="B687" s="155" t="s">
        <v>4095</v>
      </c>
      <c r="C687" s="85" t="s">
        <v>4096</v>
      </c>
      <c r="D687" s="120" t="s">
        <v>4097</v>
      </c>
      <c r="E687" s="120" t="s">
        <v>160</v>
      </c>
      <c r="F687" s="120"/>
      <c r="G687" s="120"/>
      <c r="H687" s="120"/>
      <c r="I687" s="120"/>
      <c r="J687" s="155" t="s">
        <v>4098</v>
      </c>
      <c r="K687" s="260" t="s">
        <v>1715</v>
      </c>
      <c r="L687" s="122" t="s">
        <v>4211</v>
      </c>
      <c r="M687" s="266"/>
      <c r="N687" s="121" t="s">
        <v>4124</v>
      </c>
      <c r="O687" s="122" t="s">
        <v>4091</v>
      </c>
      <c r="P687" s="120" t="s">
        <v>4092</v>
      </c>
      <c r="Q687" s="120" t="s">
        <v>4093</v>
      </c>
      <c r="R687" s="155">
        <v>8754239787</v>
      </c>
      <c r="S687" s="120" t="s">
        <v>4094</v>
      </c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227"/>
      <c r="AF687" s="157"/>
      <c r="AG687" s="159"/>
      <c r="AH687" s="159"/>
      <c r="AI687" s="159"/>
      <c r="AJ687" s="157"/>
      <c r="AK687" s="159"/>
      <c r="AL687" s="159"/>
      <c r="AM687" s="159"/>
      <c r="AN687" s="159"/>
      <c r="AO687" s="159"/>
      <c r="AP687" s="159"/>
      <c r="AQ687" s="159"/>
      <c r="AR687" s="159"/>
      <c r="AS687" s="159"/>
      <c r="AT687" s="159"/>
      <c r="AU687" s="157"/>
      <c r="AV687" s="157"/>
      <c r="AW687" s="157"/>
      <c r="AX687" s="160"/>
      <c r="AZ687" s="155" t="s">
        <v>49</v>
      </c>
      <c r="BA687" s="157"/>
      <c r="BB687" s="157"/>
      <c r="BC687" s="157"/>
      <c r="BF687" s="157"/>
    </row>
    <row r="688" spans="1:16383" ht="70.150000000000006" customHeight="1">
      <c r="A688" s="154">
        <v>683</v>
      </c>
      <c r="B688" s="155" t="s">
        <v>4099</v>
      </c>
      <c r="C688" s="85" t="s">
        <v>4100</v>
      </c>
      <c r="D688" s="120" t="s">
        <v>53</v>
      </c>
      <c r="E688" s="120" t="s">
        <v>54</v>
      </c>
      <c r="F688" s="120"/>
      <c r="G688" s="120"/>
      <c r="H688" s="120"/>
      <c r="I688" s="120"/>
      <c r="J688" s="155" t="s">
        <v>4098</v>
      </c>
      <c r="K688" s="260" t="s">
        <v>4101</v>
      </c>
      <c r="L688" s="122" t="s">
        <v>4211</v>
      </c>
      <c r="M688" s="266" t="s">
        <v>4102</v>
      </c>
      <c r="N688" s="122" t="s">
        <v>4125</v>
      </c>
      <c r="O688" s="122" t="s">
        <v>4091</v>
      </c>
      <c r="P688" s="120" t="s">
        <v>4092</v>
      </c>
      <c r="Q688" s="120" t="s">
        <v>4093</v>
      </c>
      <c r="R688" s="155">
        <v>9486513912</v>
      </c>
      <c r="S688" s="120" t="s">
        <v>4094</v>
      </c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227"/>
      <c r="AF688" s="159"/>
      <c r="AG688" s="159"/>
      <c r="AH688" s="159"/>
      <c r="AI688" s="159"/>
      <c r="AJ688" s="159"/>
      <c r="AK688" s="159"/>
      <c r="AL688" s="159"/>
      <c r="AM688" s="159"/>
      <c r="AN688" s="159"/>
      <c r="AO688" s="159"/>
      <c r="AP688" s="159"/>
      <c r="AQ688" s="159"/>
      <c r="AR688" s="159"/>
      <c r="AS688" s="159"/>
      <c r="AT688" s="159"/>
      <c r="AU688" s="159"/>
      <c r="AV688" s="157"/>
      <c r="AW688" s="157"/>
      <c r="AX688" s="157"/>
      <c r="AZ688" s="155" t="s">
        <v>49</v>
      </c>
      <c r="BA688" s="160"/>
      <c r="BB688" s="157"/>
      <c r="BC688" s="157"/>
      <c r="BF688" s="157"/>
    </row>
    <row r="689" spans="1:58" ht="70.150000000000006" customHeight="1">
      <c r="A689" s="154">
        <v>684</v>
      </c>
      <c r="B689" s="155" t="s">
        <v>4103</v>
      </c>
      <c r="C689" s="85" t="s">
        <v>4104</v>
      </c>
      <c r="D689" s="120" t="s">
        <v>53</v>
      </c>
      <c r="E689" s="120" t="s">
        <v>160</v>
      </c>
      <c r="F689" s="120"/>
      <c r="G689" s="120"/>
      <c r="H689" s="120"/>
      <c r="I689" s="120"/>
      <c r="J689" s="155" t="s">
        <v>4105</v>
      </c>
      <c r="K689" s="260" t="s">
        <v>4106</v>
      </c>
      <c r="L689" s="122" t="s">
        <v>4211</v>
      </c>
      <c r="M689" s="266" t="s">
        <v>4107</v>
      </c>
      <c r="N689" s="122" t="s">
        <v>4126</v>
      </c>
      <c r="O689" s="122" t="s">
        <v>589</v>
      </c>
      <c r="P689" s="120" t="s">
        <v>73</v>
      </c>
      <c r="Q689" s="158" t="s">
        <v>4093</v>
      </c>
      <c r="R689" s="155">
        <v>9790039393</v>
      </c>
      <c r="S689" s="120" t="s">
        <v>4094</v>
      </c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227"/>
      <c r="AF689" s="157"/>
      <c r="AG689" s="157"/>
      <c r="AH689" s="159"/>
      <c r="AI689" s="159"/>
      <c r="AJ689" s="159"/>
      <c r="AK689" s="159"/>
      <c r="AL689" s="159"/>
      <c r="AM689" s="159"/>
      <c r="AN689" s="159"/>
      <c r="AO689" s="159"/>
      <c r="AP689" s="159"/>
      <c r="AQ689" s="159"/>
      <c r="AR689" s="159"/>
      <c r="AS689" s="159"/>
      <c r="AT689" s="159"/>
      <c r="AU689" s="159"/>
      <c r="AV689" s="157"/>
      <c r="AW689" s="157"/>
      <c r="AX689" s="157"/>
      <c r="AZ689" s="155" t="s">
        <v>49</v>
      </c>
      <c r="BA689" s="160"/>
      <c r="BB689" s="157"/>
      <c r="BC689" s="157"/>
      <c r="BF689" s="157"/>
    </row>
    <row r="690" spans="1:58" ht="70.150000000000006" customHeight="1">
      <c r="A690" s="154">
        <v>685</v>
      </c>
      <c r="B690" s="155" t="s">
        <v>4108</v>
      </c>
      <c r="C690" s="85" t="s">
        <v>4109</v>
      </c>
      <c r="D690" s="120" t="s">
        <v>53</v>
      </c>
      <c r="E690" s="120" t="s">
        <v>54</v>
      </c>
      <c r="F690" s="120"/>
      <c r="G690" s="120"/>
      <c r="H690" s="120"/>
      <c r="I690" s="120"/>
      <c r="J690" s="155"/>
      <c r="K690" s="260" t="s">
        <v>4110</v>
      </c>
      <c r="L690" s="122" t="s">
        <v>4211</v>
      </c>
      <c r="M690" s="267" t="s">
        <v>4198</v>
      </c>
      <c r="N690" s="122" t="s">
        <v>4111</v>
      </c>
      <c r="O690" s="122" t="s">
        <v>4112</v>
      </c>
      <c r="P690" s="120" t="s">
        <v>1638</v>
      </c>
      <c r="Q690" s="120" t="s">
        <v>4093</v>
      </c>
      <c r="R690" s="155">
        <v>9994475563</v>
      </c>
      <c r="S690" s="120" t="s">
        <v>4094</v>
      </c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227"/>
      <c r="AF690" s="159"/>
      <c r="AG690" s="159"/>
      <c r="AH690" s="159"/>
      <c r="AI690" s="159"/>
      <c r="AJ690" s="159"/>
      <c r="AK690" s="159"/>
      <c r="AL690" s="159"/>
      <c r="AM690" s="159"/>
      <c r="AN690" s="159"/>
      <c r="AO690" s="159"/>
      <c r="AP690" s="159"/>
      <c r="AQ690" s="159"/>
      <c r="AR690" s="159"/>
      <c r="AS690" s="159"/>
      <c r="AT690" s="159"/>
      <c r="AU690" s="159"/>
      <c r="AV690" s="157"/>
      <c r="AW690" s="157"/>
      <c r="AX690" s="157"/>
      <c r="AZ690" s="155" t="s">
        <v>49</v>
      </c>
      <c r="BA690" s="160"/>
      <c r="BB690" s="157"/>
      <c r="BC690" s="157"/>
      <c r="BF690" s="157"/>
    </row>
    <row r="691" spans="1:58" ht="70.150000000000006" customHeight="1">
      <c r="A691" s="154">
        <v>686</v>
      </c>
      <c r="B691" s="155" t="s">
        <v>4113</v>
      </c>
      <c r="C691" s="85" t="s">
        <v>4114</v>
      </c>
      <c r="D691" s="120" t="s">
        <v>53</v>
      </c>
      <c r="E691" s="120" t="s">
        <v>1692</v>
      </c>
      <c r="F691" s="120"/>
      <c r="G691" s="120"/>
      <c r="H691" s="120"/>
      <c r="I691" s="120"/>
      <c r="J691" s="155"/>
      <c r="K691" s="260" t="s">
        <v>4115</v>
      </c>
      <c r="L691" s="122"/>
      <c r="M691" s="267" t="s">
        <v>4198</v>
      </c>
      <c r="N691" s="122" t="s">
        <v>4127</v>
      </c>
      <c r="O691" s="122" t="s">
        <v>4112</v>
      </c>
      <c r="P691" s="120" t="s">
        <v>1638</v>
      </c>
      <c r="Q691" s="120" t="s">
        <v>4093</v>
      </c>
      <c r="R691" s="155">
        <v>9994475563</v>
      </c>
      <c r="S691" s="120" t="s">
        <v>4094</v>
      </c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227"/>
      <c r="AF691" s="159"/>
      <c r="AG691" s="159"/>
      <c r="AH691" s="159"/>
      <c r="AI691" s="159"/>
      <c r="AJ691" s="159"/>
      <c r="AK691" s="159"/>
      <c r="AL691" s="159"/>
      <c r="AM691" s="159"/>
      <c r="AN691" s="159"/>
      <c r="AO691" s="159"/>
      <c r="AP691" s="159"/>
      <c r="AQ691" s="159"/>
      <c r="AR691" s="159"/>
      <c r="AS691" s="159"/>
      <c r="AT691" s="159"/>
      <c r="AU691" s="159"/>
      <c r="AV691" s="157"/>
      <c r="AW691" s="157"/>
      <c r="AX691" s="157"/>
      <c r="AZ691" s="155" t="s">
        <v>49</v>
      </c>
      <c r="BA691" s="160"/>
      <c r="BB691" s="157"/>
      <c r="BC691" s="157"/>
      <c r="BF691" s="157"/>
    </row>
    <row r="692" spans="1:58" ht="70.150000000000006" customHeight="1">
      <c r="A692" s="154">
        <v>687</v>
      </c>
      <c r="B692" s="155" t="s">
        <v>4116</v>
      </c>
      <c r="C692" s="85" t="s">
        <v>4117</v>
      </c>
      <c r="D692" s="120" t="s">
        <v>53</v>
      </c>
      <c r="E692" s="120" t="s">
        <v>54</v>
      </c>
      <c r="F692" s="120"/>
      <c r="G692" s="120"/>
      <c r="H692" s="120"/>
      <c r="I692" s="120"/>
      <c r="J692" s="155" t="s">
        <v>4118</v>
      </c>
      <c r="K692" s="260" t="s">
        <v>4119</v>
      </c>
      <c r="L692" s="122" t="s">
        <v>4211</v>
      </c>
      <c r="M692" s="266" t="s">
        <v>4120</v>
      </c>
      <c r="N692" s="122" t="s">
        <v>4121</v>
      </c>
      <c r="O692" s="122" t="s">
        <v>4122</v>
      </c>
      <c r="P692" s="120" t="s">
        <v>1479</v>
      </c>
      <c r="Q692" s="120" t="s">
        <v>4123</v>
      </c>
      <c r="R692" s="155">
        <v>9447827254</v>
      </c>
      <c r="S692" s="120" t="s">
        <v>4094</v>
      </c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227"/>
      <c r="AF692" s="159"/>
      <c r="AG692" s="159"/>
      <c r="AH692" s="159"/>
      <c r="AI692" s="159"/>
      <c r="AJ692" s="159"/>
      <c r="AK692" s="159"/>
      <c r="AL692" s="159"/>
      <c r="AM692" s="159"/>
      <c r="AN692" s="159"/>
      <c r="AO692" s="159"/>
      <c r="AP692" s="159"/>
      <c r="AQ692" s="159"/>
      <c r="AR692" s="159"/>
      <c r="AS692" s="159"/>
      <c r="AT692" s="159"/>
      <c r="AU692" s="159"/>
      <c r="AV692" s="157"/>
      <c r="AW692" s="157"/>
      <c r="AX692" s="157"/>
      <c r="AZ692" s="155" t="s">
        <v>49</v>
      </c>
      <c r="BA692" s="160"/>
      <c r="BB692" s="157"/>
      <c r="BC692" s="157"/>
      <c r="BF692" s="157"/>
    </row>
    <row r="693" spans="1:58" s="84" customFormat="1" ht="70.150000000000006" customHeight="1">
      <c r="A693" s="154">
        <v>689</v>
      </c>
      <c r="B693" s="155" t="s">
        <v>4128</v>
      </c>
      <c r="C693" s="85" t="s">
        <v>4129</v>
      </c>
      <c r="D693" s="120" t="s">
        <v>53</v>
      </c>
      <c r="E693" s="120" t="s">
        <v>54</v>
      </c>
      <c r="F693" s="120"/>
      <c r="G693" s="120"/>
      <c r="H693" s="120"/>
      <c r="I693" s="120"/>
      <c r="J693" s="155" t="s">
        <v>4130</v>
      </c>
      <c r="K693" s="260" t="s">
        <v>4131</v>
      </c>
      <c r="L693" s="122" t="s">
        <v>4211</v>
      </c>
      <c r="M693" s="266" t="s">
        <v>4132</v>
      </c>
      <c r="N693" s="122" t="s">
        <v>4133</v>
      </c>
      <c r="O693" s="122" t="s">
        <v>4134</v>
      </c>
      <c r="P693" s="120" t="s">
        <v>2434</v>
      </c>
      <c r="Q693" s="120" t="s">
        <v>4135</v>
      </c>
      <c r="R693" s="155">
        <v>9585240911</v>
      </c>
      <c r="S693" s="120" t="s">
        <v>4094</v>
      </c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227"/>
      <c r="AE693" s="240"/>
      <c r="AF693" s="159"/>
      <c r="AG693" s="159"/>
      <c r="AH693" s="159"/>
      <c r="AI693" s="159"/>
      <c r="AJ693" s="159"/>
      <c r="AK693" s="159"/>
      <c r="AL693" s="159"/>
      <c r="AM693" s="159"/>
      <c r="AN693" s="159"/>
      <c r="AO693" s="159"/>
      <c r="AP693" s="159"/>
      <c r="AQ693" s="159"/>
      <c r="AR693" s="159"/>
      <c r="AS693" s="159"/>
      <c r="AT693" s="159"/>
      <c r="AU693" s="159"/>
      <c r="AV693" s="157"/>
      <c r="AW693" s="157"/>
      <c r="AX693" s="157"/>
      <c r="AY693" s="240"/>
      <c r="AZ693" s="155" t="s">
        <v>49</v>
      </c>
      <c r="BA693" s="160"/>
      <c r="BB693" s="157"/>
      <c r="BC693" s="157"/>
      <c r="BD693" s="240"/>
      <c r="BE693" s="240"/>
      <c r="BF693" s="157"/>
    </row>
    <row r="694" spans="1:58" ht="78.75" customHeight="1">
      <c r="A694" s="154">
        <v>690</v>
      </c>
      <c r="B694" s="155" t="s">
        <v>4136</v>
      </c>
      <c r="C694" s="85" t="s">
        <v>4137</v>
      </c>
      <c r="D694" s="120" t="s">
        <v>53</v>
      </c>
      <c r="E694" s="120" t="s">
        <v>54</v>
      </c>
      <c r="F694" s="120"/>
      <c r="G694" s="120"/>
      <c r="H694" s="120"/>
      <c r="I694" s="120"/>
      <c r="J694" s="155"/>
      <c r="K694" s="260" t="s">
        <v>4138</v>
      </c>
      <c r="L694" s="122" t="s">
        <v>4211</v>
      </c>
      <c r="M694" s="267" t="s">
        <v>3205</v>
      </c>
      <c r="N694" s="122" t="s">
        <v>4139</v>
      </c>
      <c r="O694" s="122" t="s">
        <v>4140</v>
      </c>
      <c r="P694" s="120" t="s">
        <v>2147</v>
      </c>
      <c r="Q694" s="120" t="s">
        <v>48</v>
      </c>
      <c r="R694" s="155">
        <v>7871131349</v>
      </c>
      <c r="S694" s="120" t="s">
        <v>4094</v>
      </c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227"/>
      <c r="AF694" s="159"/>
      <c r="AG694" s="159"/>
      <c r="AH694" s="159"/>
      <c r="AI694" s="159"/>
      <c r="AJ694" s="159"/>
      <c r="AK694" s="159"/>
      <c r="AL694" s="159"/>
      <c r="AM694" s="159"/>
      <c r="AN694" s="159"/>
      <c r="AO694" s="159"/>
      <c r="AP694" s="159"/>
      <c r="AQ694" s="159"/>
      <c r="AR694" s="159"/>
      <c r="AS694" s="159"/>
      <c r="AT694" s="159"/>
      <c r="AU694" s="159"/>
      <c r="AV694" s="157"/>
      <c r="AW694" s="157"/>
      <c r="AX694" s="157"/>
      <c r="AZ694" s="155" t="s">
        <v>49</v>
      </c>
      <c r="BA694" s="160"/>
      <c r="BB694" s="157"/>
      <c r="BC694" s="157"/>
      <c r="BF694" s="157"/>
    </row>
    <row r="695" spans="1:58" s="84" customFormat="1" ht="70.150000000000006" customHeight="1">
      <c r="A695" s="154">
        <v>691</v>
      </c>
      <c r="B695" s="155" t="s">
        <v>4141</v>
      </c>
      <c r="C695" s="85" t="s">
        <v>4142</v>
      </c>
      <c r="D695" s="120" t="s">
        <v>53</v>
      </c>
      <c r="E695" s="120" t="s">
        <v>54</v>
      </c>
      <c r="F695" s="120"/>
      <c r="G695" s="120"/>
      <c r="H695" s="120"/>
      <c r="I695" s="120"/>
      <c r="J695" s="155"/>
      <c r="K695" s="260" t="s">
        <v>4143</v>
      </c>
      <c r="L695" s="122"/>
      <c r="M695" s="266"/>
      <c r="N695" s="122" t="s">
        <v>4144</v>
      </c>
      <c r="O695" s="122" t="s">
        <v>4145</v>
      </c>
      <c r="P695" s="120" t="s">
        <v>4146</v>
      </c>
      <c r="Q695" s="120" t="s">
        <v>48</v>
      </c>
      <c r="R695" s="155">
        <v>6382258998</v>
      </c>
      <c r="S695" s="120" t="s">
        <v>4094</v>
      </c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227"/>
      <c r="AE695" s="240"/>
      <c r="AF695" s="159"/>
      <c r="AG695" s="159"/>
      <c r="AH695" s="159"/>
      <c r="AI695" s="159"/>
      <c r="AJ695" s="159"/>
      <c r="AK695" s="159"/>
      <c r="AL695" s="159"/>
      <c r="AM695" s="159"/>
      <c r="AN695" s="159"/>
      <c r="AO695" s="159"/>
      <c r="AP695" s="159"/>
      <c r="AQ695" s="159"/>
      <c r="AR695" s="159"/>
      <c r="AS695" s="159"/>
      <c r="AT695" s="159"/>
      <c r="AU695" s="159"/>
      <c r="AV695" s="157"/>
      <c r="AW695" s="157"/>
      <c r="AX695" s="157"/>
      <c r="AY695" s="240"/>
      <c r="AZ695" s="155" t="s">
        <v>4194</v>
      </c>
      <c r="BA695" s="160"/>
      <c r="BB695" s="157"/>
      <c r="BC695" s="157"/>
      <c r="BD695" s="240"/>
      <c r="BE695" s="240"/>
      <c r="BF695" s="157"/>
    </row>
    <row r="696" spans="1:58" ht="70.150000000000006" customHeight="1">
      <c r="A696" s="154">
        <v>692</v>
      </c>
      <c r="B696" s="155" t="s">
        <v>4147</v>
      </c>
      <c r="C696" s="85" t="s">
        <v>4148</v>
      </c>
      <c r="D696" s="120" t="s">
        <v>53</v>
      </c>
      <c r="E696" s="120" t="s">
        <v>54</v>
      </c>
      <c r="F696" s="120"/>
      <c r="G696" s="120"/>
      <c r="H696" s="120"/>
      <c r="I696" s="120"/>
      <c r="J696" s="155" t="s">
        <v>4149</v>
      </c>
      <c r="K696" s="260" t="s">
        <v>4150</v>
      </c>
      <c r="L696" s="122" t="s">
        <v>4211</v>
      </c>
      <c r="M696" s="266"/>
      <c r="N696" s="122" t="s">
        <v>4151</v>
      </c>
      <c r="O696" s="122" t="s">
        <v>4152</v>
      </c>
      <c r="P696" s="120" t="s">
        <v>4217</v>
      </c>
      <c r="Q696" s="120" t="s">
        <v>48</v>
      </c>
      <c r="R696" s="155">
        <v>6381602373</v>
      </c>
      <c r="S696" s="120" t="s">
        <v>4094</v>
      </c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227"/>
      <c r="AF696" s="159"/>
      <c r="AG696" s="159"/>
      <c r="AH696" s="159"/>
      <c r="AI696" s="159"/>
      <c r="AJ696" s="159"/>
      <c r="AK696" s="159"/>
      <c r="AL696" s="159"/>
      <c r="AM696" s="159"/>
      <c r="AN696" s="159"/>
      <c r="AO696" s="159"/>
      <c r="AP696" s="159"/>
      <c r="AQ696" s="159"/>
      <c r="AR696" s="159"/>
      <c r="AS696" s="159"/>
      <c r="AT696" s="159"/>
      <c r="AU696" s="159"/>
      <c r="AV696" s="157"/>
      <c r="AW696" s="157"/>
      <c r="AX696" s="157"/>
      <c r="AZ696" s="155" t="s">
        <v>49</v>
      </c>
      <c r="BA696" s="160"/>
      <c r="BB696" s="157"/>
      <c r="BC696" s="157"/>
      <c r="BF696" s="157"/>
    </row>
    <row r="697" spans="1:58" s="84" customFormat="1" ht="70.150000000000006" customHeight="1">
      <c r="A697" s="154">
        <v>693</v>
      </c>
      <c r="B697" s="155" t="s">
        <v>4153</v>
      </c>
      <c r="C697" s="85" t="s">
        <v>4154</v>
      </c>
      <c r="D697" s="120" t="s">
        <v>53</v>
      </c>
      <c r="E697" s="120" t="s">
        <v>54</v>
      </c>
      <c r="F697" s="120"/>
      <c r="G697" s="120"/>
      <c r="H697" s="120"/>
      <c r="I697" s="120"/>
      <c r="J697" s="155" t="s">
        <v>4168</v>
      </c>
      <c r="K697" s="260" t="s">
        <v>4156</v>
      </c>
      <c r="L697" s="122" t="s">
        <v>4211</v>
      </c>
      <c r="M697" s="266"/>
      <c r="N697" s="122" t="s">
        <v>4158</v>
      </c>
      <c r="O697" s="122" t="s">
        <v>4159</v>
      </c>
      <c r="P697" s="120" t="s">
        <v>4005</v>
      </c>
      <c r="Q697" s="120" t="s">
        <v>48</v>
      </c>
      <c r="R697" s="155">
        <v>9443141044</v>
      </c>
      <c r="S697" s="120" t="s">
        <v>4094</v>
      </c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227"/>
      <c r="AE697" s="240"/>
      <c r="AF697" s="159"/>
      <c r="AG697" s="159"/>
      <c r="AH697" s="159"/>
      <c r="AI697" s="159"/>
      <c r="AJ697" s="159"/>
      <c r="AK697" s="159"/>
      <c r="AL697" s="159"/>
      <c r="AM697" s="159"/>
      <c r="AN697" s="159"/>
      <c r="AO697" s="159"/>
      <c r="AP697" s="159"/>
      <c r="AQ697" s="159"/>
      <c r="AR697" s="159"/>
      <c r="AS697" s="159"/>
      <c r="AT697" s="159"/>
      <c r="AU697" s="159"/>
      <c r="AV697" s="157"/>
      <c r="AW697" s="157"/>
      <c r="AX697" s="157"/>
      <c r="AY697" s="240"/>
      <c r="AZ697" s="155" t="s">
        <v>49</v>
      </c>
      <c r="BA697" s="160"/>
      <c r="BB697" s="157"/>
      <c r="BC697" s="157"/>
      <c r="BD697" s="240"/>
      <c r="BE697" s="240"/>
      <c r="BF697" s="157"/>
    </row>
    <row r="698" spans="1:58" ht="70.150000000000006" customHeight="1">
      <c r="A698" s="154">
        <v>694</v>
      </c>
      <c r="B698" s="155" t="s">
        <v>4157</v>
      </c>
      <c r="C698" s="85" t="s">
        <v>4155</v>
      </c>
      <c r="D698" s="120" t="s">
        <v>53</v>
      </c>
      <c r="E698" s="120" t="s">
        <v>160</v>
      </c>
      <c r="F698" s="120"/>
      <c r="G698" s="120"/>
      <c r="H698" s="120"/>
      <c r="I698" s="120"/>
      <c r="J698" s="155" t="s">
        <v>4168</v>
      </c>
      <c r="K698" s="260" t="s">
        <v>4165</v>
      </c>
      <c r="L698" s="122"/>
      <c r="M698" s="267" t="s">
        <v>4166</v>
      </c>
      <c r="N698" s="122" t="s">
        <v>4158</v>
      </c>
      <c r="O698" s="122" t="s">
        <v>4159</v>
      </c>
      <c r="P698" s="120" t="s">
        <v>4005</v>
      </c>
      <c r="Q698" s="120" t="s">
        <v>48</v>
      </c>
      <c r="R698" s="155">
        <v>9080765193</v>
      </c>
      <c r="S698" s="120" t="s">
        <v>4094</v>
      </c>
      <c r="T698" s="120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227"/>
      <c r="AF698" s="159"/>
      <c r="AG698" s="159"/>
      <c r="AH698" s="159"/>
      <c r="AI698" s="159"/>
      <c r="AJ698" s="159"/>
      <c r="AK698" s="159"/>
      <c r="AL698" s="159"/>
      <c r="AM698" s="159"/>
      <c r="AN698" s="159"/>
      <c r="AO698" s="159"/>
      <c r="AP698" s="159"/>
      <c r="AQ698" s="159"/>
      <c r="AR698" s="159"/>
      <c r="AS698" s="159"/>
      <c r="AT698" s="159"/>
      <c r="AU698" s="159"/>
      <c r="AV698" s="157"/>
      <c r="AW698" s="157"/>
      <c r="AX698" s="157"/>
      <c r="AZ698" s="155" t="s">
        <v>49</v>
      </c>
      <c r="BA698" s="160"/>
      <c r="BB698" s="157"/>
      <c r="BC698" s="157"/>
      <c r="BF698" s="157"/>
    </row>
    <row r="699" spans="1:58" s="84" customFormat="1" ht="70.150000000000006" customHeight="1">
      <c r="A699" s="154">
        <v>695</v>
      </c>
      <c r="B699" s="155" t="s">
        <v>4160</v>
      </c>
      <c r="C699" s="85" t="s">
        <v>4161</v>
      </c>
      <c r="D699" s="120" t="s">
        <v>53</v>
      </c>
      <c r="E699" s="120" t="s">
        <v>54</v>
      </c>
      <c r="F699" s="120"/>
      <c r="G699" s="120"/>
      <c r="H699" s="120"/>
      <c r="I699" s="120"/>
      <c r="J699" s="155" t="s">
        <v>4167</v>
      </c>
      <c r="K699" s="260" t="s">
        <v>4169</v>
      </c>
      <c r="L699" s="122" t="s">
        <v>4211</v>
      </c>
      <c r="M699" s="267" t="s">
        <v>4170</v>
      </c>
      <c r="N699" s="122" t="s">
        <v>4171</v>
      </c>
      <c r="O699" s="122" t="s">
        <v>4172</v>
      </c>
      <c r="P699" s="120" t="s">
        <v>1102</v>
      </c>
      <c r="Q699" s="120" t="s">
        <v>4173</v>
      </c>
      <c r="R699" s="155">
        <v>9943008335</v>
      </c>
      <c r="S699" s="120" t="s">
        <v>4094</v>
      </c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227"/>
      <c r="AE699" s="240"/>
      <c r="AF699" s="159"/>
      <c r="AG699" s="159"/>
      <c r="AH699" s="159"/>
      <c r="AI699" s="159"/>
      <c r="AJ699" s="159"/>
      <c r="AK699" s="159"/>
      <c r="AL699" s="159"/>
      <c r="AM699" s="159"/>
      <c r="AN699" s="159"/>
      <c r="AO699" s="159"/>
      <c r="AP699" s="159"/>
      <c r="AQ699" s="159"/>
      <c r="AR699" s="159"/>
      <c r="AS699" s="159"/>
      <c r="AT699" s="159"/>
      <c r="AU699" s="159"/>
      <c r="AV699" s="157"/>
      <c r="AW699" s="157"/>
      <c r="AX699" s="157"/>
      <c r="AY699" s="240"/>
      <c r="AZ699" s="155" t="s">
        <v>49</v>
      </c>
      <c r="BA699" s="160"/>
      <c r="BB699" s="157"/>
      <c r="BC699" s="157"/>
      <c r="BD699" s="240"/>
      <c r="BE699" s="240"/>
      <c r="BF699" s="157"/>
    </row>
    <row r="700" spans="1:58" ht="70.150000000000006" customHeight="1">
      <c r="A700" s="154">
        <v>696</v>
      </c>
      <c r="B700" s="161" t="s">
        <v>4162</v>
      </c>
      <c r="C700" s="85" t="s">
        <v>864</v>
      </c>
      <c r="D700" s="120" t="s">
        <v>53</v>
      </c>
      <c r="E700" s="120" t="s">
        <v>54</v>
      </c>
      <c r="F700" s="120"/>
      <c r="G700" s="120"/>
      <c r="H700" s="120"/>
      <c r="I700" s="120"/>
      <c r="J700" s="155" t="s">
        <v>4167</v>
      </c>
      <c r="K700" s="260" t="s">
        <v>4174</v>
      </c>
      <c r="L700" s="122" t="s">
        <v>4211</v>
      </c>
      <c r="M700" s="266"/>
      <c r="N700" s="122" t="s">
        <v>4175</v>
      </c>
      <c r="O700" s="122" t="s">
        <v>4176</v>
      </c>
      <c r="P700" s="120" t="s">
        <v>4177</v>
      </c>
      <c r="Q700" s="120" t="s">
        <v>48</v>
      </c>
      <c r="R700" s="155">
        <v>6382772829</v>
      </c>
      <c r="S700" s="120" t="s">
        <v>4094</v>
      </c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227"/>
      <c r="AF700" s="159"/>
      <c r="AG700" s="159"/>
      <c r="AH700" s="159"/>
      <c r="AI700" s="159"/>
      <c r="AJ700" s="159"/>
      <c r="AK700" s="159"/>
      <c r="AL700" s="159"/>
      <c r="AM700" s="159"/>
      <c r="AN700" s="159"/>
      <c r="AO700" s="159"/>
      <c r="AP700" s="159"/>
      <c r="AQ700" s="159"/>
      <c r="AR700" s="159"/>
      <c r="AS700" s="159"/>
      <c r="AT700" s="159"/>
      <c r="AU700" s="159"/>
      <c r="AV700" s="157"/>
      <c r="AW700" s="157"/>
      <c r="AX700" s="157"/>
      <c r="AZ700" s="155" t="s">
        <v>49</v>
      </c>
      <c r="BA700" s="160"/>
      <c r="BB700" s="157"/>
      <c r="BC700" s="157"/>
      <c r="BF700" s="157"/>
    </row>
    <row r="701" spans="1:58" s="84" customFormat="1" ht="70.150000000000006" customHeight="1">
      <c r="A701" s="154">
        <v>697</v>
      </c>
      <c r="B701" s="155" t="s">
        <v>4163</v>
      </c>
      <c r="C701" s="85" t="s">
        <v>4164</v>
      </c>
      <c r="D701" s="120" t="s">
        <v>53</v>
      </c>
      <c r="E701" s="120" t="s">
        <v>54</v>
      </c>
      <c r="F701" s="120"/>
      <c r="G701" s="120"/>
      <c r="H701" s="120"/>
      <c r="I701" s="120"/>
      <c r="J701" s="155" t="s">
        <v>4130</v>
      </c>
      <c r="K701" s="260" t="s">
        <v>4178</v>
      </c>
      <c r="L701" s="122" t="s">
        <v>4211</v>
      </c>
      <c r="M701" s="267" t="s">
        <v>4179</v>
      </c>
      <c r="N701" s="122" t="s">
        <v>4180</v>
      </c>
      <c r="O701" s="122" t="s">
        <v>4181</v>
      </c>
      <c r="P701" s="120" t="s">
        <v>4182</v>
      </c>
      <c r="Q701" s="120" t="s">
        <v>4173</v>
      </c>
      <c r="R701" s="155">
        <v>9444047139</v>
      </c>
      <c r="S701" s="120" t="s">
        <v>4094</v>
      </c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227"/>
      <c r="AE701" s="240"/>
      <c r="AF701" s="159"/>
      <c r="AG701" s="159"/>
      <c r="AH701" s="159"/>
      <c r="AI701" s="159"/>
      <c r="AJ701" s="159"/>
      <c r="AK701" s="159"/>
      <c r="AL701" s="159"/>
      <c r="AM701" s="159"/>
      <c r="AN701" s="159"/>
      <c r="AO701" s="159"/>
      <c r="AP701" s="159"/>
      <c r="AQ701" s="159"/>
      <c r="AR701" s="159"/>
      <c r="AS701" s="159"/>
      <c r="AT701" s="159"/>
      <c r="AU701" s="159"/>
      <c r="AV701" s="157"/>
      <c r="AW701" s="157"/>
      <c r="AX701" s="157"/>
      <c r="AY701" s="240"/>
      <c r="AZ701" s="155" t="s">
        <v>49</v>
      </c>
      <c r="BA701" s="160"/>
      <c r="BB701" s="157"/>
      <c r="BC701" s="157"/>
      <c r="BD701" s="240"/>
      <c r="BE701" s="240"/>
      <c r="BF701" s="157"/>
    </row>
    <row r="702" spans="1:58" ht="70.150000000000006" customHeight="1">
      <c r="A702" s="154">
        <v>698</v>
      </c>
      <c r="B702" s="155" t="s">
        <v>4183</v>
      </c>
      <c r="C702" s="85" t="s">
        <v>4185</v>
      </c>
      <c r="D702" s="120" t="s">
        <v>53</v>
      </c>
      <c r="E702" s="120" t="s">
        <v>160</v>
      </c>
      <c r="F702" s="120"/>
      <c r="G702" s="120"/>
      <c r="H702" s="120"/>
      <c r="I702" s="120"/>
      <c r="J702" s="155" t="s">
        <v>3074</v>
      </c>
      <c r="K702" s="260" t="s">
        <v>4187</v>
      </c>
      <c r="L702" s="155" t="s">
        <v>4201</v>
      </c>
      <c r="M702" s="266"/>
      <c r="N702" s="122" t="s">
        <v>4189</v>
      </c>
      <c r="O702" s="122" t="s">
        <v>4188</v>
      </c>
      <c r="P702" s="120" t="s">
        <v>3230</v>
      </c>
      <c r="Q702" s="120" t="s">
        <v>48</v>
      </c>
      <c r="R702" s="155">
        <v>9944176332</v>
      </c>
      <c r="S702" s="120" t="s">
        <v>4094</v>
      </c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227"/>
      <c r="AF702" s="159"/>
      <c r="AG702" s="159"/>
      <c r="AH702" s="159"/>
      <c r="AI702" s="159"/>
      <c r="AJ702" s="159"/>
      <c r="AK702" s="159"/>
      <c r="AL702" s="159"/>
      <c r="AM702" s="159"/>
      <c r="AN702" s="159"/>
      <c r="AO702" s="159"/>
      <c r="AP702" s="159"/>
      <c r="AQ702" s="159"/>
      <c r="AR702" s="159"/>
      <c r="AS702" s="159"/>
      <c r="AT702" s="159"/>
      <c r="AU702" s="159"/>
      <c r="AV702" s="157"/>
      <c r="AW702" s="157"/>
      <c r="AX702" s="157"/>
      <c r="AZ702" s="155" t="s">
        <v>49</v>
      </c>
      <c r="BA702" s="160"/>
      <c r="BB702" s="157"/>
      <c r="BC702" s="157"/>
      <c r="BF702" s="157"/>
    </row>
    <row r="703" spans="1:58" s="84" customFormat="1" ht="70.150000000000006" customHeight="1">
      <c r="A703" s="154">
        <v>699</v>
      </c>
      <c r="B703" s="155" t="s">
        <v>4184</v>
      </c>
      <c r="C703" s="85" t="s">
        <v>4186</v>
      </c>
      <c r="D703" s="120" t="s">
        <v>53</v>
      </c>
      <c r="E703" s="120" t="s">
        <v>54</v>
      </c>
      <c r="F703" s="120"/>
      <c r="G703" s="120"/>
      <c r="H703" s="120"/>
      <c r="I703" s="120"/>
      <c r="J703" s="155" t="s">
        <v>3074</v>
      </c>
      <c r="K703" s="260" t="s">
        <v>4190</v>
      </c>
      <c r="L703" s="122" t="s">
        <v>4211</v>
      </c>
      <c r="M703" s="266"/>
      <c r="N703" s="122" t="s">
        <v>4191</v>
      </c>
      <c r="O703" s="122" t="s">
        <v>4193</v>
      </c>
      <c r="P703" s="120" t="s">
        <v>4192</v>
      </c>
      <c r="Q703" s="120" t="s">
        <v>4173</v>
      </c>
      <c r="R703" s="155">
        <v>9626439113</v>
      </c>
      <c r="S703" s="120" t="s">
        <v>4094</v>
      </c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227"/>
      <c r="AE703" s="240"/>
      <c r="AF703" s="159"/>
      <c r="AG703" s="159"/>
      <c r="AH703" s="159"/>
      <c r="AI703" s="159"/>
      <c r="AJ703" s="159"/>
      <c r="AK703" s="159"/>
      <c r="AL703" s="159"/>
      <c r="AM703" s="159"/>
      <c r="AN703" s="159"/>
      <c r="AO703" s="159"/>
      <c r="AP703" s="159"/>
      <c r="AQ703" s="159"/>
      <c r="AR703" s="159"/>
      <c r="AS703" s="159"/>
      <c r="AT703" s="159"/>
      <c r="AU703" s="159"/>
      <c r="AV703" s="157"/>
      <c r="AW703" s="157"/>
      <c r="AX703" s="157"/>
      <c r="AY703" s="240"/>
      <c r="AZ703" s="155" t="s">
        <v>49</v>
      </c>
      <c r="BA703" s="160"/>
      <c r="BB703" s="157"/>
      <c r="BC703" s="157"/>
      <c r="BD703" s="240"/>
      <c r="BE703" s="240"/>
      <c r="BF703" s="157"/>
    </row>
    <row r="704" spans="1:58" s="84" customFormat="1" ht="70.150000000000006" customHeight="1">
      <c r="A704" s="154">
        <v>700</v>
      </c>
      <c r="B704" s="155" t="s">
        <v>4224</v>
      </c>
      <c r="C704" s="85" t="s">
        <v>4225</v>
      </c>
      <c r="D704" s="120" t="s">
        <v>53</v>
      </c>
      <c r="E704" s="120" t="s">
        <v>54</v>
      </c>
      <c r="F704" s="120" t="s">
        <v>4226</v>
      </c>
      <c r="G704" s="120" t="s">
        <v>3742</v>
      </c>
      <c r="H704" s="120" t="s">
        <v>4228</v>
      </c>
      <c r="I704" s="120" t="s">
        <v>3744</v>
      </c>
      <c r="J704" s="155" t="s">
        <v>4229</v>
      </c>
      <c r="K704" s="260" t="s">
        <v>4227</v>
      </c>
      <c r="L704" s="155" t="s">
        <v>4209</v>
      </c>
      <c r="M704" s="266"/>
      <c r="N704" s="122" t="s">
        <v>4230</v>
      </c>
      <c r="O704" s="122" t="s">
        <v>4231</v>
      </c>
      <c r="P704" s="120" t="s">
        <v>4232</v>
      </c>
      <c r="Q704" s="120" t="s">
        <v>4173</v>
      </c>
      <c r="R704" s="155">
        <v>9597643615</v>
      </c>
      <c r="S704" s="120" t="s">
        <v>4233</v>
      </c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227"/>
      <c r="AE704" s="240"/>
      <c r="AF704" s="159"/>
      <c r="AG704" s="159"/>
      <c r="AH704" s="159"/>
      <c r="AI704" s="159"/>
      <c r="AJ704" s="159"/>
      <c r="AK704" s="159"/>
      <c r="AL704" s="159"/>
      <c r="AM704" s="159"/>
      <c r="AN704" s="159"/>
      <c r="AO704" s="159"/>
      <c r="AP704" s="159"/>
      <c r="AQ704" s="159"/>
      <c r="AR704" s="159"/>
      <c r="AS704" s="159"/>
      <c r="AT704" s="159"/>
      <c r="AU704" s="159"/>
      <c r="AV704" s="157"/>
      <c r="AW704" s="157"/>
      <c r="AX704" s="157"/>
      <c r="AY704" s="240"/>
      <c r="AZ704" s="155" t="s">
        <v>49</v>
      </c>
      <c r="BA704" s="160"/>
      <c r="BB704" s="157"/>
      <c r="BC704" s="157"/>
      <c r="BD704" s="240"/>
      <c r="BE704" s="240"/>
      <c r="BF704" s="157"/>
    </row>
    <row r="705" spans="1:58" s="84" customFormat="1" ht="70.150000000000006" customHeight="1">
      <c r="A705" s="154">
        <v>701</v>
      </c>
      <c r="B705" s="155" t="s">
        <v>4234</v>
      </c>
      <c r="C705" s="85" t="s">
        <v>4235</v>
      </c>
      <c r="D705" s="120" t="s">
        <v>53</v>
      </c>
      <c r="E705" s="120" t="s">
        <v>54</v>
      </c>
      <c r="F705" s="120" t="s">
        <v>4236</v>
      </c>
      <c r="G705" s="120" t="s">
        <v>3742</v>
      </c>
      <c r="H705" s="120" t="s">
        <v>4246</v>
      </c>
      <c r="I705" s="120" t="s">
        <v>3744</v>
      </c>
      <c r="J705" s="155" t="s">
        <v>4237</v>
      </c>
      <c r="K705" s="260" t="s">
        <v>4238</v>
      </c>
      <c r="L705" s="155" t="s">
        <v>4209</v>
      </c>
      <c r="M705" s="268" t="s">
        <v>4239</v>
      </c>
      <c r="N705" s="122" t="s">
        <v>4240</v>
      </c>
      <c r="O705" s="122" t="s">
        <v>4241</v>
      </c>
      <c r="P705" s="120" t="s">
        <v>2412</v>
      </c>
      <c r="Q705" s="120" t="s">
        <v>2413</v>
      </c>
      <c r="R705" s="155">
        <v>7208049455</v>
      </c>
      <c r="S705" s="120" t="s">
        <v>4242</v>
      </c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227"/>
      <c r="AE705" s="240"/>
      <c r="AF705" s="159"/>
      <c r="AG705" s="159"/>
      <c r="AH705" s="159"/>
      <c r="AI705" s="159"/>
      <c r="AJ705" s="159"/>
      <c r="AK705" s="159"/>
      <c r="AL705" s="159"/>
      <c r="AM705" s="159"/>
      <c r="AN705" s="159"/>
      <c r="AO705" s="159"/>
      <c r="AP705" s="159"/>
      <c r="AQ705" s="159"/>
      <c r="AR705" s="159"/>
      <c r="AS705" s="159"/>
      <c r="AT705" s="159"/>
      <c r="AU705" s="159"/>
      <c r="AV705" s="157"/>
      <c r="AW705" s="157"/>
      <c r="AX705" s="157"/>
      <c r="AY705" s="240"/>
      <c r="AZ705" s="155" t="s">
        <v>49</v>
      </c>
      <c r="BA705" s="160"/>
      <c r="BB705" s="157"/>
      <c r="BC705" s="157"/>
      <c r="BD705" s="240"/>
      <c r="BE705" s="240"/>
      <c r="BF705" s="157"/>
    </row>
    <row r="706" spans="1:58" s="84" customFormat="1" ht="70.150000000000006" customHeight="1">
      <c r="A706" s="154">
        <v>702</v>
      </c>
      <c r="B706" s="155" t="s">
        <v>4243</v>
      </c>
      <c r="C706" s="85" t="s">
        <v>4244</v>
      </c>
      <c r="D706" s="120" t="s">
        <v>53</v>
      </c>
      <c r="E706" s="120" t="s">
        <v>160</v>
      </c>
      <c r="F706" s="120" t="s">
        <v>4245</v>
      </c>
      <c r="G706" s="120" t="s">
        <v>3742</v>
      </c>
      <c r="H706" s="120" t="s">
        <v>4235</v>
      </c>
      <c r="I706" s="120" t="s">
        <v>3744</v>
      </c>
      <c r="J706" s="155" t="s">
        <v>4237</v>
      </c>
      <c r="K706" s="260" t="s">
        <v>4247</v>
      </c>
      <c r="L706" s="155" t="s">
        <v>4201</v>
      </c>
      <c r="M706" s="268" t="s">
        <v>4239</v>
      </c>
      <c r="N706" s="122" t="s">
        <v>4240</v>
      </c>
      <c r="O706" s="122" t="s">
        <v>4241</v>
      </c>
      <c r="P706" s="120" t="s">
        <v>2412</v>
      </c>
      <c r="Q706" s="120" t="s">
        <v>2413</v>
      </c>
      <c r="R706" s="155">
        <v>9152414073</v>
      </c>
      <c r="S706" s="120" t="s">
        <v>4242</v>
      </c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227"/>
      <c r="AE706" s="240"/>
      <c r="AF706" s="159"/>
      <c r="AG706" s="159"/>
      <c r="AH706" s="159"/>
      <c r="AI706" s="159"/>
      <c r="AJ706" s="159"/>
      <c r="AK706" s="159"/>
      <c r="AL706" s="159"/>
      <c r="AM706" s="159"/>
      <c r="AN706" s="159"/>
      <c r="AO706" s="159"/>
      <c r="AP706" s="159"/>
      <c r="AQ706" s="159"/>
      <c r="AR706" s="159"/>
      <c r="AS706" s="159"/>
      <c r="AT706" s="159"/>
      <c r="AU706" s="159"/>
      <c r="AV706" s="157"/>
      <c r="AW706" s="157"/>
      <c r="AX706" s="157"/>
      <c r="AY706" s="240"/>
      <c r="AZ706" s="155" t="s">
        <v>49</v>
      </c>
      <c r="BA706" s="160"/>
      <c r="BB706" s="157"/>
      <c r="BC706" s="157"/>
      <c r="BD706" s="240"/>
      <c r="BE706" s="240"/>
      <c r="BF706" s="157"/>
    </row>
    <row r="707" spans="1:58" s="84" customFormat="1" ht="70.150000000000006" customHeight="1">
      <c r="A707" s="154">
        <v>703</v>
      </c>
      <c r="B707" s="155" t="s">
        <v>4248</v>
      </c>
      <c r="C707" s="85" t="s">
        <v>4249</v>
      </c>
      <c r="D707" s="120" t="s">
        <v>53</v>
      </c>
      <c r="E707" s="120" t="s">
        <v>54</v>
      </c>
      <c r="F707" s="120" t="s">
        <v>4250</v>
      </c>
      <c r="G707" s="120" t="s">
        <v>3742</v>
      </c>
      <c r="H707" s="120" t="s">
        <v>4252</v>
      </c>
      <c r="I707" s="120" t="s">
        <v>3744</v>
      </c>
      <c r="J707" s="155" t="s">
        <v>4251</v>
      </c>
      <c r="K707" s="260" t="s">
        <v>4253</v>
      </c>
      <c r="L707" s="155" t="s">
        <v>4209</v>
      </c>
      <c r="M707" s="269" t="s">
        <v>4254</v>
      </c>
      <c r="N707" s="121" t="s">
        <v>4255</v>
      </c>
      <c r="O707" s="122" t="s">
        <v>4256</v>
      </c>
      <c r="P707" s="120" t="s">
        <v>3230</v>
      </c>
      <c r="Q707" s="120" t="s">
        <v>48</v>
      </c>
      <c r="R707" s="155">
        <v>9597932918</v>
      </c>
      <c r="S707" s="120" t="s">
        <v>4242</v>
      </c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227"/>
      <c r="AE707" s="240"/>
      <c r="AF707" s="159"/>
      <c r="AG707" s="159"/>
      <c r="AH707" s="159"/>
      <c r="AI707" s="159"/>
      <c r="AJ707" s="159"/>
      <c r="AK707" s="159"/>
      <c r="AL707" s="159"/>
      <c r="AM707" s="159"/>
      <c r="AN707" s="159"/>
      <c r="AO707" s="159"/>
      <c r="AP707" s="159"/>
      <c r="AQ707" s="159"/>
      <c r="AR707" s="159"/>
      <c r="AS707" s="159"/>
      <c r="AT707" s="159"/>
      <c r="AU707" s="159"/>
      <c r="AV707" s="157"/>
      <c r="AW707" s="157"/>
      <c r="AX707" s="157"/>
      <c r="AY707" s="240"/>
      <c r="AZ707" s="155" t="s">
        <v>49</v>
      </c>
      <c r="BA707" s="160"/>
      <c r="BB707" s="157"/>
      <c r="BC707" s="157"/>
      <c r="BD707" s="240"/>
      <c r="BE707" s="240"/>
      <c r="BF707" s="157"/>
    </row>
    <row r="708" spans="1:58" s="84" customFormat="1" ht="70.150000000000006" customHeight="1">
      <c r="A708" s="154">
        <v>704</v>
      </c>
      <c r="B708" s="155" t="s">
        <v>4257</v>
      </c>
      <c r="C708" s="85" t="s">
        <v>4258</v>
      </c>
      <c r="D708" s="120" t="s">
        <v>53</v>
      </c>
      <c r="E708" s="120" t="s">
        <v>54</v>
      </c>
      <c r="F708" s="120" t="s">
        <v>4245</v>
      </c>
      <c r="G708" s="120" t="s">
        <v>3742</v>
      </c>
      <c r="H708" s="120" t="s">
        <v>4259</v>
      </c>
      <c r="I708" s="120" t="s">
        <v>3744</v>
      </c>
      <c r="J708" s="155" t="s">
        <v>4259</v>
      </c>
      <c r="K708" s="260" t="s">
        <v>4260</v>
      </c>
      <c r="L708" s="155" t="s">
        <v>4201</v>
      </c>
      <c r="M708" s="269" t="s">
        <v>4261</v>
      </c>
      <c r="N708" s="122" t="s">
        <v>4262</v>
      </c>
      <c r="O708" s="122" t="s">
        <v>4269</v>
      </c>
      <c r="P708" s="120" t="s">
        <v>2412</v>
      </c>
      <c r="Q708" s="120" t="s">
        <v>2413</v>
      </c>
      <c r="R708" s="155">
        <v>9167555116</v>
      </c>
      <c r="S708" s="120" t="s">
        <v>4242</v>
      </c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227"/>
      <c r="AE708" s="240"/>
      <c r="AF708" s="159"/>
      <c r="AG708" s="159"/>
      <c r="AH708" s="159"/>
      <c r="AI708" s="159"/>
      <c r="AJ708" s="159"/>
      <c r="AK708" s="159"/>
      <c r="AL708" s="159"/>
      <c r="AM708" s="159"/>
      <c r="AN708" s="159"/>
      <c r="AO708" s="159"/>
      <c r="AP708" s="159"/>
      <c r="AQ708" s="159"/>
      <c r="AR708" s="159"/>
      <c r="AS708" s="159"/>
      <c r="AT708" s="159"/>
      <c r="AU708" s="159"/>
      <c r="AV708" s="157"/>
      <c r="AW708" s="157"/>
      <c r="AX708" s="157"/>
      <c r="AY708" s="240"/>
      <c r="AZ708" s="155" t="s">
        <v>49</v>
      </c>
      <c r="BA708" s="160"/>
      <c r="BB708" s="157"/>
      <c r="BC708" s="157"/>
      <c r="BD708" s="240"/>
      <c r="BE708" s="240"/>
      <c r="BF708" s="157"/>
    </row>
    <row r="709" spans="1:58" s="84" customFormat="1" ht="70.150000000000006" customHeight="1">
      <c r="A709" s="154">
        <v>705</v>
      </c>
      <c r="B709" s="155" t="s">
        <v>4263</v>
      </c>
      <c r="C709" s="85" t="s">
        <v>4264</v>
      </c>
      <c r="D709" s="120" t="s">
        <v>53</v>
      </c>
      <c r="E709" s="120" t="s">
        <v>54</v>
      </c>
      <c r="F709" s="120" t="s">
        <v>4245</v>
      </c>
      <c r="G709" s="120" t="s">
        <v>4265</v>
      </c>
      <c r="H709" s="120"/>
      <c r="I709" s="120" t="s">
        <v>3744</v>
      </c>
      <c r="J709" s="155" t="s">
        <v>4259</v>
      </c>
      <c r="K709" s="260" t="s">
        <v>4266</v>
      </c>
      <c r="L709" s="155" t="s">
        <v>4209</v>
      </c>
      <c r="M709" s="269" t="s">
        <v>4267</v>
      </c>
      <c r="N709" s="122" t="s">
        <v>4268</v>
      </c>
      <c r="O709" s="122" t="s">
        <v>4269</v>
      </c>
      <c r="P709" s="120" t="s">
        <v>2412</v>
      </c>
      <c r="Q709" s="120" t="s">
        <v>2413</v>
      </c>
      <c r="R709" s="155">
        <v>7678000482</v>
      </c>
      <c r="S709" s="120" t="s">
        <v>4242</v>
      </c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227"/>
      <c r="AE709" s="240"/>
      <c r="AF709" s="159"/>
      <c r="AG709" s="159"/>
      <c r="AH709" s="159"/>
      <c r="AI709" s="159"/>
      <c r="AJ709" s="159"/>
      <c r="AK709" s="159"/>
      <c r="AL709" s="159"/>
      <c r="AM709" s="159"/>
      <c r="AN709" s="159"/>
      <c r="AO709" s="159"/>
      <c r="AP709" s="159"/>
      <c r="AQ709" s="159"/>
      <c r="AR709" s="159"/>
      <c r="AS709" s="159"/>
      <c r="AT709" s="159"/>
      <c r="AU709" s="159"/>
      <c r="AV709" s="157"/>
      <c r="AW709" s="157"/>
      <c r="AX709" s="157"/>
      <c r="AY709" s="240"/>
      <c r="AZ709" s="155" t="s">
        <v>49</v>
      </c>
      <c r="BA709" s="160"/>
      <c r="BB709" s="157"/>
      <c r="BC709" s="157"/>
      <c r="BD709" s="240"/>
      <c r="BE709" s="240"/>
      <c r="BF709" s="157"/>
    </row>
    <row r="710" spans="1:58" s="84" customFormat="1" ht="70.150000000000006" customHeight="1">
      <c r="A710" s="154">
        <v>706</v>
      </c>
      <c r="B710" s="155" t="s">
        <v>4270</v>
      </c>
      <c r="C710" s="85" t="s">
        <v>4271</v>
      </c>
      <c r="D710" s="120" t="s">
        <v>53</v>
      </c>
      <c r="E710" s="120" t="s">
        <v>54</v>
      </c>
      <c r="F710" s="120" t="s">
        <v>4272</v>
      </c>
      <c r="G710" s="120" t="s">
        <v>4265</v>
      </c>
      <c r="H710" s="120"/>
      <c r="I710" s="120" t="s">
        <v>3744</v>
      </c>
      <c r="J710" s="155" t="s">
        <v>4259</v>
      </c>
      <c r="K710" s="260" t="s">
        <v>4273</v>
      </c>
      <c r="L710" s="155" t="s">
        <v>4209</v>
      </c>
      <c r="M710" s="266"/>
      <c r="N710" s="122" t="s">
        <v>4274</v>
      </c>
      <c r="O710" s="122" t="s">
        <v>4269</v>
      </c>
      <c r="P710" s="120" t="s">
        <v>2412</v>
      </c>
      <c r="Q710" s="120" t="s">
        <v>2413</v>
      </c>
      <c r="R710" s="155">
        <v>9372633284</v>
      </c>
      <c r="S710" s="120" t="s">
        <v>4242</v>
      </c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227"/>
      <c r="AE710" s="240"/>
      <c r="AF710" s="159"/>
      <c r="AG710" s="159"/>
      <c r="AH710" s="159"/>
      <c r="AI710" s="159"/>
      <c r="AJ710" s="159"/>
      <c r="AK710" s="159"/>
      <c r="AL710" s="159"/>
      <c r="AM710" s="159"/>
      <c r="AN710" s="159"/>
      <c r="AO710" s="159"/>
      <c r="AP710" s="159"/>
      <c r="AQ710" s="159"/>
      <c r="AR710" s="159"/>
      <c r="AS710" s="159"/>
      <c r="AT710" s="159"/>
      <c r="AU710" s="159"/>
      <c r="AV710" s="157"/>
      <c r="AW710" s="157"/>
      <c r="AX710" s="157"/>
      <c r="AY710" s="240"/>
      <c r="AZ710" s="155" t="s">
        <v>49</v>
      </c>
      <c r="BA710" s="160"/>
      <c r="BB710" s="157"/>
      <c r="BC710" s="157"/>
      <c r="BD710" s="240"/>
      <c r="BE710" s="240"/>
      <c r="BF710" s="157"/>
    </row>
    <row r="711" spans="1:58" s="84" customFormat="1" ht="70.150000000000006" customHeight="1">
      <c r="A711" s="154">
        <v>707</v>
      </c>
      <c r="B711" s="155" t="s">
        <v>4275</v>
      </c>
      <c r="C711" s="85" t="s">
        <v>4276</v>
      </c>
      <c r="D711" s="120" t="s">
        <v>53</v>
      </c>
      <c r="E711" s="120" t="s">
        <v>54</v>
      </c>
      <c r="F711" s="120" t="s">
        <v>4277</v>
      </c>
      <c r="G711" s="120" t="s">
        <v>4265</v>
      </c>
      <c r="H711" s="120"/>
      <c r="I711" s="120" t="s">
        <v>3744</v>
      </c>
      <c r="J711" s="155" t="s">
        <v>4259</v>
      </c>
      <c r="K711" s="260" t="s">
        <v>4278</v>
      </c>
      <c r="L711" s="155" t="s">
        <v>4209</v>
      </c>
      <c r="M711" s="266"/>
      <c r="N711" s="122" t="s">
        <v>4279</v>
      </c>
      <c r="O711" s="122" t="s">
        <v>4269</v>
      </c>
      <c r="P711" s="120" t="s">
        <v>2412</v>
      </c>
      <c r="Q711" s="120" t="s">
        <v>2413</v>
      </c>
      <c r="R711" s="155"/>
      <c r="S711" s="120" t="s">
        <v>4242</v>
      </c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227"/>
      <c r="AE711" s="240"/>
      <c r="AF711" s="159"/>
      <c r="AG711" s="159"/>
      <c r="AH711" s="159"/>
      <c r="AI711" s="159"/>
      <c r="AJ711" s="159"/>
      <c r="AK711" s="159"/>
      <c r="AL711" s="159"/>
      <c r="AM711" s="159"/>
      <c r="AN711" s="159"/>
      <c r="AO711" s="159"/>
      <c r="AP711" s="159"/>
      <c r="AQ711" s="159"/>
      <c r="AR711" s="159"/>
      <c r="AS711" s="159"/>
      <c r="AT711" s="159"/>
      <c r="AU711" s="159"/>
      <c r="AV711" s="157"/>
      <c r="AW711" s="157"/>
      <c r="AX711" s="157"/>
      <c r="AY711" s="240"/>
      <c r="AZ711" s="155" t="s">
        <v>49</v>
      </c>
      <c r="BA711" s="160"/>
      <c r="BB711" s="157"/>
      <c r="BC711" s="157"/>
      <c r="BD711" s="240"/>
      <c r="BE711" s="240"/>
      <c r="BF711" s="157"/>
    </row>
    <row r="712" spans="1:58" s="84" customFormat="1" ht="70.150000000000006" customHeight="1">
      <c r="A712" s="154">
        <v>708</v>
      </c>
      <c r="B712" s="155" t="s">
        <v>4287</v>
      </c>
      <c r="C712" s="85" t="s">
        <v>4280</v>
      </c>
      <c r="D712" s="120" t="s">
        <v>53</v>
      </c>
      <c r="E712" s="120" t="s">
        <v>160</v>
      </c>
      <c r="F712" s="120" t="s">
        <v>4281</v>
      </c>
      <c r="G712" s="120" t="s">
        <v>3742</v>
      </c>
      <c r="H712" s="120" t="s">
        <v>4282</v>
      </c>
      <c r="I712" s="120" t="s">
        <v>3744</v>
      </c>
      <c r="J712" s="155" t="s">
        <v>4283</v>
      </c>
      <c r="K712" s="260" t="s">
        <v>4284</v>
      </c>
      <c r="L712" s="155" t="s">
        <v>4209</v>
      </c>
      <c r="M712" s="266"/>
      <c r="N712" s="122" t="s">
        <v>4285</v>
      </c>
      <c r="O712" s="122" t="s">
        <v>4286</v>
      </c>
      <c r="P712" s="120" t="s">
        <v>3561</v>
      </c>
      <c r="Q712" s="120" t="s">
        <v>48</v>
      </c>
      <c r="R712" s="155">
        <v>9443159417</v>
      </c>
      <c r="S712" s="120" t="s">
        <v>4242</v>
      </c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227"/>
      <c r="AE712" s="240"/>
      <c r="AF712" s="159"/>
      <c r="AG712" s="159"/>
      <c r="AH712" s="159"/>
      <c r="AI712" s="159"/>
      <c r="AJ712" s="159"/>
      <c r="AK712" s="159"/>
      <c r="AL712" s="159"/>
      <c r="AM712" s="159"/>
      <c r="AN712" s="159"/>
      <c r="AO712" s="159"/>
      <c r="AP712" s="159"/>
      <c r="AQ712" s="159"/>
      <c r="AR712" s="159"/>
      <c r="AS712" s="159"/>
      <c r="AT712" s="159"/>
      <c r="AU712" s="159"/>
      <c r="AV712" s="157"/>
      <c r="AW712" s="157"/>
      <c r="AX712" s="157"/>
      <c r="AY712" s="240"/>
      <c r="AZ712" s="155" t="s">
        <v>49</v>
      </c>
      <c r="BA712" s="160"/>
      <c r="BB712" s="157"/>
      <c r="BC712" s="157"/>
      <c r="BD712" s="240"/>
      <c r="BE712" s="240"/>
      <c r="BF712" s="157"/>
    </row>
    <row r="713" spans="1:58" s="84" customFormat="1" ht="70.150000000000006" customHeight="1">
      <c r="A713" s="154">
        <v>709</v>
      </c>
      <c r="B713" s="155" t="s">
        <v>4288</v>
      </c>
      <c r="C713" s="85" t="s">
        <v>4303</v>
      </c>
      <c r="D713" s="120" t="s">
        <v>53</v>
      </c>
      <c r="E713" s="120" t="s">
        <v>54</v>
      </c>
      <c r="F713" s="120"/>
      <c r="G713" s="120" t="s">
        <v>3742</v>
      </c>
      <c r="H713" s="120" t="s">
        <v>4304</v>
      </c>
      <c r="I713" s="120" t="s">
        <v>3744</v>
      </c>
      <c r="J713" s="155" t="s">
        <v>4283</v>
      </c>
      <c r="K713" s="260" t="s">
        <v>4305</v>
      </c>
      <c r="L713" s="155" t="s">
        <v>4209</v>
      </c>
      <c r="M713" s="266"/>
      <c r="N713" s="122" t="s">
        <v>4306</v>
      </c>
      <c r="O713" s="122" t="s">
        <v>4307</v>
      </c>
      <c r="P713" s="120" t="s">
        <v>3561</v>
      </c>
      <c r="Q713" s="120" t="s">
        <v>48</v>
      </c>
      <c r="R713" s="155">
        <v>8754008876</v>
      </c>
      <c r="S713" s="120" t="s">
        <v>4242</v>
      </c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227"/>
      <c r="AE713" s="240"/>
      <c r="AF713" s="159"/>
      <c r="AG713" s="159"/>
      <c r="AH713" s="159"/>
      <c r="AI713" s="159"/>
      <c r="AJ713" s="159"/>
      <c r="AK713" s="159"/>
      <c r="AL713" s="159"/>
      <c r="AM713" s="159"/>
      <c r="AN713" s="159"/>
      <c r="AO713" s="159"/>
      <c r="AP713" s="159"/>
      <c r="AQ713" s="159"/>
      <c r="AR713" s="159"/>
      <c r="AS713" s="159"/>
      <c r="AT713" s="159"/>
      <c r="AU713" s="159"/>
      <c r="AV713" s="157"/>
      <c r="AW713" s="157"/>
      <c r="AX713" s="157"/>
      <c r="AY713" s="240"/>
      <c r="AZ713" s="155" t="s">
        <v>49</v>
      </c>
      <c r="BA713" s="160"/>
      <c r="BB713" s="157"/>
      <c r="BC713" s="157"/>
      <c r="BD713" s="240"/>
      <c r="BE713" s="240"/>
      <c r="BF713" s="157"/>
    </row>
    <row r="714" spans="1:58" s="84" customFormat="1" ht="70.150000000000006" customHeight="1">
      <c r="A714" s="154">
        <v>710</v>
      </c>
      <c r="B714" s="155" t="s">
        <v>4289</v>
      </c>
      <c r="C714" s="85" t="s">
        <v>4308</v>
      </c>
      <c r="D714" s="120" t="s">
        <v>53</v>
      </c>
      <c r="E714" s="120" t="s">
        <v>54</v>
      </c>
      <c r="F714" s="120"/>
      <c r="G714" s="120" t="s">
        <v>3742</v>
      </c>
      <c r="H714" s="273" t="s">
        <v>4309</v>
      </c>
      <c r="I714" s="120" t="s">
        <v>3744</v>
      </c>
      <c r="J714" s="155" t="s">
        <v>4310</v>
      </c>
      <c r="K714" s="260" t="s">
        <v>4311</v>
      </c>
      <c r="L714" s="155" t="s">
        <v>4209</v>
      </c>
      <c r="M714" s="266"/>
      <c r="N714" s="122" t="s">
        <v>4312</v>
      </c>
      <c r="O714" s="122" t="s">
        <v>4313</v>
      </c>
      <c r="P714" s="120" t="s">
        <v>3511</v>
      </c>
      <c r="Q714" s="120" t="s">
        <v>48</v>
      </c>
      <c r="R714" s="155">
        <v>9944404751</v>
      </c>
      <c r="S714" s="120" t="s">
        <v>4242</v>
      </c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227"/>
      <c r="AE714" s="240"/>
      <c r="AF714" s="159"/>
      <c r="AG714" s="159"/>
      <c r="AH714" s="159"/>
      <c r="AI714" s="159"/>
      <c r="AJ714" s="159"/>
      <c r="AK714" s="159"/>
      <c r="AL714" s="159"/>
      <c r="AM714" s="159"/>
      <c r="AN714" s="159"/>
      <c r="AO714" s="159"/>
      <c r="AP714" s="159"/>
      <c r="AQ714" s="159"/>
      <c r="AR714" s="159"/>
      <c r="AS714" s="159"/>
      <c r="AT714" s="159"/>
      <c r="AU714" s="159"/>
      <c r="AV714" s="157"/>
      <c r="AW714" s="157"/>
      <c r="AX714" s="157"/>
      <c r="AY714" s="240"/>
      <c r="AZ714" s="155" t="s">
        <v>49</v>
      </c>
      <c r="BA714" s="160"/>
      <c r="BB714" s="157"/>
      <c r="BC714" s="157"/>
      <c r="BD714" s="240"/>
      <c r="BE714" s="240"/>
      <c r="BF714" s="157"/>
    </row>
    <row r="715" spans="1:58" s="84" customFormat="1" ht="70.150000000000006" customHeight="1">
      <c r="A715" s="154">
        <v>711</v>
      </c>
      <c r="B715" s="155" t="s">
        <v>4290</v>
      </c>
      <c r="C715" s="85" t="s">
        <v>4314</v>
      </c>
      <c r="D715" s="120" t="s">
        <v>53</v>
      </c>
      <c r="E715" s="120" t="s">
        <v>54</v>
      </c>
      <c r="F715" s="120" t="s">
        <v>4315</v>
      </c>
      <c r="G715" s="120" t="s">
        <v>3742</v>
      </c>
      <c r="H715" s="120" t="s">
        <v>4316</v>
      </c>
      <c r="I715" s="120" t="s">
        <v>3744</v>
      </c>
      <c r="J715" s="155" t="s">
        <v>4310</v>
      </c>
      <c r="K715" s="260" t="s">
        <v>4317</v>
      </c>
      <c r="L715" s="155" t="s">
        <v>4201</v>
      </c>
      <c r="M715" s="266"/>
      <c r="N715" s="122" t="s">
        <v>4318</v>
      </c>
      <c r="O715" s="122" t="s">
        <v>4319</v>
      </c>
      <c r="P715" s="120" t="s">
        <v>3511</v>
      </c>
      <c r="Q715" s="120" t="s">
        <v>48</v>
      </c>
      <c r="R715" s="155">
        <v>8754303077</v>
      </c>
      <c r="S715" s="120" t="s">
        <v>4242</v>
      </c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227"/>
      <c r="AE715" s="240"/>
      <c r="AF715" s="159"/>
      <c r="AG715" s="159"/>
      <c r="AH715" s="159"/>
      <c r="AI715" s="159"/>
      <c r="AJ715" s="159"/>
      <c r="AK715" s="159"/>
      <c r="AL715" s="159"/>
      <c r="AM715" s="159"/>
      <c r="AN715" s="159"/>
      <c r="AO715" s="159"/>
      <c r="AP715" s="159"/>
      <c r="AQ715" s="159"/>
      <c r="AR715" s="159"/>
      <c r="AS715" s="159"/>
      <c r="AT715" s="159"/>
      <c r="AU715" s="159"/>
      <c r="AV715" s="157"/>
      <c r="AW715" s="157"/>
      <c r="AX715" s="157"/>
      <c r="AY715" s="240"/>
      <c r="AZ715" s="155" t="s">
        <v>49</v>
      </c>
      <c r="BA715" s="160"/>
      <c r="BB715" s="157"/>
      <c r="BC715" s="157"/>
      <c r="BD715" s="240"/>
      <c r="BE715" s="240"/>
      <c r="BF715" s="157"/>
    </row>
    <row r="716" spans="1:58" s="84" customFormat="1" ht="70.150000000000006" customHeight="1">
      <c r="A716" s="154">
        <v>712</v>
      </c>
      <c r="B716" s="155" t="s">
        <v>4291</v>
      </c>
      <c r="C716" s="85" t="s">
        <v>4320</v>
      </c>
      <c r="D716" s="120" t="s">
        <v>53</v>
      </c>
      <c r="E716" s="120" t="s">
        <v>54</v>
      </c>
      <c r="F716" s="120" t="s">
        <v>4250</v>
      </c>
      <c r="G716" s="120" t="s">
        <v>3742</v>
      </c>
      <c r="H716" s="120" t="s">
        <v>4321</v>
      </c>
      <c r="I716" s="120" t="s">
        <v>3744</v>
      </c>
      <c r="J716" s="155" t="s">
        <v>4310</v>
      </c>
      <c r="K716" s="260" t="s">
        <v>4322</v>
      </c>
      <c r="L716" s="155" t="s">
        <v>4209</v>
      </c>
      <c r="M716" s="266"/>
      <c r="N716" s="122" t="s">
        <v>4323</v>
      </c>
      <c r="O716" s="122" t="s">
        <v>4313</v>
      </c>
      <c r="P716" s="120" t="s">
        <v>3511</v>
      </c>
      <c r="Q716" s="120" t="s">
        <v>48</v>
      </c>
      <c r="R716" s="155">
        <v>8870549041</v>
      </c>
      <c r="S716" s="120" t="s">
        <v>4242</v>
      </c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227"/>
      <c r="AE716" s="240"/>
      <c r="AF716" s="159"/>
      <c r="AG716" s="159"/>
      <c r="AH716" s="159"/>
      <c r="AI716" s="159"/>
      <c r="AJ716" s="159"/>
      <c r="AK716" s="159"/>
      <c r="AL716" s="159"/>
      <c r="AM716" s="159"/>
      <c r="AN716" s="159"/>
      <c r="AO716" s="159"/>
      <c r="AP716" s="159"/>
      <c r="AQ716" s="159"/>
      <c r="AR716" s="159"/>
      <c r="AS716" s="159"/>
      <c r="AT716" s="159"/>
      <c r="AU716" s="159"/>
      <c r="AV716" s="157"/>
      <c r="AW716" s="157"/>
      <c r="AX716" s="157"/>
      <c r="AY716" s="240"/>
      <c r="AZ716" s="155" t="s">
        <v>49</v>
      </c>
      <c r="BA716" s="160"/>
      <c r="BB716" s="157"/>
      <c r="BC716" s="157"/>
      <c r="BD716" s="240"/>
      <c r="BE716" s="240"/>
      <c r="BF716" s="157"/>
    </row>
    <row r="717" spans="1:58" s="84" customFormat="1" ht="70.150000000000006" customHeight="1">
      <c r="A717" s="154">
        <v>713</v>
      </c>
      <c r="B717" s="155" t="s">
        <v>4292</v>
      </c>
      <c r="C717" s="85" t="s">
        <v>4324</v>
      </c>
      <c r="D717" s="120" t="s">
        <v>53</v>
      </c>
      <c r="E717" s="120" t="s">
        <v>54</v>
      </c>
      <c r="F717" s="120"/>
      <c r="G717" s="120" t="s">
        <v>3742</v>
      </c>
      <c r="H717" s="120" t="s">
        <v>4325</v>
      </c>
      <c r="I717" s="120" t="s">
        <v>3744</v>
      </c>
      <c r="J717" s="155" t="s">
        <v>4310</v>
      </c>
      <c r="K717" s="260" t="s">
        <v>4326</v>
      </c>
      <c r="L717" s="155" t="s">
        <v>4209</v>
      </c>
      <c r="M717" s="266"/>
      <c r="N717" s="122" t="s">
        <v>4327</v>
      </c>
      <c r="O717" s="122" t="s">
        <v>4313</v>
      </c>
      <c r="P717" s="120" t="s">
        <v>3511</v>
      </c>
      <c r="Q717" s="120" t="s">
        <v>48</v>
      </c>
      <c r="R717" s="155">
        <v>8768085905</v>
      </c>
      <c r="S717" s="120" t="s">
        <v>4242</v>
      </c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227"/>
      <c r="AE717" s="240"/>
      <c r="AF717" s="159"/>
      <c r="AG717" s="159"/>
      <c r="AH717" s="159"/>
      <c r="AI717" s="159"/>
      <c r="AJ717" s="159"/>
      <c r="AK717" s="159"/>
      <c r="AL717" s="159"/>
      <c r="AM717" s="159"/>
      <c r="AN717" s="159"/>
      <c r="AO717" s="159"/>
      <c r="AP717" s="159"/>
      <c r="AQ717" s="159"/>
      <c r="AR717" s="159"/>
      <c r="AS717" s="159"/>
      <c r="AT717" s="159"/>
      <c r="AU717" s="159"/>
      <c r="AV717" s="157"/>
      <c r="AW717" s="157"/>
      <c r="AX717" s="157"/>
      <c r="AY717" s="240"/>
      <c r="AZ717" s="155" t="s">
        <v>49</v>
      </c>
      <c r="BA717" s="160"/>
      <c r="BB717" s="157"/>
      <c r="BC717" s="157"/>
      <c r="BD717" s="240"/>
      <c r="BE717" s="240"/>
      <c r="BF717" s="157"/>
    </row>
    <row r="718" spans="1:58" s="84" customFormat="1" ht="70.150000000000006" customHeight="1">
      <c r="A718" s="154">
        <v>714</v>
      </c>
      <c r="B718" s="155" t="s">
        <v>4293</v>
      </c>
      <c r="C718" s="85" t="s">
        <v>4328</v>
      </c>
      <c r="D718" s="120" t="s">
        <v>53</v>
      </c>
      <c r="E718" s="120" t="s">
        <v>54</v>
      </c>
      <c r="F718" s="120" t="s">
        <v>4329</v>
      </c>
      <c r="G718" s="120" t="s">
        <v>3742</v>
      </c>
      <c r="H718" s="120" t="s">
        <v>4330</v>
      </c>
      <c r="I718" s="120" t="s">
        <v>3744</v>
      </c>
      <c r="J718" s="155" t="s">
        <v>3860</v>
      </c>
      <c r="K718" s="260" t="s">
        <v>4331</v>
      </c>
      <c r="L718" s="155" t="s">
        <v>4209</v>
      </c>
      <c r="M718" s="266"/>
      <c r="N718" s="122" t="s">
        <v>4332</v>
      </c>
      <c r="O718" s="122" t="s">
        <v>4333</v>
      </c>
      <c r="P718" s="120" t="s">
        <v>1102</v>
      </c>
      <c r="Q718" s="120" t="s">
        <v>48</v>
      </c>
      <c r="R718" s="155">
        <v>9843910051</v>
      </c>
      <c r="S718" s="120" t="s">
        <v>4242</v>
      </c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227"/>
      <c r="AE718" s="240"/>
      <c r="AF718" s="159"/>
      <c r="AG718" s="159"/>
      <c r="AH718" s="159"/>
      <c r="AI718" s="159"/>
      <c r="AJ718" s="159"/>
      <c r="AK718" s="159"/>
      <c r="AL718" s="159"/>
      <c r="AM718" s="159"/>
      <c r="AN718" s="159"/>
      <c r="AO718" s="159"/>
      <c r="AP718" s="159"/>
      <c r="AQ718" s="159"/>
      <c r="AR718" s="159"/>
      <c r="AS718" s="159"/>
      <c r="AT718" s="159"/>
      <c r="AU718" s="159"/>
      <c r="AV718" s="157"/>
      <c r="AW718" s="157"/>
      <c r="AX718" s="157"/>
      <c r="AY718" s="240"/>
      <c r="AZ718" s="155" t="s">
        <v>49</v>
      </c>
      <c r="BA718" s="160"/>
      <c r="BB718" s="157"/>
      <c r="BC718" s="157"/>
      <c r="BD718" s="240"/>
      <c r="BE718" s="240"/>
      <c r="BF718" s="157"/>
    </row>
    <row r="719" spans="1:58" s="84" customFormat="1" ht="70.150000000000006" customHeight="1">
      <c r="A719" s="154">
        <v>715</v>
      </c>
      <c r="B719" s="155" t="s">
        <v>4294</v>
      </c>
      <c r="C719" s="85" t="s">
        <v>4334</v>
      </c>
      <c r="D719" s="120" t="s">
        <v>53</v>
      </c>
      <c r="E719" s="120" t="s">
        <v>54</v>
      </c>
      <c r="F719" s="120" t="s">
        <v>4335</v>
      </c>
      <c r="G719" s="120" t="s">
        <v>3742</v>
      </c>
      <c r="H719" s="120" t="s">
        <v>4336</v>
      </c>
      <c r="I719" s="120" t="s">
        <v>3744</v>
      </c>
      <c r="J719" s="155" t="s">
        <v>3860</v>
      </c>
      <c r="K719" s="260" t="s">
        <v>4337</v>
      </c>
      <c r="L719" s="155" t="s">
        <v>4209</v>
      </c>
      <c r="M719" s="269" t="s">
        <v>4338</v>
      </c>
      <c r="N719" s="122" t="s">
        <v>4339</v>
      </c>
      <c r="O719" s="122" t="s">
        <v>4340</v>
      </c>
      <c r="P719" s="120" t="s">
        <v>1102</v>
      </c>
      <c r="Q719" s="120" t="s">
        <v>48</v>
      </c>
      <c r="R719" s="155">
        <v>8825939396</v>
      </c>
      <c r="S719" s="120" t="s">
        <v>4242</v>
      </c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227"/>
      <c r="AE719" s="240"/>
      <c r="AF719" s="159"/>
      <c r="AG719" s="159"/>
      <c r="AH719" s="159"/>
      <c r="AI719" s="159"/>
      <c r="AJ719" s="159"/>
      <c r="AK719" s="159"/>
      <c r="AL719" s="159"/>
      <c r="AM719" s="159"/>
      <c r="AN719" s="159"/>
      <c r="AO719" s="159"/>
      <c r="AP719" s="159"/>
      <c r="AQ719" s="159"/>
      <c r="AR719" s="159"/>
      <c r="AS719" s="159"/>
      <c r="AT719" s="159"/>
      <c r="AU719" s="159"/>
      <c r="AV719" s="157"/>
      <c r="AW719" s="157"/>
      <c r="AX719" s="157"/>
      <c r="AY719" s="240"/>
      <c r="AZ719" s="155" t="s">
        <v>49</v>
      </c>
      <c r="BA719" s="160"/>
      <c r="BB719" s="157"/>
      <c r="BC719" s="157"/>
      <c r="BD719" s="240"/>
      <c r="BE719" s="240"/>
      <c r="BF719" s="157"/>
    </row>
    <row r="720" spans="1:58" s="84" customFormat="1" ht="70.150000000000006" customHeight="1">
      <c r="A720" s="154">
        <v>716</v>
      </c>
      <c r="B720" s="155" t="s">
        <v>4295</v>
      </c>
      <c r="C720" s="85" t="s">
        <v>4341</v>
      </c>
      <c r="D720" s="120" t="s">
        <v>53</v>
      </c>
      <c r="E720" s="120" t="s">
        <v>54</v>
      </c>
      <c r="F720" s="120" t="s">
        <v>4342</v>
      </c>
      <c r="G720" s="120" t="s">
        <v>3742</v>
      </c>
      <c r="H720" s="120" t="s">
        <v>4343</v>
      </c>
      <c r="I720" s="120" t="s">
        <v>3744</v>
      </c>
      <c r="J720" s="155" t="s">
        <v>4118</v>
      </c>
      <c r="K720" s="260" t="s">
        <v>4344</v>
      </c>
      <c r="L720" s="155" t="s">
        <v>4209</v>
      </c>
      <c r="M720" s="266"/>
      <c r="N720" s="122" t="s">
        <v>4348</v>
      </c>
      <c r="O720" s="122" t="s">
        <v>4351</v>
      </c>
      <c r="P720" s="120" t="s">
        <v>4350</v>
      </c>
      <c r="Q720" s="120" t="s">
        <v>517</v>
      </c>
      <c r="R720" s="155">
        <v>9745417386</v>
      </c>
      <c r="S720" s="120" t="s">
        <v>4242</v>
      </c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227"/>
      <c r="AE720" s="240"/>
      <c r="AF720" s="159"/>
      <c r="AG720" s="159"/>
      <c r="AH720" s="159"/>
      <c r="AI720" s="159"/>
      <c r="AJ720" s="159"/>
      <c r="AK720" s="159"/>
      <c r="AL720" s="159"/>
      <c r="AM720" s="159"/>
      <c r="AN720" s="159"/>
      <c r="AO720" s="159"/>
      <c r="AP720" s="159"/>
      <c r="AQ720" s="159"/>
      <c r="AR720" s="159"/>
      <c r="AS720" s="159"/>
      <c r="AT720" s="159"/>
      <c r="AU720" s="159"/>
      <c r="AV720" s="157"/>
      <c r="AW720" s="157"/>
      <c r="AX720" s="157"/>
      <c r="AY720" s="240"/>
      <c r="AZ720" s="155" t="s">
        <v>49</v>
      </c>
      <c r="BA720" s="160"/>
      <c r="BB720" s="157"/>
      <c r="BC720" s="157"/>
      <c r="BD720" s="240"/>
      <c r="BE720" s="240"/>
      <c r="BF720" s="157"/>
    </row>
    <row r="721" spans="1:58" s="84" customFormat="1" ht="70.150000000000006" customHeight="1">
      <c r="A721" s="154">
        <v>717</v>
      </c>
      <c r="B721" s="155" t="s">
        <v>4296</v>
      </c>
      <c r="C721" s="85" t="s">
        <v>4345</v>
      </c>
      <c r="D721" s="120" t="s">
        <v>53</v>
      </c>
      <c r="E721" s="120" t="s">
        <v>54</v>
      </c>
      <c r="F721" s="120"/>
      <c r="G721" s="120" t="s">
        <v>3742</v>
      </c>
      <c r="H721" s="120" t="s">
        <v>4346</v>
      </c>
      <c r="I721" s="120" t="s">
        <v>3744</v>
      </c>
      <c r="J721" s="155" t="s">
        <v>4118</v>
      </c>
      <c r="K721" s="260" t="s">
        <v>2285</v>
      </c>
      <c r="L721" s="155" t="s">
        <v>4209</v>
      </c>
      <c r="M721" s="269" t="s">
        <v>4347</v>
      </c>
      <c r="N721" s="122" t="s">
        <v>4349</v>
      </c>
      <c r="O721" s="122" t="s">
        <v>2617</v>
      </c>
      <c r="P721" s="120" t="s">
        <v>3561</v>
      </c>
      <c r="Q721" s="120" t="s">
        <v>48</v>
      </c>
      <c r="R721" s="155">
        <v>7397578225</v>
      </c>
      <c r="S721" s="120" t="s">
        <v>4242</v>
      </c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227"/>
      <c r="AE721" s="240"/>
      <c r="AF721" s="159"/>
      <c r="AG721" s="159"/>
      <c r="AH721" s="159"/>
      <c r="AI721" s="159"/>
      <c r="AJ721" s="159"/>
      <c r="AK721" s="159"/>
      <c r="AL721" s="159"/>
      <c r="AM721" s="159"/>
      <c r="AN721" s="159"/>
      <c r="AO721" s="159"/>
      <c r="AP721" s="159"/>
      <c r="AQ721" s="159"/>
      <c r="AR721" s="159"/>
      <c r="AS721" s="159"/>
      <c r="AT721" s="159"/>
      <c r="AU721" s="159"/>
      <c r="AV721" s="157"/>
      <c r="AW721" s="157"/>
      <c r="AX721" s="157"/>
      <c r="AY721" s="240"/>
      <c r="AZ721" s="155" t="s">
        <v>49</v>
      </c>
      <c r="BA721" s="160"/>
      <c r="BB721" s="157"/>
      <c r="BC721" s="157"/>
      <c r="BD721" s="240"/>
      <c r="BE721" s="240"/>
      <c r="BF721" s="157"/>
    </row>
    <row r="722" spans="1:58" s="84" customFormat="1" ht="70.150000000000006" customHeight="1">
      <c r="A722" s="154">
        <v>718</v>
      </c>
      <c r="B722" s="155" t="s">
        <v>4297</v>
      </c>
      <c r="C722" s="85" t="s">
        <v>4352</v>
      </c>
      <c r="D722" s="120" t="s">
        <v>53</v>
      </c>
      <c r="E722" s="120" t="s">
        <v>3280</v>
      </c>
      <c r="F722" s="120" t="s">
        <v>4226</v>
      </c>
      <c r="G722" s="120" t="s">
        <v>3742</v>
      </c>
      <c r="H722" s="120" t="s">
        <v>4353</v>
      </c>
      <c r="I722" s="120" t="s">
        <v>3744</v>
      </c>
      <c r="J722" s="155" t="s">
        <v>4237</v>
      </c>
      <c r="K722" s="260" t="s">
        <v>4354</v>
      </c>
      <c r="L722" s="155" t="s">
        <v>4209</v>
      </c>
      <c r="M722" s="266"/>
      <c r="N722" s="122" t="s">
        <v>4355</v>
      </c>
      <c r="O722" s="122" t="s">
        <v>4356</v>
      </c>
      <c r="P722" s="120" t="s">
        <v>2642</v>
      </c>
      <c r="Q722" s="120" t="s">
        <v>2413</v>
      </c>
      <c r="R722" s="155">
        <v>9870538614</v>
      </c>
      <c r="S722" s="120" t="s">
        <v>4242</v>
      </c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227"/>
      <c r="AE722" s="240"/>
      <c r="AF722" s="159"/>
      <c r="AG722" s="159"/>
      <c r="AH722" s="159"/>
      <c r="AI722" s="159"/>
      <c r="AJ722" s="159"/>
      <c r="AK722" s="159"/>
      <c r="AL722" s="159"/>
      <c r="AM722" s="159"/>
      <c r="AN722" s="159"/>
      <c r="AO722" s="159"/>
      <c r="AP722" s="159"/>
      <c r="AQ722" s="159"/>
      <c r="AR722" s="159"/>
      <c r="AS722" s="159"/>
      <c r="AT722" s="159"/>
      <c r="AU722" s="159"/>
      <c r="AV722" s="157"/>
      <c r="AW722" s="157"/>
      <c r="AX722" s="157"/>
      <c r="AY722" s="240"/>
      <c r="AZ722" s="155" t="s">
        <v>49</v>
      </c>
      <c r="BA722" s="160"/>
      <c r="BB722" s="157"/>
      <c r="BC722" s="157"/>
      <c r="BD722" s="240"/>
      <c r="BE722" s="240"/>
      <c r="BF722" s="157"/>
    </row>
    <row r="723" spans="1:58" s="84" customFormat="1" ht="70.150000000000006" customHeight="1">
      <c r="A723" s="154">
        <v>719</v>
      </c>
      <c r="B723" s="155" t="s">
        <v>4298</v>
      </c>
      <c r="C723" s="85" t="s">
        <v>4357</v>
      </c>
      <c r="D723" s="120" t="s">
        <v>53</v>
      </c>
      <c r="E723" s="120" t="s">
        <v>1692</v>
      </c>
      <c r="F723" s="120" t="s">
        <v>4329</v>
      </c>
      <c r="G723" s="120" t="s">
        <v>4388</v>
      </c>
      <c r="H723" s="120" t="s">
        <v>4387</v>
      </c>
      <c r="I723" s="120" t="s">
        <v>3744</v>
      </c>
      <c r="J723" s="155" t="s">
        <v>4386</v>
      </c>
      <c r="K723" s="260" t="s">
        <v>4385</v>
      </c>
      <c r="L723" s="155" t="s">
        <v>4209</v>
      </c>
      <c r="M723" s="266"/>
      <c r="N723" s="122" t="s">
        <v>4384</v>
      </c>
      <c r="O723" s="122" t="s">
        <v>4383</v>
      </c>
      <c r="P723" s="120" t="s">
        <v>73</v>
      </c>
      <c r="Q723" s="120" t="s">
        <v>48</v>
      </c>
      <c r="R723" s="155">
        <v>7397449241</v>
      </c>
      <c r="S723" s="120" t="s">
        <v>4242</v>
      </c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227"/>
      <c r="AE723" s="240"/>
      <c r="AF723" s="159"/>
      <c r="AG723" s="159"/>
      <c r="AH723" s="159"/>
      <c r="AI723" s="159"/>
      <c r="AJ723" s="159"/>
      <c r="AK723" s="159"/>
      <c r="AL723" s="159"/>
      <c r="AM723" s="159"/>
      <c r="AN723" s="159"/>
      <c r="AO723" s="159"/>
      <c r="AP723" s="159"/>
      <c r="AQ723" s="159"/>
      <c r="AR723" s="159"/>
      <c r="AS723" s="159"/>
      <c r="AT723" s="159"/>
      <c r="AU723" s="159"/>
      <c r="AV723" s="157"/>
      <c r="AW723" s="157"/>
      <c r="AX723" s="157"/>
      <c r="AY723" s="240"/>
      <c r="AZ723" s="155" t="s">
        <v>49</v>
      </c>
      <c r="BA723" s="160"/>
      <c r="BB723" s="157"/>
      <c r="BC723" s="157"/>
      <c r="BD723" s="240"/>
      <c r="BE723" s="240"/>
      <c r="BF723" s="157"/>
    </row>
    <row r="724" spans="1:58" s="84" customFormat="1" ht="78.75" customHeight="1">
      <c r="A724" s="154">
        <v>720</v>
      </c>
      <c r="B724" s="155" t="s">
        <v>4299</v>
      </c>
      <c r="C724" s="85" t="s">
        <v>4358</v>
      </c>
      <c r="D724" s="120" t="s">
        <v>53</v>
      </c>
      <c r="E724" s="120" t="s">
        <v>54</v>
      </c>
      <c r="F724" s="120" t="s">
        <v>4377</v>
      </c>
      <c r="G724" s="120" t="s">
        <v>4265</v>
      </c>
      <c r="H724" s="120"/>
      <c r="I724" s="120" t="s">
        <v>3744</v>
      </c>
      <c r="J724" s="155" t="s">
        <v>4378</v>
      </c>
      <c r="K724" s="260" t="s">
        <v>4379</v>
      </c>
      <c r="L724" s="155" t="s">
        <v>4209</v>
      </c>
      <c r="M724" s="269" t="s">
        <v>4380</v>
      </c>
      <c r="N724" s="122" t="s">
        <v>4381</v>
      </c>
      <c r="O724" s="122" t="s">
        <v>4382</v>
      </c>
      <c r="P724" s="120" t="s">
        <v>64</v>
      </c>
      <c r="Q724" s="120" t="s">
        <v>48</v>
      </c>
      <c r="R724" s="155">
        <v>7200319976</v>
      </c>
      <c r="S724" s="120" t="s">
        <v>4242</v>
      </c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227"/>
      <c r="AE724" s="240"/>
      <c r="AF724" s="159"/>
      <c r="AG724" s="159"/>
      <c r="AH724" s="159"/>
      <c r="AI724" s="159"/>
      <c r="AJ724" s="159"/>
      <c r="AK724" s="159"/>
      <c r="AL724" s="159"/>
      <c r="AM724" s="159"/>
      <c r="AN724" s="159"/>
      <c r="AO724" s="159"/>
      <c r="AP724" s="159"/>
      <c r="AQ724" s="159"/>
      <c r="AR724" s="159"/>
      <c r="AS724" s="159"/>
      <c r="AT724" s="159"/>
      <c r="AU724" s="159"/>
      <c r="AV724" s="157"/>
      <c r="AW724" s="157"/>
      <c r="AX724" s="157"/>
      <c r="AY724" s="240"/>
      <c r="AZ724" s="155" t="s">
        <v>49</v>
      </c>
      <c r="BA724" s="160"/>
      <c r="BB724" s="157"/>
      <c r="BC724" s="157"/>
      <c r="BD724" s="240"/>
      <c r="BE724" s="240"/>
      <c r="BF724" s="157"/>
    </row>
    <row r="725" spans="1:58" s="84" customFormat="1" ht="78.75" customHeight="1">
      <c r="A725" s="154">
        <v>721</v>
      </c>
      <c r="B725" s="155" t="s">
        <v>4300</v>
      </c>
      <c r="C725" s="85" t="s">
        <v>4359</v>
      </c>
      <c r="D725" s="120" t="s">
        <v>53</v>
      </c>
      <c r="E725" s="120" t="s">
        <v>54</v>
      </c>
      <c r="F725" s="120" t="s">
        <v>4245</v>
      </c>
      <c r="G725" s="120" t="s">
        <v>4265</v>
      </c>
      <c r="H725" s="120"/>
      <c r="I725" s="120" t="s">
        <v>3744</v>
      </c>
      <c r="J725" s="155" t="s">
        <v>3244</v>
      </c>
      <c r="K725" s="260" t="s">
        <v>4373</v>
      </c>
      <c r="L725" s="155" t="s">
        <v>4209</v>
      </c>
      <c r="M725" s="274" t="s">
        <v>4374</v>
      </c>
      <c r="N725" s="122" t="s">
        <v>4375</v>
      </c>
      <c r="O725" s="122" t="s">
        <v>4376</v>
      </c>
      <c r="P725" s="120" t="s">
        <v>64</v>
      </c>
      <c r="Q725" s="120" t="s">
        <v>48</v>
      </c>
      <c r="R725" s="155">
        <v>9620435058</v>
      </c>
      <c r="S725" s="120" t="s">
        <v>4242</v>
      </c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227"/>
      <c r="AE725" s="240"/>
      <c r="AF725" s="159"/>
      <c r="AG725" s="159"/>
      <c r="AH725" s="159"/>
      <c r="AI725" s="159"/>
      <c r="AJ725" s="159"/>
      <c r="AK725" s="159"/>
      <c r="AL725" s="159"/>
      <c r="AM725" s="159"/>
      <c r="AN725" s="159"/>
      <c r="AO725" s="159"/>
      <c r="AP725" s="159"/>
      <c r="AQ725" s="159"/>
      <c r="AR725" s="159"/>
      <c r="AS725" s="159"/>
      <c r="AT725" s="159"/>
      <c r="AU725" s="159"/>
      <c r="AV725" s="157"/>
      <c r="AW725" s="157"/>
      <c r="AX725" s="157"/>
      <c r="AY725" s="240"/>
      <c r="AZ725" s="155" t="s">
        <v>49</v>
      </c>
      <c r="BA725" s="160"/>
      <c r="BB725" s="157"/>
      <c r="BC725" s="157"/>
      <c r="BD725" s="240"/>
      <c r="BE725" s="240"/>
      <c r="BF725" s="157"/>
    </row>
    <row r="726" spans="1:58" s="84" customFormat="1" ht="78.75" customHeight="1">
      <c r="A726" s="154">
        <v>722</v>
      </c>
      <c r="B726" s="155" t="s">
        <v>4301</v>
      </c>
      <c r="C726" s="85" t="s">
        <v>4360</v>
      </c>
      <c r="D726" s="120" t="s">
        <v>53</v>
      </c>
      <c r="E726" s="120" t="s">
        <v>54</v>
      </c>
      <c r="F726" s="120" t="s">
        <v>4226</v>
      </c>
      <c r="G726" s="120" t="s">
        <v>3742</v>
      </c>
      <c r="H726" s="120" t="s">
        <v>4367</v>
      </c>
      <c r="I726" s="120" t="s">
        <v>3744</v>
      </c>
      <c r="J726" s="155" t="s">
        <v>4368</v>
      </c>
      <c r="K726" s="260" t="s">
        <v>4369</v>
      </c>
      <c r="L726" s="155" t="s">
        <v>4209</v>
      </c>
      <c r="M726" s="266"/>
      <c r="N726" s="122" t="s">
        <v>4370</v>
      </c>
      <c r="O726" s="122" t="s">
        <v>4372</v>
      </c>
      <c r="P726" s="120" t="s">
        <v>3663</v>
      </c>
      <c r="Q726" s="120" t="s">
        <v>48</v>
      </c>
      <c r="R726" s="155">
        <v>8148592674</v>
      </c>
      <c r="S726" s="120" t="s">
        <v>4242</v>
      </c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227"/>
      <c r="AE726" s="240"/>
      <c r="AF726" s="159"/>
      <c r="AG726" s="159"/>
      <c r="AH726" s="159"/>
      <c r="AI726" s="159"/>
      <c r="AJ726" s="159"/>
      <c r="AK726" s="159"/>
      <c r="AL726" s="159"/>
      <c r="AM726" s="159"/>
      <c r="AN726" s="159"/>
      <c r="AO726" s="159"/>
      <c r="AP726" s="159"/>
      <c r="AQ726" s="159"/>
      <c r="AR726" s="159"/>
      <c r="AS726" s="159"/>
      <c r="AT726" s="159"/>
      <c r="AU726" s="159"/>
      <c r="AV726" s="157"/>
      <c r="AW726" s="157"/>
      <c r="AX726" s="157"/>
      <c r="AY726" s="240"/>
      <c r="AZ726" s="155" t="s">
        <v>49</v>
      </c>
      <c r="BA726" s="160"/>
      <c r="BB726" s="157"/>
      <c r="BC726" s="157"/>
      <c r="BD726" s="240"/>
      <c r="BE726" s="240"/>
      <c r="BF726" s="157"/>
    </row>
    <row r="727" spans="1:58" s="84" customFormat="1" ht="70.150000000000006" customHeight="1">
      <c r="A727" s="154">
        <v>723</v>
      </c>
      <c r="B727" s="155" t="s">
        <v>4302</v>
      </c>
      <c r="C727" s="85" t="s">
        <v>4361</v>
      </c>
      <c r="D727" s="120" t="s">
        <v>53</v>
      </c>
      <c r="E727" s="120" t="s">
        <v>54</v>
      </c>
      <c r="F727" s="120" t="s">
        <v>4362</v>
      </c>
      <c r="G727" s="120" t="s">
        <v>3742</v>
      </c>
      <c r="H727" s="120" t="s">
        <v>4363</v>
      </c>
      <c r="I727" s="120" t="s">
        <v>3744</v>
      </c>
      <c r="J727" s="155" t="s">
        <v>3074</v>
      </c>
      <c r="K727" s="260" t="s">
        <v>4364</v>
      </c>
      <c r="L727" s="155" t="s">
        <v>4209</v>
      </c>
      <c r="M727" s="265" t="s">
        <v>4365</v>
      </c>
      <c r="N727" s="121" t="s">
        <v>4371</v>
      </c>
      <c r="O727" s="122" t="s">
        <v>4366</v>
      </c>
      <c r="P727" s="120" t="s">
        <v>1655</v>
      </c>
      <c r="Q727" s="120" t="s">
        <v>48</v>
      </c>
      <c r="R727" s="155">
        <v>8807774040</v>
      </c>
      <c r="S727" s="120" t="s">
        <v>4242</v>
      </c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227"/>
      <c r="AE727" s="240"/>
      <c r="AF727" s="159"/>
      <c r="AG727" s="159"/>
      <c r="AH727" s="159"/>
      <c r="AI727" s="159"/>
      <c r="AJ727" s="159"/>
      <c r="AK727" s="159"/>
      <c r="AL727" s="159"/>
      <c r="AM727" s="159"/>
      <c r="AN727" s="159"/>
      <c r="AO727" s="159"/>
      <c r="AP727" s="159"/>
      <c r="AQ727" s="159"/>
      <c r="AR727" s="159"/>
      <c r="AS727" s="159"/>
      <c r="AT727" s="159"/>
      <c r="AU727" s="159"/>
      <c r="AV727" s="157"/>
      <c r="AW727" s="157"/>
      <c r="AX727" s="157"/>
      <c r="AY727" s="240"/>
      <c r="AZ727" s="155" t="s">
        <v>49</v>
      </c>
      <c r="BA727" s="160"/>
      <c r="BB727" s="157"/>
      <c r="BC727" s="157"/>
      <c r="BD727" s="240"/>
      <c r="BE727" s="240"/>
      <c r="BF727" s="157"/>
    </row>
    <row r="728" spans="1:58" s="84" customFormat="1" ht="70.150000000000006" customHeight="1">
      <c r="A728" s="154" t="s">
        <v>38</v>
      </c>
      <c r="B728" s="155">
        <v>752</v>
      </c>
      <c r="C728" s="85"/>
      <c r="D728" s="120"/>
      <c r="E728" s="120"/>
      <c r="F728" s="120"/>
      <c r="G728" s="120"/>
      <c r="H728" s="120"/>
      <c r="I728" s="120"/>
      <c r="J728" s="155"/>
      <c r="K728" s="260"/>
      <c r="L728" s="272"/>
      <c r="M728" s="266"/>
      <c r="N728" s="122"/>
      <c r="O728" s="122"/>
      <c r="P728" s="120"/>
      <c r="Q728" s="120"/>
      <c r="R728" s="155"/>
      <c r="S728" s="123"/>
      <c r="T728" s="158">
        <v>40</v>
      </c>
      <c r="U728" s="158">
        <v>122</v>
      </c>
      <c r="V728" s="158">
        <v>166</v>
      </c>
      <c r="W728" s="158">
        <v>143</v>
      </c>
      <c r="X728" s="158">
        <v>152</v>
      </c>
      <c r="Y728" s="158">
        <v>134</v>
      </c>
      <c r="Z728" s="158">
        <v>82</v>
      </c>
      <c r="AA728" s="158">
        <v>105</v>
      </c>
      <c r="AB728" s="158"/>
      <c r="AC728" s="158">
        <v>13</v>
      </c>
      <c r="AD728" s="228"/>
      <c r="AE728" s="240"/>
      <c r="AF728" s="121">
        <v>153</v>
      </c>
      <c r="AG728" s="121">
        <v>93</v>
      </c>
      <c r="AH728" s="121">
        <v>59</v>
      </c>
      <c r="AI728" s="121">
        <v>197</v>
      </c>
      <c r="AJ728" s="121">
        <v>93</v>
      </c>
      <c r="AK728" s="121">
        <v>63</v>
      </c>
      <c r="AL728" s="121">
        <v>69</v>
      </c>
      <c r="AM728" s="121">
        <v>48</v>
      </c>
      <c r="AN728" s="121">
        <v>30</v>
      </c>
      <c r="AO728" s="121">
        <v>43</v>
      </c>
      <c r="AP728" s="121">
        <v>33</v>
      </c>
      <c r="AQ728" s="121">
        <v>33</v>
      </c>
      <c r="AR728" s="121">
        <v>21</v>
      </c>
      <c r="AS728" s="121">
        <v>14</v>
      </c>
      <c r="AT728" s="121">
        <v>5</v>
      </c>
      <c r="AU728" s="121">
        <v>8</v>
      </c>
      <c r="AV728" s="162">
        <v>13</v>
      </c>
      <c r="AW728" s="162"/>
      <c r="AX728" s="162"/>
      <c r="AY728" s="240"/>
      <c r="AZ728" s="121">
        <v>692</v>
      </c>
      <c r="BA728" s="163"/>
      <c r="BB728" s="162">
        <v>76</v>
      </c>
      <c r="BC728" s="162"/>
      <c r="BD728" s="240"/>
      <c r="BE728" s="240"/>
      <c r="BF728" s="162">
        <v>1142</v>
      </c>
    </row>
    <row r="729" spans="1:58" ht="90" customHeight="1">
      <c r="A729" s="1"/>
      <c r="B729" s="2"/>
      <c r="C729" s="3"/>
      <c r="D729" s="4"/>
      <c r="E729" s="5"/>
      <c r="F729" s="5"/>
      <c r="G729" s="5"/>
      <c r="H729" s="5"/>
      <c r="I729" s="5"/>
      <c r="J729" s="6"/>
      <c r="K729" s="261"/>
      <c r="L729" s="272"/>
      <c r="M729" s="261"/>
      <c r="N729" s="7"/>
      <c r="O729" s="8"/>
      <c r="P729" s="9"/>
      <c r="Q729" s="10"/>
      <c r="R729" s="11"/>
      <c r="S729" s="12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229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  <c r="AZ729" s="242"/>
      <c r="BA729" s="243"/>
    </row>
    <row r="730" spans="1:58" ht="90" customHeight="1">
      <c r="A730" s="1"/>
      <c r="B730" s="2"/>
      <c r="C730" s="3"/>
      <c r="D730" s="4"/>
      <c r="E730" s="5"/>
      <c r="F730" s="5"/>
      <c r="G730" s="5"/>
      <c r="H730" s="5"/>
      <c r="I730" s="5"/>
      <c r="J730" s="6"/>
      <c r="K730" s="261"/>
      <c r="L730" s="272"/>
      <c r="M730" s="261"/>
      <c r="N730" s="7"/>
      <c r="O730" s="8"/>
      <c r="P730" s="9"/>
      <c r="Q730" s="10"/>
      <c r="R730" s="11"/>
      <c r="S730" s="12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229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  <c r="AZ730" s="242"/>
      <c r="BA730" s="243"/>
    </row>
    <row r="731" spans="1:58" ht="90" customHeight="1">
      <c r="A731" s="1"/>
      <c r="B731" s="2"/>
      <c r="C731" s="3"/>
      <c r="D731" s="4"/>
      <c r="E731" s="5"/>
      <c r="F731" s="5"/>
      <c r="G731" s="5"/>
      <c r="H731" s="5"/>
      <c r="I731" s="5"/>
      <c r="J731" s="6"/>
      <c r="K731" s="261"/>
      <c r="L731" s="272"/>
      <c r="M731" s="261"/>
      <c r="N731" s="7"/>
      <c r="O731" s="8"/>
      <c r="P731" s="9"/>
      <c r="Q731" s="10"/>
      <c r="R731" s="11"/>
      <c r="S731" s="12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229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  <c r="AZ731" s="242"/>
      <c r="BA731" s="243"/>
    </row>
    <row r="732" spans="1:58" ht="90" customHeight="1">
      <c r="A732" s="1"/>
      <c r="B732" s="2"/>
      <c r="C732" s="3"/>
      <c r="D732" s="4"/>
      <c r="E732" s="5"/>
      <c r="F732" s="5"/>
      <c r="G732" s="5"/>
      <c r="H732" s="5"/>
      <c r="I732" s="5"/>
      <c r="J732" s="6"/>
      <c r="K732" s="261"/>
      <c r="L732" s="272"/>
      <c r="M732" s="261"/>
      <c r="N732" s="7"/>
      <c r="O732" s="8"/>
      <c r="P732" s="9"/>
      <c r="Q732" s="10"/>
      <c r="R732" s="11"/>
      <c r="S732" s="12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229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  <c r="AZ732" s="242"/>
      <c r="BA732" s="243"/>
    </row>
    <row r="733" spans="1:58" ht="90" customHeight="1">
      <c r="A733" s="1"/>
      <c r="B733" s="2"/>
      <c r="C733" s="3"/>
      <c r="D733" s="4"/>
      <c r="E733" s="5"/>
      <c r="F733" s="5"/>
      <c r="G733" s="5"/>
      <c r="H733" s="5"/>
      <c r="I733" s="5"/>
      <c r="J733" s="6"/>
      <c r="K733" s="261"/>
      <c r="L733" s="272"/>
      <c r="M733" s="261"/>
      <c r="N733" s="7"/>
      <c r="O733" s="8"/>
      <c r="P733" s="9"/>
      <c r="Q733" s="10"/>
      <c r="R733" s="11"/>
      <c r="S733" s="12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229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  <c r="AZ733" s="242"/>
      <c r="BA733" s="243"/>
    </row>
    <row r="734" spans="1:58" ht="90" customHeight="1">
      <c r="A734" s="1"/>
      <c r="B734" s="2"/>
      <c r="C734" s="3"/>
      <c r="D734" s="4"/>
      <c r="E734" s="5"/>
      <c r="F734" s="5"/>
      <c r="G734" s="5"/>
      <c r="H734" s="5"/>
      <c r="I734" s="5"/>
      <c r="J734" s="6"/>
      <c r="K734" s="261"/>
      <c r="L734" s="272"/>
      <c r="M734" s="261"/>
      <c r="N734" s="7"/>
      <c r="O734" s="8"/>
      <c r="P734" s="9"/>
      <c r="Q734" s="10"/>
      <c r="R734" s="11"/>
      <c r="S734" s="12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229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  <c r="AZ734" s="242"/>
      <c r="BA734" s="243"/>
    </row>
    <row r="735" spans="1:58" ht="90" customHeight="1">
      <c r="A735" s="1"/>
      <c r="B735" s="2"/>
      <c r="C735" s="3"/>
      <c r="D735" s="4"/>
      <c r="E735" s="5"/>
      <c r="F735" s="5"/>
      <c r="G735" s="5"/>
      <c r="H735" s="5"/>
      <c r="I735" s="5"/>
      <c r="J735" s="6"/>
      <c r="K735" s="261"/>
      <c r="L735" s="272"/>
      <c r="M735" s="261"/>
      <c r="N735" s="7"/>
      <c r="O735" s="8"/>
      <c r="P735" s="9"/>
      <c r="Q735" s="10"/>
      <c r="R735" s="11"/>
      <c r="S735" s="12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229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  <c r="AZ735" s="242"/>
      <c r="BA735" s="243"/>
    </row>
    <row r="736" spans="1:58" ht="90" customHeight="1">
      <c r="A736" s="1"/>
      <c r="B736" s="2"/>
      <c r="C736" s="3"/>
      <c r="D736" s="4"/>
      <c r="E736" s="5"/>
      <c r="F736" s="5"/>
      <c r="G736" s="5"/>
      <c r="H736" s="5"/>
      <c r="I736" s="5"/>
      <c r="J736" s="6"/>
      <c r="K736" s="261"/>
      <c r="L736" s="272"/>
      <c r="M736" s="261"/>
      <c r="N736" s="7"/>
      <c r="O736" s="8"/>
      <c r="P736" s="9"/>
      <c r="Q736" s="10"/>
      <c r="R736" s="11"/>
      <c r="S736" s="12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229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  <c r="AZ736" s="242"/>
      <c r="BA736" s="243"/>
    </row>
    <row r="737" spans="1:53" ht="90" customHeight="1">
      <c r="A737" s="1"/>
      <c r="B737" s="2"/>
      <c r="C737" s="3"/>
      <c r="D737" s="4"/>
      <c r="E737" s="5"/>
      <c r="F737" s="5"/>
      <c r="G737" s="5"/>
      <c r="H737" s="5"/>
      <c r="I737" s="5"/>
      <c r="J737" s="6"/>
      <c r="K737" s="261"/>
      <c r="L737" s="272"/>
      <c r="M737" s="261"/>
      <c r="N737" s="7"/>
      <c r="O737" s="8"/>
      <c r="P737" s="9"/>
      <c r="Q737" s="10"/>
      <c r="R737" s="11"/>
      <c r="S737" s="12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229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  <c r="AZ737" s="242"/>
      <c r="BA737" s="243"/>
    </row>
    <row r="738" spans="1:53" ht="90" customHeight="1">
      <c r="A738" s="1"/>
      <c r="B738" s="2"/>
      <c r="C738" s="3"/>
      <c r="D738" s="4"/>
      <c r="E738" s="5"/>
      <c r="F738" s="5"/>
      <c r="G738" s="5"/>
      <c r="H738" s="5"/>
      <c r="I738" s="5"/>
      <c r="J738" s="6"/>
      <c r="K738" s="261"/>
      <c r="L738" s="272"/>
      <c r="M738" s="261"/>
      <c r="N738" s="7"/>
      <c r="O738" s="8"/>
      <c r="P738" s="9"/>
      <c r="Q738" s="10"/>
      <c r="R738" s="11"/>
      <c r="S738" s="12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229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  <c r="AZ738" s="242"/>
      <c r="BA738" s="243"/>
    </row>
    <row r="739" spans="1:53" ht="90" customHeight="1">
      <c r="A739" s="1"/>
      <c r="B739" s="2"/>
      <c r="C739" s="3"/>
      <c r="D739" s="4"/>
      <c r="E739" s="5"/>
      <c r="F739" s="5"/>
      <c r="G739" s="5"/>
      <c r="H739" s="5"/>
      <c r="I739" s="5"/>
      <c r="J739" s="6"/>
      <c r="K739" s="261"/>
      <c r="L739" s="272"/>
      <c r="M739" s="261"/>
      <c r="N739" s="7"/>
      <c r="O739" s="8"/>
      <c r="P739" s="9"/>
      <c r="Q739" s="10"/>
      <c r="R739" s="11"/>
      <c r="S739" s="12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229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  <c r="AZ739" s="242"/>
      <c r="BA739" s="243"/>
    </row>
    <row r="740" spans="1:53" ht="90" customHeight="1">
      <c r="A740" s="1"/>
      <c r="B740" s="2"/>
      <c r="C740" s="3"/>
      <c r="D740" s="4"/>
      <c r="E740" s="5"/>
      <c r="F740" s="5"/>
      <c r="G740" s="5"/>
      <c r="H740" s="5"/>
      <c r="I740" s="5"/>
      <c r="J740" s="6"/>
      <c r="K740" s="261"/>
      <c r="L740" s="272"/>
      <c r="M740" s="261"/>
      <c r="N740" s="7"/>
      <c r="O740" s="8"/>
      <c r="P740" s="9"/>
      <c r="Q740" s="10"/>
      <c r="R740" s="11"/>
      <c r="S740" s="12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229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Z740" s="242"/>
      <c r="BA740" s="243"/>
    </row>
    <row r="741" spans="1:53" ht="90" customHeight="1">
      <c r="A741" s="1"/>
      <c r="B741" s="2"/>
      <c r="C741" s="3"/>
      <c r="D741" s="4"/>
      <c r="E741" s="5"/>
      <c r="F741" s="5"/>
      <c r="G741" s="5"/>
      <c r="H741" s="5"/>
      <c r="I741" s="5"/>
      <c r="J741" s="6"/>
      <c r="K741" s="261"/>
      <c r="L741" s="272"/>
      <c r="M741" s="261"/>
      <c r="N741" s="7"/>
      <c r="O741" s="8"/>
      <c r="P741" s="9"/>
      <c r="Q741" s="10"/>
      <c r="R741" s="11"/>
      <c r="S741" s="12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229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Z741" s="242"/>
      <c r="BA741" s="243"/>
    </row>
    <row r="742" spans="1:53" ht="90" customHeight="1">
      <c r="A742" s="1"/>
      <c r="B742" s="2"/>
      <c r="C742" s="3"/>
      <c r="D742" s="4"/>
      <c r="E742" s="5"/>
      <c r="F742" s="5"/>
      <c r="G742" s="5"/>
      <c r="H742" s="5"/>
      <c r="I742" s="5"/>
      <c r="J742" s="6"/>
      <c r="K742" s="261"/>
      <c r="L742" s="272"/>
      <c r="M742" s="261"/>
      <c r="N742" s="7"/>
      <c r="O742" s="8"/>
      <c r="P742" s="9"/>
      <c r="Q742" s="10"/>
      <c r="R742" s="11"/>
      <c r="S742" s="12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229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Z742" s="242"/>
      <c r="BA742" s="243"/>
    </row>
    <row r="743" spans="1:53" ht="90" customHeight="1">
      <c r="A743" s="1"/>
      <c r="B743" s="2"/>
      <c r="C743" s="3"/>
      <c r="D743" s="4"/>
      <c r="E743" s="5"/>
      <c r="F743" s="5"/>
      <c r="G743" s="5"/>
      <c r="H743" s="5"/>
      <c r="I743" s="5"/>
      <c r="J743" s="6"/>
      <c r="K743" s="261"/>
      <c r="L743" s="272"/>
      <c r="M743" s="261"/>
      <c r="N743" s="7"/>
      <c r="O743" s="8"/>
      <c r="P743" s="9"/>
      <c r="Q743" s="10"/>
      <c r="R743" s="11"/>
      <c r="S743" s="12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229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Z743" s="242"/>
      <c r="BA743" s="243"/>
    </row>
    <row r="744" spans="1:53" ht="90" customHeight="1">
      <c r="A744" s="1"/>
      <c r="B744" s="2"/>
      <c r="C744" s="3"/>
      <c r="D744" s="4"/>
      <c r="E744" s="5"/>
      <c r="F744" s="5"/>
      <c r="G744" s="5"/>
      <c r="H744" s="5"/>
      <c r="I744" s="5"/>
      <c r="J744" s="6"/>
      <c r="K744" s="261"/>
      <c r="L744" s="272"/>
      <c r="M744" s="261"/>
      <c r="N744" s="7"/>
      <c r="O744" s="8"/>
      <c r="P744" s="9"/>
      <c r="Q744" s="10"/>
      <c r="R744" s="11"/>
      <c r="S744" s="12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229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Z744" s="242"/>
      <c r="BA744" s="243"/>
    </row>
    <row r="745" spans="1:53" ht="90" customHeight="1">
      <c r="A745" s="1"/>
      <c r="B745" s="2"/>
      <c r="C745" s="3"/>
      <c r="D745" s="4"/>
      <c r="E745" s="5"/>
      <c r="F745" s="5"/>
      <c r="G745" s="5"/>
      <c r="H745" s="5"/>
      <c r="I745" s="5"/>
      <c r="J745" s="6"/>
      <c r="K745" s="261"/>
      <c r="L745" s="272"/>
      <c r="M745" s="261"/>
      <c r="N745" s="7"/>
      <c r="O745" s="8"/>
      <c r="P745" s="9"/>
      <c r="Q745" s="10"/>
      <c r="R745" s="11"/>
      <c r="S745" s="12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229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Z745" s="242"/>
      <c r="BA745" s="243"/>
    </row>
    <row r="746" spans="1:53" ht="90" customHeight="1">
      <c r="A746" s="1"/>
      <c r="B746" s="2"/>
      <c r="C746" s="3"/>
      <c r="D746" s="4"/>
      <c r="E746" s="5"/>
      <c r="F746" s="5"/>
      <c r="G746" s="5"/>
      <c r="H746" s="5"/>
      <c r="I746" s="5"/>
      <c r="J746" s="6"/>
      <c r="K746" s="261"/>
      <c r="L746" s="272"/>
      <c r="M746" s="261"/>
      <c r="N746" s="7"/>
      <c r="O746" s="8"/>
      <c r="P746" s="9"/>
      <c r="Q746" s="10"/>
      <c r="R746" s="11"/>
      <c r="S746" s="12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229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Z746" s="242"/>
      <c r="BA746" s="243"/>
    </row>
    <row r="747" spans="1:53" ht="90" customHeight="1">
      <c r="A747" s="1"/>
      <c r="B747" s="2"/>
      <c r="C747" s="3"/>
      <c r="D747" s="4"/>
      <c r="E747" s="5"/>
      <c r="F747" s="5"/>
      <c r="G747" s="5"/>
      <c r="H747" s="5"/>
      <c r="I747" s="5"/>
      <c r="J747" s="6"/>
      <c r="K747" s="261"/>
      <c r="L747" s="272"/>
      <c r="M747" s="261"/>
      <c r="N747" s="7"/>
      <c r="O747" s="8"/>
      <c r="P747" s="9"/>
      <c r="Q747" s="10"/>
      <c r="R747" s="11"/>
      <c r="S747" s="12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229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Z747" s="242"/>
      <c r="BA747" s="243"/>
    </row>
    <row r="748" spans="1:53" ht="90" customHeight="1">
      <c r="A748" s="1"/>
      <c r="B748" s="2"/>
      <c r="C748" s="3"/>
      <c r="D748" s="4"/>
      <c r="E748" s="5"/>
      <c r="F748" s="5"/>
      <c r="G748" s="5"/>
      <c r="H748" s="5"/>
      <c r="I748" s="5"/>
      <c r="J748" s="6"/>
      <c r="K748" s="261"/>
      <c r="L748" s="272"/>
      <c r="M748" s="261"/>
      <c r="N748" s="7"/>
      <c r="O748" s="8"/>
      <c r="P748" s="9"/>
      <c r="Q748" s="10"/>
      <c r="R748" s="11"/>
      <c r="S748" s="12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229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Z748" s="242"/>
      <c r="BA748" s="243"/>
    </row>
    <row r="749" spans="1:53" ht="90" customHeight="1">
      <c r="A749" s="1"/>
      <c r="B749" s="2"/>
      <c r="C749" s="3"/>
      <c r="D749" s="4"/>
      <c r="E749" s="5"/>
      <c r="F749" s="5"/>
      <c r="G749" s="5"/>
      <c r="H749" s="5"/>
      <c r="I749" s="5"/>
      <c r="J749" s="6"/>
      <c r="K749" s="261"/>
      <c r="L749" s="272"/>
      <c r="M749" s="261"/>
      <c r="N749" s="7"/>
      <c r="O749" s="8"/>
      <c r="P749" s="9"/>
      <c r="Q749" s="10"/>
      <c r="R749" s="11"/>
      <c r="S749" s="12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229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Z749" s="242"/>
      <c r="BA749" s="243"/>
    </row>
    <row r="750" spans="1:53" ht="90" customHeight="1">
      <c r="A750" s="1"/>
      <c r="B750" s="2"/>
      <c r="C750" s="3"/>
      <c r="D750" s="4"/>
      <c r="E750" s="5"/>
      <c r="F750" s="5"/>
      <c r="G750" s="5"/>
      <c r="H750" s="5"/>
      <c r="I750" s="5"/>
      <c r="J750" s="6"/>
      <c r="K750" s="261"/>
      <c r="L750" s="272"/>
      <c r="M750" s="261"/>
      <c r="N750" s="7"/>
      <c r="O750" s="8"/>
      <c r="P750" s="9"/>
      <c r="Q750" s="10"/>
      <c r="R750" s="11"/>
      <c r="S750" s="12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229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Z750" s="242"/>
      <c r="BA750" s="243"/>
    </row>
    <row r="751" spans="1:53" ht="90" customHeight="1">
      <c r="A751" s="1"/>
      <c r="B751" s="2"/>
      <c r="C751" s="3"/>
      <c r="D751" s="4"/>
      <c r="E751" s="5"/>
      <c r="F751" s="5"/>
      <c r="G751" s="5"/>
      <c r="H751" s="5"/>
      <c r="I751" s="5"/>
      <c r="J751" s="6"/>
      <c r="K751" s="261"/>
      <c r="L751" s="272"/>
      <c r="M751" s="261"/>
      <c r="N751" s="7"/>
      <c r="O751" s="8"/>
      <c r="P751" s="9"/>
      <c r="Q751" s="10"/>
      <c r="R751" s="11"/>
      <c r="S751" s="12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229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Z751" s="242"/>
      <c r="BA751" s="243"/>
    </row>
    <row r="752" spans="1:53" ht="90" customHeight="1">
      <c r="A752" s="1"/>
      <c r="B752" s="2"/>
      <c r="C752" s="3"/>
      <c r="D752" s="4"/>
      <c r="E752" s="5"/>
      <c r="F752" s="5"/>
      <c r="G752" s="5"/>
      <c r="H752" s="5"/>
      <c r="I752" s="5"/>
      <c r="J752" s="6"/>
      <c r="K752" s="261"/>
      <c r="L752" s="272"/>
      <c r="M752" s="261"/>
      <c r="N752" s="7"/>
      <c r="O752" s="8"/>
      <c r="P752" s="9"/>
      <c r="Q752" s="10"/>
      <c r="R752" s="11"/>
      <c r="S752" s="12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229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Z752" s="242"/>
      <c r="BA752" s="243"/>
    </row>
    <row r="753" spans="1:53" ht="90" customHeight="1">
      <c r="A753" s="1"/>
      <c r="B753" s="2"/>
      <c r="C753" s="3"/>
      <c r="D753" s="4"/>
      <c r="E753" s="5"/>
      <c r="F753" s="5"/>
      <c r="G753" s="5"/>
      <c r="H753" s="5"/>
      <c r="I753" s="5"/>
      <c r="J753" s="6"/>
      <c r="K753" s="261"/>
      <c r="L753" s="272"/>
      <c r="M753" s="261"/>
      <c r="N753" s="7"/>
      <c r="O753" s="8"/>
      <c r="P753" s="9"/>
      <c r="Q753" s="10"/>
      <c r="R753" s="11"/>
      <c r="S753" s="12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229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Z753" s="242"/>
      <c r="BA753" s="243"/>
    </row>
    <row r="754" spans="1:53" ht="90" customHeight="1">
      <c r="A754" s="1"/>
      <c r="B754" s="2"/>
      <c r="C754" s="3"/>
      <c r="D754" s="4"/>
      <c r="E754" s="5"/>
      <c r="F754" s="5"/>
      <c r="G754" s="5"/>
      <c r="H754" s="5"/>
      <c r="I754" s="5"/>
      <c r="J754" s="6"/>
      <c r="K754" s="261"/>
      <c r="L754" s="272"/>
      <c r="M754" s="261"/>
      <c r="N754" s="7"/>
      <c r="O754" s="8"/>
      <c r="P754" s="9"/>
      <c r="Q754" s="10"/>
      <c r="R754" s="11"/>
      <c r="S754" s="12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229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Z754" s="242"/>
      <c r="BA754" s="243"/>
    </row>
    <row r="755" spans="1:53" ht="90" customHeight="1">
      <c r="A755" s="1"/>
      <c r="B755" s="2"/>
      <c r="C755" s="3"/>
      <c r="D755" s="4"/>
      <c r="E755" s="5"/>
      <c r="F755" s="5"/>
      <c r="G755" s="5"/>
      <c r="H755" s="5"/>
      <c r="I755" s="5"/>
      <c r="J755" s="6"/>
      <c r="K755" s="261"/>
      <c r="L755" s="272"/>
      <c r="M755" s="261"/>
      <c r="N755" s="7"/>
      <c r="O755" s="8"/>
      <c r="P755" s="9"/>
      <c r="Q755" s="10"/>
      <c r="R755" s="11"/>
      <c r="S755" s="12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229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Z755" s="242"/>
      <c r="BA755" s="243"/>
    </row>
    <row r="756" spans="1:53" ht="90" customHeight="1">
      <c r="A756" s="1"/>
      <c r="B756" s="2"/>
      <c r="C756" s="3"/>
      <c r="D756" s="4"/>
      <c r="E756" s="5"/>
      <c r="F756" s="5"/>
      <c r="G756" s="5"/>
      <c r="H756" s="5"/>
      <c r="I756" s="5"/>
      <c r="J756" s="6"/>
      <c r="K756" s="261"/>
      <c r="L756" s="272"/>
      <c r="M756" s="261"/>
      <c r="N756" s="7"/>
      <c r="O756" s="8"/>
      <c r="P756" s="9"/>
      <c r="Q756" s="10"/>
      <c r="R756" s="11"/>
      <c r="S756" s="12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229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Z756" s="242"/>
      <c r="BA756" s="243"/>
    </row>
    <row r="757" spans="1:53" ht="90" customHeight="1">
      <c r="A757" s="1"/>
      <c r="B757" s="2"/>
      <c r="C757" s="3"/>
      <c r="D757" s="4"/>
      <c r="E757" s="5"/>
      <c r="F757" s="5"/>
      <c r="G757" s="5"/>
      <c r="H757" s="5"/>
      <c r="I757" s="5"/>
      <c r="J757" s="6"/>
      <c r="K757" s="261"/>
      <c r="L757" s="272"/>
      <c r="M757" s="261"/>
      <c r="N757" s="7"/>
      <c r="O757" s="8"/>
      <c r="P757" s="9"/>
      <c r="Q757" s="10"/>
      <c r="R757" s="11"/>
      <c r="S757" s="12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229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Z757" s="242"/>
      <c r="BA757" s="243"/>
    </row>
    <row r="758" spans="1:53" ht="90" customHeight="1">
      <c r="A758" s="1"/>
      <c r="B758" s="2"/>
      <c r="C758" s="3"/>
      <c r="D758" s="4"/>
      <c r="E758" s="5"/>
      <c r="F758" s="5"/>
      <c r="G758" s="5"/>
      <c r="H758" s="5"/>
      <c r="I758" s="5"/>
      <c r="J758" s="6"/>
      <c r="K758" s="261"/>
      <c r="L758" s="272"/>
      <c r="M758" s="261"/>
      <c r="N758" s="7"/>
      <c r="O758" s="8"/>
      <c r="P758" s="9"/>
      <c r="Q758" s="10"/>
      <c r="R758" s="11"/>
      <c r="S758" s="12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229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Z758" s="242"/>
      <c r="BA758" s="243"/>
    </row>
    <row r="759" spans="1:53" ht="90" customHeight="1">
      <c r="A759" s="1"/>
      <c r="B759" s="2"/>
      <c r="C759" s="3"/>
      <c r="D759" s="4"/>
      <c r="E759" s="5"/>
      <c r="F759" s="5"/>
      <c r="G759" s="5"/>
      <c r="H759" s="5"/>
      <c r="I759" s="5"/>
      <c r="J759" s="6"/>
      <c r="K759" s="261"/>
      <c r="L759" s="272"/>
      <c r="M759" s="261"/>
      <c r="N759" s="7"/>
      <c r="O759" s="8"/>
      <c r="P759" s="9"/>
      <c r="Q759" s="10"/>
      <c r="R759" s="11"/>
      <c r="S759" s="12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229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Z759" s="242"/>
      <c r="BA759" s="243"/>
    </row>
    <row r="760" spans="1:53" ht="90" customHeight="1">
      <c r="A760" s="1"/>
      <c r="B760" s="2"/>
      <c r="C760" s="3"/>
      <c r="D760" s="4"/>
      <c r="E760" s="5"/>
      <c r="F760" s="5"/>
      <c r="G760" s="5"/>
      <c r="H760" s="5"/>
      <c r="I760" s="5"/>
      <c r="J760" s="6"/>
      <c r="K760" s="261"/>
      <c r="L760" s="272"/>
      <c r="M760" s="261"/>
      <c r="N760" s="7"/>
      <c r="O760" s="8"/>
      <c r="P760" s="9"/>
      <c r="Q760" s="10"/>
      <c r="R760" s="11"/>
      <c r="S760" s="12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229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Z760" s="242"/>
      <c r="BA760" s="243"/>
    </row>
    <row r="761" spans="1:53" ht="90" customHeight="1">
      <c r="A761" s="1"/>
      <c r="B761" s="2"/>
      <c r="C761" s="3"/>
      <c r="D761" s="4"/>
      <c r="E761" s="5"/>
      <c r="F761" s="5"/>
      <c r="G761" s="5"/>
      <c r="H761" s="5"/>
      <c r="I761" s="5"/>
      <c r="J761" s="6"/>
      <c r="K761" s="261"/>
      <c r="L761" s="272"/>
      <c r="M761" s="261"/>
      <c r="N761" s="7"/>
      <c r="O761" s="8"/>
      <c r="P761" s="9"/>
      <c r="Q761" s="10"/>
      <c r="R761" s="11"/>
      <c r="S761" s="12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229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Z761" s="242"/>
      <c r="BA761" s="243"/>
    </row>
    <row r="762" spans="1:53" ht="90" customHeight="1">
      <c r="A762" s="1"/>
      <c r="B762" s="2"/>
      <c r="C762" s="3"/>
      <c r="D762" s="4"/>
      <c r="E762" s="5"/>
      <c r="F762" s="5"/>
      <c r="G762" s="5"/>
      <c r="H762" s="5"/>
      <c r="I762" s="5"/>
      <c r="J762" s="6"/>
      <c r="K762" s="261"/>
      <c r="L762" s="272"/>
      <c r="M762" s="261"/>
      <c r="N762" s="7"/>
      <c r="O762" s="8"/>
      <c r="P762" s="9"/>
      <c r="Q762" s="10"/>
      <c r="R762" s="11"/>
      <c r="S762" s="12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229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Z762" s="242"/>
      <c r="BA762" s="243"/>
    </row>
    <row r="763" spans="1:53" ht="90" customHeight="1">
      <c r="A763" s="1"/>
      <c r="B763" s="2"/>
      <c r="C763" s="3"/>
      <c r="D763" s="4"/>
      <c r="E763" s="5"/>
      <c r="F763" s="5"/>
      <c r="G763" s="5"/>
      <c r="H763" s="5"/>
      <c r="I763" s="5"/>
      <c r="J763" s="6"/>
      <c r="K763" s="261"/>
      <c r="L763" s="272"/>
      <c r="M763" s="261"/>
      <c r="N763" s="7"/>
      <c r="O763" s="8"/>
      <c r="P763" s="9"/>
      <c r="Q763" s="10"/>
      <c r="R763" s="11"/>
      <c r="S763" s="12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229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  <c r="AZ763" s="242"/>
      <c r="BA763" s="243"/>
    </row>
    <row r="764" spans="1:53" ht="90" customHeight="1">
      <c r="A764" s="1"/>
      <c r="B764" s="2"/>
      <c r="C764" s="3"/>
      <c r="D764" s="4"/>
      <c r="E764" s="5"/>
      <c r="F764" s="5"/>
      <c r="G764" s="5"/>
      <c r="H764" s="5"/>
      <c r="I764" s="5"/>
      <c r="J764" s="6"/>
      <c r="K764" s="261"/>
      <c r="L764" s="272"/>
      <c r="M764" s="261"/>
      <c r="N764" s="7"/>
      <c r="O764" s="8"/>
      <c r="P764" s="9"/>
      <c r="Q764" s="10"/>
      <c r="R764" s="11"/>
      <c r="S764" s="12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229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Z764" s="242"/>
      <c r="BA764" s="243"/>
    </row>
    <row r="765" spans="1:53" ht="90" customHeight="1">
      <c r="A765" s="1"/>
      <c r="B765" s="2"/>
      <c r="C765" s="3"/>
      <c r="D765" s="4"/>
      <c r="E765" s="5"/>
      <c r="F765" s="5"/>
      <c r="G765" s="5"/>
      <c r="H765" s="5"/>
      <c r="I765" s="5"/>
      <c r="J765" s="6"/>
      <c r="K765" s="261"/>
      <c r="L765" s="272"/>
      <c r="M765" s="261"/>
      <c r="N765" s="7"/>
      <c r="O765" s="8"/>
      <c r="P765" s="9"/>
      <c r="Q765" s="10"/>
      <c r="R765" s="11"/>
      <c r="S765" s="12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229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Z765" s="242"/>
      <c r="BA765" s="243"/>
    </row>
    <row r="766" spans="1:53" ht="90" customHeight="1">
      <c r="A766" s="1"/>
      <c r="B766" s="2"/>
      <c r="C766" s="3"/>
      <c r="D766" s="4"/>
      <c r="E766" s="5"/>
      <c r="F766" s="5"/>
      <c r="G766" s="5"/>
      <c r="H766" s="5"/>
      <c r="I766" s="5"/>
      <c r="J766" s="6"/>
      <c r="K766" s="261"/>
      <c r="L766" s="272"/>
      <c r="M766" s="261"/>
      <c r="N766" s="7"/>
      <c r="O766" s="8"/>
      <c r="P766" s="9"/>
      <c r="Q766" s="10"/>
      <c r="R766" s="11"/>
      <c r="S766" s="12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229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Z766" s="242"/>
      <c r="BA766" s="243"/>
    </row>
    <row r="767" spans="1:53" ht="90" customHeight="1">
      <c r="A767" s="1"/>
      <c r="B767" s="2"/>
      <c r="C767" s="3"/>
      <c r="D767" s="4"/>
      <c r="E767" s="5"/>
      <c r="F767" s="5"/>
      <c r="G767" s="5"/>
      <c r="H767" s="5"/>
      <c r="I767" s="5"/>
      <c r="J767" s="6"/>
      <c r="K767" s="261"/>
      <c r="L767" s="272"/>
      <c r="M767" s="261"/>
      <c r="N767" s="7"/>
      <c r="O767" s="8"/>
      <c r="P767" s="9"/>
      <c r="Q767" s="10"/>
      <c r="R767" s="11"/>
      <c r="S767" s="12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229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  <c r="AZ767" s="242"/>
      <c r="BA767" s="243"/>
    </row>
    <row r="768" spans="1:53" ht="90" customHeight="1">
      <c r="A768" s="1"/>
      <c r="B768" s="2"/>
      <c r="C768" s="3"/>
      <c r="D768" s="4"/>
      <c r="E768" s="5"/>
      <c r="F768" s="5"/>
      <c r="G768" s="5"/>
      <c r="H768" s="5"/>
      <c r="I768" s="5"/>
      <c r="J768" s="6"/>
      <c r="K768" s="261"/>
      <c r="L768" s="272"/>
      <c r="M768" s="261"/>
      <c r="N768" s="7"/>
      <c r="O768" s="8"/>
      <c r="P768" s="9"/>
      <c r="Q768" s="10"/>
      <c r="R768" s="11"/>
      <c r="S768" s="12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229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  <c r="AZ768" s="242"/>
      <c r="BA768" s="243"/>
    </row>
    <row r="769" spans="1:53" ht="90" customHeight="1">
      <c r="A769" s="1"/>
      <c r="B769" s="2"/>
      <c r="C769" s="3"/>
      <c r="D769" s="4"/>
      <c r="E769" s="5"/>
      <c r="F769" s="5"/>
      <c r="G769" s="5"/>
      <c r="H769" s="5"/>
      <c r="I769" s="5"/>
      <c r="J769" s="6"/>
      <c r="K769" s="261"/>
      <c r="L769" s="272"/>
      <c r="M769" s="261"/>
      <c r="N769" s="7"/>
      <c r="O769" s="8"/>
      <c r="P769" s="9"/>
      <c r="Q769" s="10"/>
      <c r="R769" s="11"/>
      <c r="S769" s="12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229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  <c r="AZ769" s="242"/>
      <c r="BA769" s="243"/>
    </row>
    <row r="770" spans="1:53" ht="90" customHeight="1">
      <c r="A770" s="1"/>
      <c r="B770" s="2"/>
      <c r="C770" s="3"/>
      <c r="D770" s="4"/>
      <c r="E770" s="5"/>
      <c r="F770" s="5"/>
      <c r="G770" s="5"/>
      <c r="H770" s="5"/>
      <c r="I770" s="5"/>
      <c r="J770" s="6"/>
      <c r="K770" s="261"/>
      <c r="L770" s="272"/>
      <c r="M770" s="261"/>
      <c r="N770" s="7"/>
      <c r="O770" s="8"/>
      <c r="P770" s="9"/>
      <c r="Q770" s="10"/>
      <c r="R770" s="11"/>
      <c r="S770" s="12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229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  <c r="AZ770" s="242"/>
      <c r="BA770" s="243"/>
    </row>
    <row r="771" spans="1:53" ht="90" customHeight="1">
      <c r="A771" s="1"/>
      <c r="B771" s="2"/>
      <c r="C771" s="3"/>
      <c r="D771" s="4"/>
      <c r="E771" s="5"/>
      <c r="F771" s="5"/>
      <c r="G771" s="5"/>
      <c r="H771" s="5"/>
      <c r="I771" s="5"/>
      <c r="J771" s="6"/>
      <c r="K771" s="261"/>
      <c r="L771" s="272"/>
      <c r="M771" s="261"/>
      <c r="N771" s="7"/>
      <c r="O771" s="8"/>
      <c r="P771" s="9"/>
      <c r="Q771" s="10"/>
      <c r="R771" s="11"/>
      <c r="S771" s="12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229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  <c r="AZ771" s="242"/>
      <c r="BA771" s="243"/>
    </row>
    <row r="772" spans="1:53" ht="90" customHeight="1">
      <c r="A772" s="1"/>
      <c r="B772" s="2"/>
      <c r="C772" s="3"/>
      <c r="D772" s="4"/>
      <c r="E772" s="5"/>
      <c r="F772" s="5"/>
      <c r="G772" s="5"/>
      <c r="H772" s="5"/>
      <c r="I772" s="5"/>
      <c r="J772" s="6"/>
      <c r="K772" s="261"/>
      <c r="L772" s="272"/>
      <c r="M772" s="261"/>
      <c r="N772" s="7"/>
      <c r="O772" s="8"/>
      <c r="P772" s="9"/>
      <c r="Q772" s="10"/>
      <c r="R772" s="11"/>
      <c r="S772" s="12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229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  <c r="AZ772" s="242"/>
      <c r="BA772" s="243"/>
    </row>
    <row r="773" spans="1:53" ht="90" customHeight="1">
      <c r="A773" s="1"/>
      <c r="B773" s="2"/>
      <c r="C773" s="3"/>
      <c r="D773" s="4"/>
      <c r="E773" s="5"/>
      <c r="F773" s="5"/>
      <c r="G773" s="5"/>
      <c r="H773" s="5"/>
      <c r="I773" s="5"/>
      <c r="J773" s="6"/>
      <c r="K773" s="261"/>
      <c r="L773" s="272"/>
      <c r="M773" s="261"/>
      <c r="N773" s="7"/>
      <c r="O773" s="8"/>
      <c r="P773" s="9"/>
      <c r="Q773" s="10"/>
      <c r="R773" s="11"/>
      <c r="S773" s="12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229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  <c r="AZ773" s="242"/>
      <c r="BA773" s="243"/>
    </row>
    <row r="774" spans="1:53" ht="90" customHeight="1">
      <c r="A774" s="1"/>
      <c r="B774" s="2"/>
      <c r="C774" s="3"/>
      <c r="D774" s="4"/>
      <c r="E774" s="5"/>
      <c r="F774" s="5"/>
      <c r="G774" s="5"/>
      <c r="H774" s="5"/>
      <c r="I774" s="5"/>
      <c r="J774" s="6"/>
      <c r="K774" s="261"/>
      <c r="L774" s="272"/>
      <c r="M774" s="261"/>
      <c r="N774" s="7"/>
      <c r="O774" s="8"/>
      <c r="P774" s="9"/>
      <c r="Q774" s="10"/>
      <c r="R774" s="11"/>
      <c r="S774" s="12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229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  <c r="AZ774" s="242"/>
      <c r="BA774" s="243"/>
    </row>
    <row r="775" spans="1:53" ht="90" customHeight="1">
      <c r="A775" s="1"/>
      <c r="B775" s="2"/>
      <c r="C775" s="3"/>
      <c r="D775" s="4"/>
      <c r="E775" s="5"/>
      <c r="F775" s="5"/>
      <c r="G775" s="5"/>
      <c r="H775" s="5"/>
      <c r="I775" s="5"/>
      <c r="J775" s="6"/>
      <c r="K775" s="261"/>
      <c r="L775" s="272"/>
      <c r="M775" s="261"/>
      <c r="N775" s="7"/>
      <c r="O775" s="8"/>
      <c r="P775" s="9"/>
      <c r="Q775" s="10"/>
      <c r="R775" s="11"/>
      <c r="S775" s="12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229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  <c r="AZ775" s="242"/>
      <c r="BA775" s="243"/>
    </row>
    <row r="776" spans="1:53" ht="90" customHeight="1">
      <c r="A776" s="1"/>
      <c r="B776" s="2"/>
      <c r="C776" s="3"/>
      <c r="D776" s="4"/>
      <c r="E776" s="5"/>
      <c r="F776" s="5"/>
      <c r="G776" s="5"/>
      <c r="H776" s="5"/>
      <c r="I776" s="5"/>
      <c r="J776" s="6"/>
      <c r="K776" s="261"/>
      <c r="L776" s="272"/>
      <c r="M776" s="261"/>
      <c r="N776" s="7"/>
      <c r="O776" s="8"/>
      <c r="P776" s="9"/>
      <c r="Q776" s="10"/>
      <c r="R776" s="11"/>
      <c r="S776" s="12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229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  <c r="AZ776" s="242"/>
      <c r="BA776" s="243"/>
    </row>
    <row r="777" spans="1:53" ht="90" customHeight="1">
      <c r="A777" s="1"/>
      <c r="B777" s="2"/>
      <c r="C777" s="3"/>
      <c r="D777" s="4"/>
      <c r="E777" s="5"/>
      <c r="F777" s="5"/>
      <c r="G777" s="5"/>
      <c r="H777" s="5"/>
      <c r="I777" s="5"/>
      <c r="J777" s="6"/>
      <c r="K777" s="261"/>
      <c r="L777" s="272"/>
      <c r="M777" s="261"/>
      <c r="N777" s="7"/>
      <c r="O777" s="8"/>
      <c r="P777" s="9"/>
      <c r="Q777" s="10"/>
      <c r="R777" s="11"/>
      <c r="S777" s="12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229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  <c r="AZ777" s="242"/>
      <c r="BA777" s="243"/>
    </row>
    <row r="778" spans="1:53" ht="90" customHeight="1">
      <c r="A778" s="1"/>
      <c r="B778" s="2"/>
      <c r="C778" s="3"/>
      <c r="D778" s="4"/>
      <c r="E778" s="5"/>
      <c r="F778" s="5"/>
      <c r="G778" s="5"/>
      <c r="H778" s="5"/>
      <c r="I778" s="5"/>
      <c r="J778" s="6"/>
      <c r="K778" s="261"/>
      <c r="L778" s="272"/>
      <c r="M778" s="261"/>
      <c r="N778" s="7"/>
      <c r="O778" s="8"/>
      <c r="P778" s="9"/>
      <c r="Q778" s="10"/>
      <c r="R778" s="11"/>
      <c r="S778" s="12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229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  <c r="AZ778" s="242"/>
      <c r="BA778" s="243"/>
    </row>
    <row r="779" spans="1:53" ht="90" customHeight="1">
      <c r="A779" s="1"/>
      <c r="B779" s="2"/>
      <c r="C779" s="3"/>
      <c r="D779" s="4"/>
      <c r="E779" s="5"/>
      <c r="F779" s="5"/>
      <c r="G779" s="5"/>
      <c r="H779" s="5"/>
      <c r="I779" s="5"/>
      <c r="J779" s="6"/>
      <c r="K779" s="261"/>
      <c r="L779" s="272"/>
      <c r="M779" s="261"/>
      <c r="N779" s="7"/>
      <c r="O779" s="8"/>
      <c r="P779" s="9"/>
      <c r="Q779" s="10"/>
      <c r="R779" s="11"/>
      <c r="S779" s="12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229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  <c r="AZ779" s="242"/>
      <c r="BA779" s="243"/>
    </row>
    <row r="780" spans="1:53" ht="90" customHeight="1">
      <c r="A780" s="1"/>
      <c r="B780" s="2"/>
      <c r="C780" s="3"/>
      <c r="D780" s="4"/>
      <c r="E780" s="5"/>
      <c r="F780" s="5"/>
      <c r="G780" s="5"/>
      <c r="H780" s="5"/>
      <c r="I780" s="5"/>
      <c r="J780" s="6"/>
      <c r="K780" s="261"/>
      <c r="L780" s="272"/>
      <c r="M780" s="261"/>
      <c r="N780" s="7"/>
      <c r="O780" s="8"/>
      <c r="P780" s="9"/>
      <c r="Q780" s="10"/>
      <c r="R780" s="11"/>
      <c r="S780" s="12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229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  <c r="AZ780" s="242"/>
      <c r="BA780" s="243"/>
    </row>
    <row r="781" spans="1:53" ht="90" customHeight="1">
      <c r="A781" s="1"/>
      <c r="B781" s="2"/>
      <c r="C781" s="3"/>
      <c r="D781" s="4"/>
      <c r="E781" s="5"/>
      <c r="F781" s="5"/>
      <c r="G781" s="5"/>
      <c r="H781" s="5"/>
      <c r="I781" s="5"/>
      <c r="J781" s="6"/>
      <c r="K781" s="261"/>
      <c r="L781" s="272"/>
      <c r="M781" s="261"/>
      <c r="N781" s="7"/>
      <c r="O781" s="8"/>
      <c r="P781" s="9"/>
      <c r="Q781" s="10"/>
      <c r="R781" s="11"/>
      <c r="S781" s="12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229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  <c r="AZ781" s="242"/>
      <c r="BA781" s="243"/>
    </row>
    <row r="782" spans="1:53" ht="90" customHeight="1">
      <c r="A782" s="1"/>
      <c r="B782" s="2"/>
      <c r="C782" s="3"/>
      <c r="D782" s="4"/>
      <c r="E782" s="5"/>
      <c r="F782" s="5"/>
      <c r="G782" s="5"/>
      <c r="H782" s="5"/>
      <c r="I782" s="5"/>
      <c r="J782" s="6"/>
      <c r="K782" s="261"/>
      <c r="L782" s="272"/>
      <c r="M782" s="261"/>
      <c r="N782" s="7"/>
      <c r="O782" s="8"/>
      <c r="P782" s="9"/>
      <c r="Q782" s="10"/>
      <c r="R782" s="11"/>
      <c r="S782" s="12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229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  <c r="AZ782" s="242"/>
      <c r="BA782" s="243"/>
    </row>
    <row r="783" spans="1:53" ht="90" customHeight="1">
      <c r="A783" s="1"/>
      <c r="B783" s="2"/>
      <c r="C783" s="3"/>
      <c r="D783" s="4"/>
      <c r="E783" s="5"/>
      <c r="F783" s="5"/>
      <c r="G783" s="5"/>
      <c r="H783" s="5"/>
      <c r="I783" s="5"/>
      <c r="J783" s="6"/>
      <c r="K783" s="261"/>
      <c r="L783" s="272"/>
      <c r="M783" s="261"/>
      <c r="N783" s="7"/>
      <c r="O783" s="8"/>
      <c r="P783" s="9"/>
      <c r="Q783" s="10"/>
      <c r="R783" s="11"/>
      <c r="S783" s="12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229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  <c r="AZ783" s="242"/>
      <c r="BA783" s="243"/>
    </row>
    <row r="784" spans="1:53" ht="90" customHeight="1">
      <c r="A784" s="1"/>
      <c r="B784" s="2"/>
      <c r="C784" s="3"/>
      <c r="D784" s="4"/>
      <c r="E784" s="5"/>
      <c r="F784" s="5"/>
      <c r="G784" s="5"/>
      <c r="H784" s="5"/>
      <c r="I784" s="5"/>
      <c r="J784" s="6"/>
      <c r="K784" s="261"/>
      <c r="L784" s="272"/>
      <c r="M784" s="261"/>
      <c r="N784" s="7"/>
      <c r="O784" s="8"/>
      <c r="P784" s="9"/>
      <c r="Q784" s="10"/>
      <c r="R784" s="11"/>
      <c r="S784" s="12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229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  <c r="AZ784" s="242"/>
      <c r="BA784" s="243"/>
    </row>
    <row r="785" spans="1:53" ht="90" customHeight="1">
      <c r="A785" s="1"/>
      <c r="B785" s="2"/>
      <c r="C785" s="3"/>
      <c r="D785" s="4"/>
      <c r="E785" s="5"/>
      <c r="F785" s="5"/>
      <c r="G785" s="5"/>
      <c r="H785" s="5"/>
      <c r="I785" s="5"/>
      <c r="J785" s="6"/>
      <c r="K785" s="261"/>
      <c r="L785" s="272"/>
      <c r="M785" s="261"/>
      <c r="N785" s="7"/>
      <c r="O785" s="8"/>
      <c r="P785" s="9"/>
      <c r="Q785" s="10"/>
      <c r="R785" s="11"/>
      <c r="S785" s="12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229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  <c r="AZ785" s="242"/>
      <c r="BA785" s="243"/>
    </row>
    <row r="786" spans="1:53" ht="90" customHeight="1">
      <c r="A786" s="1"/>
      <c r="B786" s="2"/>
      <c r="C786" s="3"/>
      <c r="D786" s="4"/>
      <c r="E786" s="5"/>
      <c r="F786" s="5"/>
      <c r="G786" s="5"/>
      <c r="H786" s="5"/>
      <c r="I786" s="5"/>
      <c r="J786" s="6"/>
      <c r="K786" s="261"/>
      <c r="L786" s="272"/>
      <c r="M786" s="261"/>
      <c r="N786" s="7"/>
      <c r="O786" s="8"/>
      <c r="P786" s="9"/>
      <c r="Q786" s="10"/>
      <c r="R786" s="11"/>
      <c r="S786" s="12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229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  <c r="AZ786" s="242"/>
      <c r="BA786" s="243"/>
    </row>
    <row r="787" spans="1:53" ht="90" customHeight="1">
      <c r="A787" s="1"/>
      <c r="B787" s="2"/>
      <c r="C787" s="3"/>
      <c r="D787" s="4"/>
      <c r="E787" s="5"/>
      <c r="F787" s="5"/>
      <c r="G787" s="5"/>
      <c r="H787" s="5"/>
      <c r="I787" s="5"/>
      <c r="J787" s="6"/>
      <c r="K787" s="261"/>
      <c r="L787" s="272"/>
      <c r="M787" s="261"/>
      <c r="N787" s="7"/>
      <c r="O787" s="8"/>
      <c r="P787" s="9"/>
      <c r="Q787" s="10"/>
      <c r="R787" s="11"/>
      <c r="S787" s="12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229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  <c r="AZ787" s="242"/>
      <c r="BA787" s="243"/>
    </row>
    <row r="788" spans="1:53" ht="90" customHeight="1">
      <c r="A788" s="1"/>
      <c r="B788" s="2"/>
      <c r="C788" s="3"/>
      <c r="D788" s="4"/>
      <c r="E788" s="5"/>
      <c r="F788" s="5"/>
      <c r="G788" s="5"/>
      <c r="H788" s="5"/>
      <c r="I788" s="5"/>
      <c r="J788" s="6"/>
      <c r="K788" s="261"/>
      <c r="L788" s="272"/>
      <c r="M788" s="261"/>
      <c r="N788" s="7"/>
      <c r="O788" s="8"/>
      <c r="P788" s="9"/>
      <c r="Q788" s="10"/>
      <c r="R788" s="11"/>
      <c r="S788" s="12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229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  <c r="AZ788" s="242"/>
      <c r="BA788" s="243"/>
    </row>
    <row r="789" spans="1:53" ht="90" customHeight="1">
      <c r="A789" s="1"/>
      <c r="B789" s="2"/>
      <c r="C789" s="3"/>
      <c r="D789" s="4"/>
      <c r="E789" s="5"/>
      <c r="F789" s="5"/>
      <c r="G789" s="5"/>
      <c r="H789" s="5"/>
      <c r="I789" s="5"/>
      <c r="J789" s="6"/>
      <c r="K789" s="261"/>
      <c r="L789" s="272"/>
      <c r="M789" s="261"/>
      <c r="N789" s="7"/>
      <c r="O789" s="8"/>
      <c r="P789" s="9"/>
      <c r="Q789" s="10"/>
      <c r="R789" s="11"/>
      <c r="S789" s="12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229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  <c r="AZ789" s="242"/>
      <c r="BA789" s="243"/>
    </row>
    <row r="790" spans="1:53" ht="90" customHeight="1">
      <c r="A790" s="1"/>
      <c r="B790" s="2"/>
      <c r="C790" s="3"/>
      <c r="D790" s="4"/>
      <c r="E790" s="5"/>
      <c r="F790" s="5"/>
      <c r="G790" s="5"/>
      <c r="H790" s="5"/>
      <c r="I790" s="5"/>
      <c r="J790" s="6"/>
      <c r="K790" s="261"/>
      <c r="L790" s="272"/>
      <c r="M790" s="261"/>
      <c r="N790" s="7"/>
      <c r="O790" s="8"/>
      <c r="P790" s="9"/>
      <c r="Q790" s="10"/>
      <c r="R790" s="11"/>
      <c r="S790" s="12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229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  <c r="AZ790" s="242"/>
      <c r="BA790" s="243"/>
    </row>
    <row r="791" spans="1:53" ht="90" customHeight="1">
      <c r="A791" s="1"/>
      <c r="B791" s="2"/>
      <c r="C791" s="3"/>
      <c r="D791" s="4"/>
      <c r="E791" s="5"/>
      <c r="F791" s="5"/>
      <c r="G791" s="5"/>
      <c r="H791" s="5"/>
      <c r="I791" s="5"/>
      <c r="J791" s="6"/>
      <c r="K791" s="261"/>
      <c r="L791" s="272"/>
      <c r="M791" s="261"/>
      <c r="N791" s="7"/>
      <c r="O791" s="8"/>
      <c r="P791" s="9"/>
      <c r="Q791" s="10"/>
      <c r="R791" s="11"/>
      <c r="S791" s="12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229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  <c r="AZ791" s="242"/>
      <c r="BA791" s="243"/>
    </row>
    <row r="792" spans="1:53" ht="90" customHeight="1">
      <c r="A792" s="1"/>
      <c r="B792" s="2"/>
      <c r="C792" s="3"/>
      <c r="D792" s="4"/>
      <c r="E792" s="5"/>
      <c r="F792" s="5"/>
      <c r="G792" s="5"/>
      <c r="H792" s="5"/>
      <c r="I792" s="5"/>
      <c r="J792" s="6"/>
      <c r="K792" s="261"/>
      <c r="L792" s="272"/>
      <c r="M792" s="261"/>
      <c r="N792" s="7"/>
      <c r="O792" s="8"/>
      <c r="P792" s="9"/>
      <c r="Q792" s="10"/>
      <c r="R792" s="11"/>
      <c r="S792" s="12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229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  <c r="AZ792" s="242"/>
      <c r="BA792" s="243"/>
    </row>
    <row r="793" spans="1:53" ht="90" customHeight="1">
      <c r="A793" s="1"/>
      <c r="B793" s="2"/>
      <c r="C793" s="3"/>
      <c r="D793" s="4"/>
      <c r="E793" s="5"/>
      <c r="F793" s="5"/>
      <c r="G793" s="5"/>
      <c r="H793" s="5"/>
      <c r="I793" s="5"/>
      <c r="J793" s="6"/>
      <c r="K793" s="261"/>
      <c r="L793" s="272"/>
      <c r="M793" s="261"/>
      <c r="N793" s="7"/>
      <c r="O793" s="8"/>
      <c r="P793" s="9"/>
      <c r="Q793" s="10"/>
      <c r="R793" s="11"/>
      <c r="S793" s="12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229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  <c r="AZ793" s="242"/>
      <c r="BA793" s="243"/>
    </row>
    <row r="794" spans="1:53" ht="90" customHeight="1">
      <c r="A794" s="1"/>
      <c r="B794" s="2"/>
      <c r="C794" s="3"/>
      <c r="D794" s="4"/>
      <c r="E794" s="5"/>
      <c r="F794" s="5"/>
      <c r="G794" s="5"/>
      <c r="H794" s="5"/>
      <c r="I794" s="5"/>
      <c r="J794" s="6"/>
      <c r="K794" s="261"/>
      <c r="L794" s="272"/>
      <c r="M794" s="261"/>
      <c r="N794" s="7"/>
      <c r="O794" s="8"/>
      <c r="P794" s="9"/>
      <c r="Q794" s="10"/>
      <c r="R794" s="11"/>
      <c r="S794" s="12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229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  <c r="AZ794" s="242"/>
      <c r="BA794" s="243"/>
    </row>
    <row r="795" spans="1:53" ht="90" customHeight="1">
      <c r="A795" s="1"/>
      <c r="B795" s="2"/>
      <c r="C795" s="3"/>
      <c r="D795" s="4"/>
      <c r="E795" s="5"/>
      <c r="F795" s="5"/>
      <c r="G795" s="5"/>
      <c r="H795" s="5"/>
      <c r="I795" s="5"/>
      <c r="J795" s="6"/>
      <c r="K795" s="261"/>
      <c r="L795" s="272"/>
      <c r="M795" s="261"/>
      <c r="N795" s="7"/>
      <c r="O795" s="8"/>
      <c r="P795" s="9"/>
      <c r="Q795" s="10"/>
      <c r="R795" s="11"/>
      <c r="S795" s="12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229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  <c r="AZ795" s="242"/>
      <c r="BA795" s="243"/>
    </row>
    <row r="796" spans="1:53" ht="90" customHeight="1">
      <c r="A796" s="1"/>
      <c r="B796" s="2"/>
      <c r="C796" s="3"/>
      <c r="D796" s="4"/>
      <c r="E796" s="5"/>
      <c r="F796" s="5"/>
      <c r="G796" s="5"/>
      <c r="H796" s="5"/>
      <c r="I796" s="5"/>
      <c r="J796" s="6"/>
      <c r="K796" s="261"/>
      <c r="L796" s="272"/>
      <c r="M796" s="261"/>
      <c r="N796" s="7"/>
      <c r="O796" s="8"/>
      <c r="P796" s="9"/>
      <c r="Q796" s="10"/>
      <c r="R796" s="11"/>
      <c r="S796" s="12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229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Z796" s="242"/>
      <c r="BA796" s="243"/>
    </row>
    <row r="797" spans="1:53" ht="90" customHeight="1">
      <c r="A797" s="1"/>
      <c r="B797" s="2"/>
      <c r="C797" s="3"/>
      <c r="D797" s="4"/>
      <c r="E797" s="5"/>
      <c r="F797" s="5"/>
      <c r="G797" s="5"/>
      <c r="H797" s="5"/>
      <c r="I797" s="5"/>
      <c r="J797" s="6"/>
      <c r="K797" s="261"/>
      <c r="L797" s="272"/>
      <c r="M797" s="261"/>
      <c r="N797" s="7"/>
      <c r="O797" s="8"/>
      <c r="P797" s="9"/>
      <c r="Q797" s="10"/>
      <c r="R797" s="11"/>
      <c r="S797" s="12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229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Z797" s="242"/>
      <c r="BA797" s="243"/>
    </row>
    <row r="798" spans="1:53" ht="90" customHeight="1">
      <c r="A798" s="1"/>
      <c r="B798" s="2"/>
      <c r="C798" s="3"/>
      <c r="D798" s="4"/>
      <c r="E798" s="5"/>
      <c r="F798" s="5"/>
      <c r="G798" s="5"/>
      <c r="H798" s="5"/>
      <c r="I798" s="5"/>
      <c r="J798" s="6"/>
      <c r="K798" s="261"/>
      <c r="L798" s="272"/>
      <c r="M798" s="261"/>
      <c r="N798" s="7"/>
      <c r="O798" s="8"/>
      <c r="P798" s="9"/>
      <c r="Q798" s="10"/>
      <c r="R798" s="11"/>
      <c r="S798" s="12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229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  <c r="AZ798" s="242"/>
      <c r="BA798" s="243"/>
    </row>
    <row r="799" spans="1:53" ht="90" customHeight="1">
      <c r="A799" s="1"/>
      <c r="B799" s="2"/>
      <c r="C799" s="3"/>
      <c r="D799" s="4"/>
      <c r="E799" s="5"/>
      <c r="F799" s="5"/>
      <c r="G799" s="5"/>
      <c r="H799" s="5"/>
      <c r="I799" s="5"/>
      <c r="J799" s="6"/>
      <c r="K799" s="261"/>
      <c r="L799" s="272"/>
      <c r="M799" s="261"/>
      <c r="N799" s="7"/>
      <c r="O799" s="8"/>
      <c r="P799" s="9"/>
      <c r="Q799" s="10"/>
      <c r="R799" s="11"/>
      <c r="S799" s="12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229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  <c r="AZ799" s="242"/>
      <c r="BA799" s="243"/>
    </row>
    <row r="800" spans="1:53" ht="90" customHeight="1">
      <c r="A800" s="1"/>
      <c r="B800" s="2"/>
      <c r="C800" s="3"/>
      <c r="D800" s="4"/>
      <c r="E800" s="5"/>
      <c r="F800" s="5"/>
      <c r="G800" s="5"/>
      <c r="H800" s="5"/>
      <c r="I800" s="5"/>
      <c r="J800" s="6"/>
      <c r="K800" s="261"/>
      <c r="L800" s="272"/>
      <c r="M800" s="261"/>
      <c r="N800" s="7"/>
      <c r="O800" s="8"/>
      <c r="P800" s="9"/>
      <c r="Q800" s="10"/>
      <c r="R800" s="11"/>
      <c r="S800" s="12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229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  <c r="AZ800" s="242"/>
      <c r="BA800" s="243"/>
    </row>
    <row r="801" spans="1:53" ht="90" customHeight="1">
      <c r="A801" s="1"/>
      <c r="B801" s="2"/>
      <c r="C801" s="3"/>
      <c r="D801" s="4"/>
      <c r="E801" s="5"/>
      <c r="F801" s="5"/>
      <c r="G801" s="5"/>
      <c r="H801" s="5"/>
      <c r="I801" s="5"/>
      <c r="J801" s="6"/>
      <c r="K801" s="261"/>
      <c r="L801" s="272"/>
      <c r="M801" s="261"/>
      <c r="N801" s="7"/>
      <c r="O801" s="8"/>
      <c r="P801" s="9"/>
      <c r="Q801" s="10"/>
      <c r="R801" s="11"/>
      <c r="S801" s="12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229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  <c r="AZ801" s="242"/>
      <c r="BA801" s="243"/>
    </row>
    <row r="802" spans="1:53" ht="90" customHeight="1">
      <c r="A802" s="1"/>
      <c r="B802" s="2"/>
      <c r="C802" s="3"/>
      <c r="D802" s="4"/>
      <c r="E802" s="5"/>
      <c r="F802" s="5"/>
      <c r="G802" s="5"/>
      <c r="H802" s="5"/>
      <c r="I802" s="5"/>
      <c r="J802" s="6"/>
      <c r="K802" s="261"/>
      <c r="L802" s="272"/>
      <c r="M802" s="261"/>
      <c r="N802" s="7"/>
      <c r="O802" s="8"/>
      <c r="P802" s="9"/>
      <c r="Q802" s="10"/>
      <c r="R802" s="11"/>
      <c r="S802" s="12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229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  <c r="AZ802" s="242"/>
      <c r="BA802" s="243"/>
    </row>
    <row r="803" spans="1:53" ht="90" customHeight="1">
      <c r="A803" s="1"/>
      <c r="B803" s="2"/>
      <c r="C803" s="3"/>
      <c r="D803" s="4"/>
      <c r="E803" s="5"/>
      <c r="F803" s="5"/>
      <c r="G803" s="5"/>
      <c r="H803" s="5"/>
      <c r="I803" s="5"/>
      <c r="J803" s="6"/>
      <c r="K803" s="261"/>
      <c r="L803" s="272"/>
      <c r="M803" s="261"/>
      <c r="N803" s="7"/>
      <c r="O803" s="8"/>
      <c r="P803" s="9"/>
      <c r="Q803" s="10"/>
      <c r="R803" s="11"/>
      <c r="S803" s="12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229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  <c r="AZ803" s="242"/>
      <c r="BA803" s="243"/>
    </row>
    <row r="804" spans="1:53" ht="90" customHeight="1">
      <c r="A804" s="1"/>
      <c r="B804" s="2"/>
      <c r="C804" s="3"/>
      <c r="D804" s="4"/>
      <c r="E804" s="5"/>
      <c r="F804" s="5"/>
      <c r="G804" s="5"/>
      <c r="H804" s="5"/>
      <c r="I804" s="5"/>
      <c r="J804" s="6"/>
      <c r="K804" s="261"/>
      <c r="L804" s="272"/>
      <c r="M804" s="261"/>
      <c r="N804" s="7"/>
      <c r="O804" s="8"/>
      <c r="P804" s="9"/>
      <c r="Q804" s="10"/>
      <c r="R804" s="11"/>
      <c r="S804" s="12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229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  <c r="AZ804" s="242"/>
      <c r="BA804" s="243"/>
    </row>
    <row r="805" spans="1:53" ht="90" customHeight="1">
      <c r="A805" s="1"/>
      <c r="B805" s="2"/>
      <c r="C805" s="3"/>
      <c r="D805" s="4"/>
      <c r="E805" s="5"/>
      <c r="F805" s="5"/>
      <c r="G805" s="5"/>
      <c r="H805" s="5"/>
      <c r="I805" s="5"/>
      <c r="J805" s="6"/>
      <c r="K805" s="261"/>
      <c r="L805" s="272"/>
      <c r="M805" s="261"/>
      <c r="N805" s="7"/>
      <c r="O805" s="8"/>
      <c r="P805" s="9"/>
      <c r="Q805" s="10"/>
      <c r="R805" s="11"/>
      <c r="S805" s="12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229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  <c r="AZ805" s="242"/>
      <c r="BA805" s="243"/>
    </row>
    <row r="806" spans="1:53" ht="90" customHeight="1">
      <c r="A806" s="1"/>
      <c r="B806" s="2"/>
      <c r="C806" s="3"/>
      <c r="D806" s="4"/>
      <c r="E806" s="5"/>
      <c r="F806" s="5"/>
      <c r="G806" s="5"/>
      <c r="H806" s="5"/>
      <c r="I806" s="5"/>
      <c r="J806" s="6"/>
      <c r="K806" s="261"/>
      <c r="L806" s="272"/>
      <c r="M806" s="261"/>
      <c r="N806" s="7"/>
      <c r="O806" s="8"/>
      <c r="P806" s="9"/>
      <c r="Q806" s="10"/>
      <c r="R806" s="11"/>
      <c r="S806" s="12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229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  <c r="AZ806" s="242"/>
      <c r="BA806" s="243"/>
    </row>
    <row r="807" spans="1:53" ht="90" customHeight="1">
      <c r="A807" s="1"/>
      <c r="B807" s="2"/>
      <c r="C807" s="3"/>
      <c r="D807" s="4"/>
      <c r="E807" s="5"/>
      <c r="F807" s="5"/>
      <c r="G807" s="5"/>
      <c r="H807" s="5"/>
      <c r="I807" s="5"/>
      <c r="J807" s="6"/>
      <c r="K807" s="261"/>
      <c r="L807" s="272"/>
      <c r="M807" s="261"/>
      <c r="N807" s="7"/>
      <c r="O807" s="8"/>
      <c r="P807" s="9"/>
      <c r="Q807" s="10"/>
      <c r="R807" s="11"/>
      <c r="S807" s="12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229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Z807" s="242"/>
      <c r="BA807" s="243"/>
    </row>
    <row r="808" spans="1:53" ht="90" customHeight="1">
      <c r="A808" s="1"/>
      <c r="B808" s="2"/>
      <c r="C808" s="3"/>
      <c r="D808" s="4"/>
      <c r="E808" s="5"/>
      <c r="F808" s="5"/>
      <c r="G808" s="5"/>
      <c r="H808" s="5"/>
      <c r="I808" s="5"/>
      <c r="J808" s="6"/>
      <c r="K808" s="261"/>
      <c r="L808" s="272"/>
      <c r="M808" s="261"/>
      <c r="N808" s="7"/>
      <c r="O808" s="8"/>
      <c r="P808" s="9"/>
      <c r="Q808" s="10"/>
      <c r="R808" s="11"/>
      <c r="S808" s="12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229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Z808" s="242"/>
      <c r="BA808" s="243"/>
    </row>
    <row r="809" spans="1:53" ht="90" customHeight="1">
      <c r="A809" s="1"/>
      <c r="B809" s="2"/>
      <c r="C809" s="3"/>
      <c r="D809" s="4"/>
      <c r="E809" s="5"/>
      <c r="F809" s="5"/>
      <c r="G809" s="5"/>
      <c r="H809" s="5"/>
      <c r="I809" s="5"/>
      <c r="J809" s="6"/>
      <c r="K809" s="261"/>
      <c r="L809" s="272"/>
      <c r="M809" s="261"/>
      <c r="N809" s="7"/>
      <c r="O809" s="8"/>
      <c r="P809" s="9"/>
      <c r="Q809" s="10"/>
      <c r="R809" s="11"/>
      <c r="S809" s="12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229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Z809" s="242"/>
      <c r="BA809" s="243"/>
    </row>
    <row r="810" spans="1:53" ht="90" customHeight="1">
      <c r="A810" s="1"/>
      <c r="B810" s="2"/>
      <c r="C810" s="3"/>
      <c r="D810" s="4"/>
      <c r="E810" s="5"/>
      <c r="F810" s="5"/>
      <c r="G810" s="5"/>
      <c r="H810" s="5"/>
      <c r="I810" s="5"/>
      <c r="J810" s="6"/>
      <c r="K810" s="261"/>
      <c r="L810" s="272"/>
      <c r="M810" s="261"/>
      <c r="N810" s="7"/>
      <c r="O810" s="8"/>
      <c r="P810" s="9"/>
      <c r="Q810" s="10"/>
      <c r="R810" s="11"/>
      <c r="S810" s="12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229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Z810" s="242"/>
      <c r="BA810" s="243"/>
    </row>
    <row r="811" spans="1:53" ht="90" customHeight="1">
      <c r="A811" s="1"/>
      <c r="B811" s="2"/>
      <c r="C811" s="3"/>
      <c r="D811" s="4"/>
      <c r="E811" s="5"/>
      <c r="F811" s="5"/>
      <c r="G811" s="5"/>
      <c r="H811" s="5"/>
      <c r="I811" s="5"/>
      <c r="J811" s="6"/>
      <c r="K811" s="261"/>
      <c r="L811" s="272"/>
      <c r="M811" s="261"/>
      <c r="N811" s="7"/>
      <c r="O811" s="8"/>
      <c r="P811" s="9"/>
      <c r="Q811" s="10"/>
      <c r="R811" s="11"/>
      <c r="S811" s="12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229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Z811" s="242"/>
      <c r="BA811" s="243"/>
    </row>
    <row r="812" spans="1:53" ht="90" customHeight="1">
      <c r="A812" s="1"/>
      <c r="B812" s="2"/>
      <c r="C812" s="3"/>
      <c r="D812" s="4"/>
      <c r="E812" s="5"/>
      <c r="F812" s="5"/>
      <c r="G812" s="5"/>
      <c r="H812" s="5"/>
      <c r="I812" s="5"/>
      <c r="J812" s="6"/>
      <c r="K812" s="261"/>
      <c r="L812" s="272"/>
      <c r="M812" s="261"/>
      <c r="N812" s="7"/>
      <c r="O812" s="8"/>
      <c r="P812" s="9"/>
      <c r="Q812" s="10"/>
      <c r="R812" s="11"/>
      <c r="S812" s="12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229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Z812" s="242"/>
      <c r="BA812" s="243"/>
    </row>
    <row r="813" spans="1:53" ht="90" customHeight="1">
      <c r="A813" s="1"/>
      <c r="B813" s="2"/>
      <c r="C813" s="3"/>
      <c r="D813" s="4"/>
      <c r="E813" s="5"/>
      <c r="F813" s="5"/>
      <c r="G813" s="5"/>
      <c r="H813" s="5"/>
      <c r="I813" s="5"/>
      <c r="J813" s="6"/>
      <c r="K813" s="261"/>
      <c r="L813" s="272"/>
      <c r="M813" s="261"/>
      <c r="N813" s="7"/>
      <c r="O813" s="8"/>
      <c r="P813" s="9"/>
      <c r="Q813" s="10"/>
      <c r="R813" s="11"/>
      <c r="S813" s="12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229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Z813" s="242"/>
      <c r="BA813" s="243"/>
    </row>
    <row r="814" spans="1:53" ht="90" customHeight="1">
      <c r="A814" s="1"/>
      <c r="B814" s="2"/>
      <c r="C814" s="3"/>
      <c r="D814" s="4"/>
      <c r="E814" s="5"/>
      <c r="F814" s="5"/>
      <c r="G814" s="5"/>
      <c r="H814" s="5"/>
      <c r="I814" s="5"/>
      <c r="J814" s="6"/>
      <c r="K814" s="261"/>
      <c r="L814" s="272"/>
      <c r="M814" s="261"/>
      <c r="N814" s="7"/>
      <c r="O814" s="8"/>
      <c r="P814" s="9"/>
      <c r="Q814" s="10"/>
      <c r="R814" s="11"/>
      <c r="S814" s="12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229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Z814" s="242"/>
      <c r="BA814" s="243"/>
    </row>
    <row r="815" spans="1:53" ht="90" customHeight="1">
      <c r="A815" s="1"/>
      <c r="B815" s="2"/>
      <c r="C815" s="3"/>
      <c r="D815" s="4"/>
      <c r="E815" s="5"/>
      <c r="F815" s="5"/>
      <c r="G815" s="5"/>
      <c r="H815" s="5"/>
      <c r="I815" s="5"/>
      <c r="J815" s="6"/>
      <c r="K815" s="261"/>
      <c r="L815" s="272"/>
      <c r="M815" s="261"/>
      <c r="N815" s="7"/>
      <c r="O815" s="8"/>
      <c r="P815" s="9"/>
      <c r="Q815" s="10"/>
      <c r="R815" s="11"/>
      <c r="S815" s="12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229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  <c r="AZ815" s="242"/>
      <c r="BA815" s="243"/>
    </row>
    <row r="816" spans="1:53" ht="90" customHeight="1">
      <c r="A816" s="1"/>
      <c r="B816" s="2"/>
      <c r="C816" s="3"/>
      <c r="D816" s="4"/>
      <c r="E816" s="5"/>
      <c r="F816" s="5"/>
      <c r="G816" s="5"/>
      <c r="H816" s="5"/>
      <c r="I816" s="5"/>
      <c r="J816" s="6"/>
      <c r="K816" s="261"/>
      <c r="L816" s="272"/>
      <c r="M816" s="261"/>
      <c r="N816" s="7"/>
      <c r="O816" s="8"/>
      <c r="P816" s="9"/>
      <c r="Q816" s="10"/>
      <c r="R816" s="11"/>
      <c r="S816" s="12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229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  <c r="AZ816" s="242"/>
      <c r="BA816" s="243"/>
    </row>
    <row r="817" spans="1:53" ht="90" customHeight="1">
      <c r="A817" s="1"/>
      <c r="B817" s="2"/>
      <c r="C817" s="3"/>
      <c r="D817" s="4"/>
      <c r="E817" s="5"/>
      <c r="F817" s="5"/>
      <c r="G817" s="5"/>
      <c r="H817" s="5"/>
      <c r="I817" s="5"/>
      <c r="J817" s="6"/>
      <c r="K817" s="261"/>
      <c r="L817" s="272"/>
      <c r="M817" s="261"/>
      <c r="N817" s="7"/>
      <c r="O817" s="8"/>
      <c r="P817" s="9"/>
      <c r="Q817" s="10"/>
      <c r="R817" s="11"/>
      <c r="S817" s="12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229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  <c r="AZ817" s="242"/>
      <c r="BA817" s="243"/>
    </row>
    <row r="818" spans="1:53" ht="90" customHeight="1">
      <c r="A818" s="1"/>
      <c r="B818" s="2"/>
      <c r="C818" s="3"/>
      <c r="D818" s="4"/>
      <c r="E818" s="5"/>
      <c r="F818" s="5"/>
      <c r="G818" s="5"/>
      <c r="H818" s="5"/>
      <c r="I818" s="5"/>
      <c r="J818" s="6"/>
      <c r="K818" s="261"/>
      <c r="L818" s="272"/>
      <c r="M818" s="261"/>
      <c r="N818" s="7"/>
      <c r="O818" s="8"/>
      <c r="P818" s="9"/>
      <c r="Q818" s="10"/>
      <c r="R818" s="11"/>
      <c r="S818" s="12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229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  <c r="AZ818" s="242"/>
      <c r="BA818" s="243"/>
    </row>
    <row r="819" spans="1:53" ht="90" customHeight="1">
      <c r="A819" s="1"/>
      <c r="B819" s="2"/>
      <c r="C819" s="3"/>
      <c r="D819" s="4"/>
      <c r="E819" s="5"/>
      <c r="F819" s="5"/>
      <c r="G819" s="5"/>
      <c r="H819" s="5"/>
      <c r="I819" s="5"/>
      <c r="J819" s="6"/>
      <c r="K819" s="261"/>
      <c r="L819" s="272"/>
      <c r="M819" s="261"/>
      <c r="N819" s="7"/>
      <c r="O819" s="8"/>
      <c r="P819" s="9"/>
      <c r="Q819" s="10"/>
      <c r="R819" s="11"/>
      <c r="S819" s="12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229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  <c r="AZ819" s="242"/>
      <c r="BA819" s="243"/>
    </row>
    <row r="820" spans="1:53" ht="90" customHeight="1">
      <c r="A820" s="1"/>
      <c r="B820" s="2"/>
      <c r="C820" s="3"/>
      <c r="D820" s="4"/>
      <c r="E820" s="5"/>
      <c r="F820" s="5"/>
      <c r="G820" s="5"/>
      <c r="H820" s="5"/>
      <c r="I820" s="5"/>
      <c r="J820" s="6"/>
      <c r="K820" s="261"/>
      <c r="L820" s="272"/>
      <c r="M820" s="261"/>
      <c r="N820" s="7"/>
      <c r="O820" s="8"/>
      <c r="P820" s="9"/>
      <c r="Q820" s="10"/>
      <c r="R820" s="11"/>
      <c r="S820" s="12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229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  <c r="AZ820" s="242"/>
      <c r="BA820" s="243"/>
    </row>
    <row r="821" spans="1:53" ht="90" customHeight="1">
      <c r="A821" s="1"/>
      <c r="B821" s="2"/>
      <c r="C821" s="3"/>
      <c r="D821" s="4"/>
      <c r="E821" s="5"/>
      <c r="F821" s="5"/>
      <c r="G821" s="5"/>
      <c r="H821" s="5"/>
      <c r="I821" s="5"/>
      <c r="J821" s="6"/>
      <c r="K821" s="261"/>
      <c r="L821" s="272"/>
      <c r="M821" s="261"/>
      <c r="N821" s="7"/>
      <c r="O821" s="8"/>
      <c r="P821" s="9"/>
      <c r="Q821" s="10"/>
      <c r="R821" s="11"/>
      <c r="S821" s="12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229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  <c r="AZ821" s="242"/>
      <c r="BA821" s="243"/>
    </row>
    <row r="822" spans="1:53" ht="90" customHeight="1">
      <c r="A822" s="1"/>
      <c r="B822" s="2"/>
      <c r="C822" s="3"/>
      <c r="D822" s="4"/>
      <c r="E822" s="5"/>
      <c r="F822" s="5"/>
      <c r="G822" s="5"/>
      <c r="H822" s="5"/>
      <c r="I822" s="5"/>
      <c r="J822" s="6"/>
      <c r="K822" s="261"/>
      <c r="L822" s="272"/>
      <c r="M822" s="261"/>
      <c r="N822" s="7"/>
      <c r="O822" s="8"/>
      <c r="P822" s="9"/>
      <c r="Q822" s="10"/>
      <c r="R822" s="11"/>
      <c r="S822" s="12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229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Z822" s="242"/>
      <c r="BA822" s="243"/>
    </row>
    <row r="823" spans="1:53" ht="90" customHeight="1">
      <c r="A823" s="1"/>
      <c r="B823" s="2"/>
      <c r="C823" s="3"/>
      <c r="D823" s="4"/>
      <c r="E823" s="5"/>
      <c r="F823" s="5"/>
      <c r="G823" s="5"/>
      <c r="H823" s="5"/>
      <c r="I823" s="5"/>
      <c r="J823" s="6"/>
      <c r="K823" s="261"/>
      <c r="L823" s="272"/>
      <c r="M823" s="261"/>
      <c r="N823" s="7"/>
      <c r="O823" s="8"/>
      <c r="P823" s="9"/>
      <c r="Q823" s="10"/>
      <c r="R823" s="11"/>
      <c r="S823" s="12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229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  <c r="AZ823" s="242"/>
      <c r="BA823" s="243"/>
    </row>
    <row r="824" spans="1:53" ht="90" customHeight="1">
      <c r="A824" s="1"/>
      <c r="B824" s="2"/>
      <c r="C824" s="3"/>
      <c r="D824" s="4"/>
      <c r="E824" s="5"/>
      <c r="F824" s="5"/>
      <c r="G824" s="5"/>
      <c r="H824" s="5"/>
      <c r="I824" s="5"/>
      <c r="J824" s="6"/>
      <c r="K824" s="261"/>
      <c r="L824" s="272"/>
      <c r="M824" s="261"/>
      <c r="N824" s="7"/>
      <c r="O824" s="8"/>
      <c r="P824" s="9"/>
      <c r="Q824" s="10"/>
      <c r="R824" s="11"/>
      <c r="S824" s="12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229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  <c r="AZ824" s="242"/>
      <c r="BA824" s="243"/>
    </row>
    <row r="825" spans="1:53" ht="90" customHeight="1">
      <c r="A825" s="1"/>
      <c r="B825" s="2"/>
      <c r="C825" s="3"/>
      <c r="D825" s="4"/>
      <c r="E825" s="5"/>
      <c r="F825" s="5"/>
      <c r="G825" s="5"/>
      <c r="H825" s="5"/>
      <c r="I825" s="5"/>
      <c r="J825" s="6"/>
      <c r="K825" s="261"/>
      <c r="L825" s="272"/>
      <c r="M825" s="261"/>
      <c r="N825" s="7"/>
      <c r="O825" s="8"/>
      <c r="P825" s="9"/>
      <c r="Q825" s="10"/>
      <c r="R825" s="11"/>
      <c r="S825" s="12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229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  <c r="AZ825" s="242"/>
      <c r="BA825" s="243"/>
    </row>
    <row r="826" spans="1:53" ht="90" customHeight="1">
      <c r="A826" s="1"/>
      <c r="B826" s="2"/>
      <c r="C826" s="3"/>
      <c r="D826" s="4"/>
      <c r="E826" s="5"/>
      <c r="F826" s="5"/>
      <c r="G826" s="5"/>
      <c r="H826" s="5"/>
      <c r="I826" s="5"/>
      <c r="J826" s="6"/>
      <c r="K826" s="261"/>
      <c r="L826" s="272"/>
      <c r="M826" s="261"/>
      <c r="N826" s="7"/>
      <c r="O826" s="8"/>
      <c r="P826" s="9"/>
      <c r="Q826" s="10"/>
      <c r="R826" s="11"/>
      <c r="S826" s="12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229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  <c r="AZ826" s="242"/>
      <c r="BA826" s="243"/>
    </row>
    <row r="827" spans="1:53" ht="90" customHeight="1">
      <c r="A827" s="1"/>
      <c r="B827" s="2"/>
      <c r="C827" s="3"/>
      <c r="D827" s="4"/>
      <c r="E827" s="5"/>
      <c r="F827" s="5"/>
      <c r="G827" s="5"/>
      <c r="H827" s="5"/>
      <c r="I827" s="5"/>
      <c r="J827" s="6"/>
      <c r="K827" s="261"/>
      <c r="L827" s="272"/>
      <c r="M827" s="261"/>
      <c r="N827" s="7"/>
      <c r="O827" s="8"/>
      <c r="P827" s="9"/>
      <c r="Q827" s="10"/>
      <c r="R827" s="11"/>
      <c r="S827" s="12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229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  <c r="AZ827" s="242"/>
      <c r="BA827" s="243"/>
    </row>
    <row r="828" spans="1:53" ht="90" customHeight="1">
      <c r="A828" s="1"/>
      <c r="B828" s="2"/>
      <c r="C828" s="3"/>
      <c r="D828" s="4"/>
      <c r="E828" s="5"/>
      <c r="F828" s="5"/>
      <c r="G828" s="5"/>
      <c r="H828" s="5"/>
      <c r="I828" s="5"/>
      <c r="J828" s="6"/>
      <c r="K828" s="261"/>
      <c r="L828" s="272"/>
      <c r="M828" s="261"/>
      <c r="N828" s="7"/>
      <c r="O828" s="8"/>
      <c r="P828" s="9"/>
      <c r="Q828" s="10"/>
      <c r="R828" s="11"/>
      <c r="S828" s="12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229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  <c r="AZ828" s="242"/>
      <c r="BA828" s="243"/>
    </row>
    <row r="829" spans="1:53" ht="90" customHeight="1">
      <c r="A829" s="1"/>
      <c r="B829" s="2"/>
      <c r="C829" s="3"/>
      <c r="D829" s="4"/>
      <c r="E829" s="5"/>
      <c r="F829" s="5"/>
      <c r="G829" s="5"/>
      <c r="H829" s="5"/>
      <c r="I829" s="5"/>
      <c r="J829" s="6"/>
      <c r="K829" s="261"/>
      <c r="L829" s="272"/>
      <c r="M829" s="261"/>
      <c r="N829" s="7"/>
      <c r="O829" s="8"/>
      <c r="P829" s="9"/>
      <c r="Q829" s="10"/>
      <c r="R829" s="11"/>
      <c r="S829" s="12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229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  <c r="AZ829" s="242"/>
      <c r="BA829" s="243"/>
    </row>
    <row r="830" spans="1:53" ht="90" customHeight="1">
      <c r="A830" s="1"/>
      <c r="B830" s="2"/>
      <c r="C830" s="3"/>
      <c r="D830" s="4"/>
      <c r="E830" s="5"/>
      <c r="F830" s="5"/>
      <c r="G830" s="5"/>
      <c r="H830" s="5"/>
      <c r="I830" s="5"/>
      <c r="J830" s="6"/>
      <c r="K830" s="261"/>
      <c r="L830" s="272"/>
      <c r="M830" s="261"/>
      <c r="N830" s="7"/>
      <c r="O830" s="8"/>
      <c r="P830" s="9"/>
      <c r="Q830" s="10"/>
      <c r="R830" s="11"/>
      <c r="S830" s="12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229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  <c r="AZ830" s="242"/>
      <c r="BA830" s="243"/>
    </row>
    <row r="831" spans="1:53" ht="90" customHeight="1">
      <c r="A831" s="1"/>
      <c r="B831" s="2"/>
      <c r="C831" s="3"/>
      <c r="D831" s="4"/>
      <c r="E831" s="5"/>
      <c r="F831" s="5"/>
      <c r="G831" s="5"/>
      <c r="H831" s="5"/>
      <c r="I831" s="5"/>
      <c r="J831" s="6"/>
      <c r="K831" s="261"/>
      <c r="L831" s="272"/>
      <c r="M831" s="261"/>
      <c r="N831" s="7"/>
      <c r="O831" s="8"/>
      <c r="P831" s="9"/>
      <c r="Q831" s="10"/>
      <c r="R831" s="11"/>
      <c r="S831" s="12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229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  <c r="AZ831" s="242"/>
      <c r="BA831" s="243"/>
    </row>
    <row r="832" spans="1:53" ht="90" customHeight="1">
      <c r="A832" s="1"/>
      <c r="B832" s="2"/>
      <c r="C832" s="3"/>
      <c r="D832" s="4"/>
      <c r="E832" s="5"/>
      <c r="F832" s="5"/>
      <c r="G832" s="5"/>
      <c r="H832" s="5"/>
      <c r="I832" s="5"/>
      <c r="J832" s="6"/>
      <c r="K832" s="261"/>
      <c r="L832" s="272"/>
      <c r="M832" s="261"/>
      <c r="N832" s="7"/>
      <c r="O832" s="8"/>
      <c r="P832" s="9"/>
      <c r="Q832" s="10"/>
      <c r="R832" s="11"/>
      <c r="S832" s="12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229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  <c r="AZ832" s="242"/>
      <c r="BA832" s="243"/>
    </row>
    <row r="833" spans="1:53" ht="90" customHeight="1">
      <c r="A833" s="1"/>
      <c r="B833" s="2"/>
      <c r="C833" s="3"/>
      <c r="D833" s="4"/>
      <c r="E833" s="5"/>
      <c r="F833" s="5"/>
      <c r="G833" s="5"/>
      <c r="H833" s="5"/>
      <c r="I833" s="5"/>
      <c r="J833" s="6"/>
      <c r="K833" s="261"/>
      <c r="L833" s="272"/>
      <c r="M833" s="261"/>
      <c r="N833" s="7"/>
      <c r="O833" s="8"/>
      <c r="P833" s="9"/>
      <c r="Q833" s="10"/>
      <c r="R833" s="11"/>
      <c r="S833" s="12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229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  <c r="AZ833" s="242"/>
      <c r="BA833" s="243"/>
    </row>
    <row r="834" spans="1:53" ht="90" customHeight="1">
      <c r="A834" s="1"/>
      <c r="B834" s="2"/>
      <c r="C834" s="3"/>
      <c r="D834" s="4"/>
      <c r="E834" s="5"/>
      <c r="F834" s="5"/>
      <c r="G834" s="5"/>
      <c r="H834" s="5"/>
      <c r="I834" s="5"/>
      <c r="J834" s="6"/>
      <c r="K834" s="261"/>
      <c r="L834" s="272"/>
      <c r="M834" s="261"/>
      <c r="N834" s="7"/>
      <c r="O834" s="8"/>
      <c r="P834" s="9"/>
      <c r="Q834" s="10"/>
      <c r="R834" s="11"/>
      <c r="S834" s="12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229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  <c r="AZ834" s="242"/>
      <c r="BA834" s="243"/>
    </row>
    <row r="835" spans="1:53" ht="90" customHeight="1">
      <c r="A835" s="1"/>
      <c r="B835" s="2"/>
      <c r="C835" s="3"/>
      <c r="D835" s="4"/>
      <c r="E835" s="5"/>
      <c r="F835" s="5"/>
      <c r="G835" s="5"/>
      <c r="H835" s="5"/>
      <c r="I835" s="5"/>
      <c r="J835" s="6"/>
      <c r="K835" s="261"/>
      <c r="L835" s="272"/>
      <c r="M835" s="261"/>
      <c r="N835" s="7"/>
      <c r="O835" s="8"/>
      <c r="P835" s="9"/>
      <c r="Q835" s="10"/>
      <c r="R835" s="11"/>
      <c r="S835" s="12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229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  <c r="AZ835" s="242"/>
      <c r="BA835" s="243"/>
    </row>
    <row r="836" spans="1:53" ht="90" customHeight="1">
      <c r="A836" s="1"/>
      <c r="B836" s="2"/>
      <c r="C836" s="3"/>
      <c r="D836" s="4"/>
      <c r="E836" s="5"/>
      <c r="F836" s="5"/>
      <c r="G836" s="5"/>
      <c r="H836" s="5"/>
      <c r="I836" s="5"/>
      <c r="J836" s="6"/>
      <c r="K836" s="261"/>
      <c r="L836" s="272"/>
      <c r="M836" s="261"/>
      <c r="N836" s="7"/>
      <c r="O836" s="8"/>
      <c r="P836" s="9"/>
      <c r="Q836" s="10"/>
      <c r="R836" s="11"/>
      <c r="S836" s="12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229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  <c r="AZ836" s="242"/>
      <c r="BA836" s="243"/>
    </row>
    <row r="837" spans="1:53" ht="90" customHeight="1">
      <c r="A837" s="1"/>
      <c r="B837" s="2"/>
      <c r="C837" s="3"/>
      <c r="D837" s="4"/>
      <c r="E837" s="5"/>
      <c r="F837" s="5"/>
      <c r="G837" s="5"/>
      <c r="H837" s="5"/>
      <c r="I837" s="5"/>
      <c r="J837" s="6"/>
      <c r="K837" s="261"/>
      <c r="L837" s="272"/>
      <c r="M837" s="261"/>
      <c r="N837" s="7"/>
      <c r="O837" s="8"/>
      <c r="P837" s="9"/>
      <c r="Q837" s="10"/>
      <c r="R837" s="11"/>
      <c r="S837" s="12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229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  <c r="AZ837" s="242"/>
      <c r="BA837" s="243"/>
    </row>
    <row r="838" spans="1:53" ht="90" customHeight="1">
      <c r="A838" s="1"/>
      <c r="B838" s="2"/>
      <c r="C838" s="3"/>
      <c r="D838" s="4"/>
      <c r="E838" s="5"/>
      <c r="F838" s="5"/>
      <c r="G838" s="5"/>
      <c r="H838" s="5"/>
      <c r="I838" s="5"/>
      <c r="J838" s="6"/>
      <c r="K838" s="261"/>
      <c r="L838" s="272"/>
      <c r="M838" s="261"/>
      <c r="N838" s="7"/>
      <c r="O838" s="8"/>
      <c r="P838" s="9"/>
      <c r="Q838" s="10"/>
      <c r="R838" s="11"/>
      <c r="S838" s="12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229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  <c r="AZ838" s="242"/>
      <c r="BA838" s="243"/>
    </row>
    <row r="839" spans="1:53" ht="90" customHeight="1">
      <c r="A839" s="1"/>
      <c r="B839" s="2"/>
      <c r="C839" s="3"/>
      <c r="D839" s="4"/>
      <c r="E839" s="5"/>
      <c r="F839" s="5"/>
      <c r="G839" s="5"/>
      <c r="H839" s="5"/>
      <c r="I839" s="5"/>
      <c r="J839" s="6"/>
      <c r="K839" s="261"/>
      <c r="L839" s="272"/>
      <c r="M839" s="261"/>
      <c r="N839" s="7"/>
      <c r="O839" s="8"/>
      <c r="P839" s="9"/>
      <c r="Q839" s="10"/>
      <c r="R839" s="11"/>
      <c r="S839" s="12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229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  <c r="AZ839" s="242"/>
      <c r="BA839" s="243"/>
    </row>
    <row r="840" spans="1:53" ht="90" customHeight="1">
      <c r="A840" s="1"/>
      <c r="B840" s="2"/>
      <c r="C840" s="3"/>
      <c r="D840" s="4"/>
      <c r="E840" s="5"/>
      <c r="F840" s="5"/>
      <c r="G840" s="5"/>
      <c r="H840" s="5"/>
      <c r="I840" s="5"/>
      <c r="J840" s="6"/>
      <c r="K840" s="261"/>
      <c r="L840" s="272"/>
      <c r="M840" s="261"/>
      <c r="N840" s="7"/>
      <c r="O840" s="8"/>
      <c r="P840" s="9"/>
      <c r="Q840" s="10"/>
      <c r="R840" s="11"/>
      <c r="S840" s="12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229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  <c r="AZ840" s="242"/>
      <c r="BA840" s="243"/>
    </row>
    <row r="841" spans="1:53" ht="90" customHeight="1">
      <c r="A841" s="1"/>
      <c r="B841" s="2"/>
      <c r="C841" s="3"/>
      <c r="D841" s="4"/>
      <c r="E841" s="5"/>
      <c r="F841" s="5"/>
      <c r="G841" s="5"/>
      <c r="H841" s="5"/>
      <c r="I841" s="5"/>
      <c r="J841" s="6"/>
      <c r="K841" s="261"/>
      <c r="L841" s="272"/>
      <c r="M841" s="261"/>
      <c r="N841" s="7"/>
      <c r="O841" s="8"/>
      <c r="P841" s="9"/>
      <c r="Q841" s="10"/>
      <c r="R841" s="11"/>
      <c r="S841" s="12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229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  <c r="AZ841" s="242"/>
      <c r="BA841" s="243"/>
    </row>
    <row r="842" spans="1:53" ht="90" customHeight="1">
      <c r="A842" s="1"/>
      <c r="B842" s="2"/>
      <c r="C842" s="3"/>
      <c r="D842" s="4"/>
      <c r="E842" s="5"/>
      <c r="F842" s="5"/>
      <c r="G842" s="5"/>
      <c r="H842" s="5"/>
      <c r="I842" s="5"/>
      <c r="J842" s="6"/>
      <c r="K842" s="261"/>
      <c r="L842" s="272"/>
      <c r="M842" s="261"/>
      <c r="N842" s="7"/>
      <c r="O842" s="8"/>
      <c r="P842" s="9"/>
      <c r="Q842" s="10"/>
      <c r="R842" s="11"/>
      <c r="S842" s="12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229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  <c r="AZ842" s="242"/>
      <c r="BA842" s="243"/>
    </row>
    <row r="843" spans="1:53" ht="90" customHeight="1">
      <c r="A843" s="1"/>
      <c r="B843" s="2"/>
      <c r="C843" s="3"/>
      <c r="D843" s="4"/>
      <c r="E843" s="5"/>
      <c r="F843" s="5"/>
      <c r="G843" s="5"/>
      <c r="H843" s="5"/>
      <c r="I843" s="5"/>
      <c r="J843" s="6"/>
      <c r="K843" s="261"/>
      <c r="L843" s="272"/>
      <c r="M843" s="261"/>
      <c r="N843" s="7"/>
      <c r="O843" s="8"/>
      <c r="P843" s="9"/>
      <c r="Q843" s="10"/>
      <c r="R843" s="11"/>
      <c r="S843" s="12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229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  <c r="AZ843" s="242"/>
      <c r="BA843" s="243"/>
    </row>
    <row r="844" spans="1:53" ht="90" customHeight="1">
      <c r="A844" s="1"/>
      <c r="B844" s="2"/>
      <c r="C844" s="3"/>
      <c r="D844" s="4"/>
      <c r="E844" s="5"/>
      <c r="F844" s="5"/>
      <c r="G844" s="5"/>
      <c r="H844" s="5"/>
      <c r="I844" s="5"/>
      <c r="J844" s="6"/>
      <c r="K844" s="261"/>
      <c r="L844" s="272"/>
      <c r="M844" s="261"/>
      <c r="N844" s="7"/>
      <c r="O844" s="8"/>
      <c r="P844" s="9"/>
      <c r="Q844" s="10"/>
      <c r="R844" s="11"/>
      <c r="S844" s="12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229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  <c r="AZ844" s="242"/>
      <c r="BA844" s="243"/>
    </row>
    <row r="845" spans="1:53" ht="90" customHeight="1">
      <c r="A845" s="1"/>
      <c r="B845" s="2"/>
      <c r="C845" s="3"/>
      <c r="D845" s="4"/>
      <c r="E845" s="5"/>
      <c r="F845" s="5"/>
      <c r="G845" s="5"/>
      <c r="H845" s="5"/>
      <c r="I845" s="5"/>
      <c r="J845" s="6"/>
      <c r="K845" s="261"/>
      <c r="L845" s="272"/>
      <c r="M845" s="261"/>
      <c r="N845" s="7"/>
      <c r="O845" s="8"/>
      <c r="P845" s="9"/>
      <c r="Q845" s="10"/>
      <c r="R845" s="11"/>
      <c r="S845" s="12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229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  <c r="AZ845" s="242"/>
      <c r="BA845" s="243"/>
    </row>
    <row r="846" spans="1:53" ht="90" customHeight="1">
      <c r="A846" s="1"/>
      <c r="B846" s="2"/>
      <c r="C846" s="3"/>
      <c r="D846" s="4"/>
      <c r="E846" s="5"/>
      <c r="F846" s="5"/>
      <c r="G846" s="5"/>
      <c r="H846" s="5"/>
      <c r="I846" s="5"/>
      <c r="J846" s="6"/>
      <c r="K846" s="261"/>
      <c r="L846" s="272"/>
      <c r="M846" s="261"/>
      <c r="N846" s="7"/>
      <c r="O846" s="8"/>
      <c r="P846" s="9"/>
      <c r="Q846" s="10"/>
      <c r="R846" s="11"/>
      <c r="S846" s="12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229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  <c r="AZ846" s="242"/>
      <c r="BA846" s="243"/>
    </row>
    <row r="847" spans="1:53" ht="90" customHeight="1">
      <c r="A847" s="1"/>
      <c r="B847" s="2"/>
      <c r="C847" s="3"/>
      <c r="D847" s="4"/>
      <c r="E847" s="5"/>
      <c r="F847" s="5"/>
      <c r="G847" s="5"/>
      <c r="H847" s="5"/>
      <c r="I847" s="5"/>
      <c r="J847" s="6"/>
      <c r="K847" s="261"/>
      <c r="L847" s="272"/>
      <c r="M847" s="261"/>
      <c r="N847" s="7"/>
      <c r="O847" s="8"/>
      <c r="P847" s="9"/>
      <c r="Q847" s="10"/>
      <c r="R847" s="11"/>
      <c r="S847" s="12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229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  <c r="AZ847" s="242"/>
      <c r="BA847" s="243"/>
    </row>
    <row r="848" spans="1:53" ht="90" customHeight="1">
      <c r="A848" s="1"/>
      <c r="B848" s="2"/>
      <c r="C848" s="3"/>
      <c r="D848" s="4"/>
      <c r="E848" s="5"/>
      <c r="F848" s="5"/>
      <c r="G848" s="5"/>
      <c r="H848" s="5"/>
      <c r="I848" s="5"/>
      <c r="J848" s="6"/>
      <c r="K848" s="261"/>
      <c r="L848" s="272"/>
      <c r="M848" s="261"/>
      <c r="N848" s="7"/>
      <c r="O848" s="8"/>
      <c r="P848" s="9"/>
      <c r="Q848" s="10"/>
      <c r="R848" s="11"/>
      <c r="S848" s="12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229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  <c r="AZ848" s="242"/>
      <c r="BA848" s="243"/>
    </row>
    <row r="849" spans="1:53" ht="90" customHeight="1">
      <c r="A849" s="1"/>
      <c r="B849" s="2"/>
      <c r="C849" s="3"/>
      <c r="D849" s="4"/>
      <c r="E849" s="5"/>
      <c r="F849" s="5"/>
      <c r="G849" s="5"/>
      <c r="H849" s="5"/>
      <c r="I849" s="5"/>
      <c r="J849" s="6"/>
      <c r="K849" s="261"/>
      <c r="L849" s="272"/>
      <c r="M849" s="261"/>
      <c r="N849" s="7"/>
      <c r="O849" s="8"/>
      <c r="P849" s="9"/>
      <c r="Q849" s="10"/>
      <c r="R849" s="11"/>
      <c r="S849" s="12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229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  <c r="AZ849" s="242"/>
      <c r="BA849" s="243"/>
    </row>
    <row r="850" spans="1:53" ht="90" customHeight="1">
      <c r="A850" s="1"/>
      <c r="B850" s="2"/>
      <c r="C850" s="3"/>
      <c r="D850" s="4"/>
      <c r="E850" s="5"/>
      <c r="F850" s="5"/>
      <c r="G850" s="5"/>
      <c r="H850" s="5"/>
      <c r="I850" s="5"/>
      <c r="J850" s="6"/>
      <c r="K850" s="261"/>
      <c r="L850" s="272"/>
      <c r="M850" s="261"/>
      <c r="N850" s="7"/>
      <c r="O850" s="8"/>
      <c r="P850" s="9"/>
      <c r="Q850" s="10"/>
      <c r="R850" s="11"/>
      <c r="S850" s="12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229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  <c r="AZ850" s="242"/>
      <c r="BA850" s="243"/>
    </row>
    <row r="851" spans="1:53" ht="90" customHeight="1">
      <c r="A851" s="1"/>
      <c r="B851" s="2"/>
      <c r="C851" s="3"/>
      <c r="D851" s="4"/>
      <c r="E851" s="5"/>
      <c r="F851" s="5"/>
      <c r="G851" s="5"/>
      <c r="H851" s="5"/>
      <c r="I851" s="5"/>
      <c r="J851" s="6"/>
      <c r="K851" s="261"/>
      <c r="L851" s="272"/>
      <c r="M851" s="261"/>
      <c r="N851" s="7"/>
      <c r="O851" s="8"/>
      <c r="P851" s="9"/>
      <c r="Q851" s="10"/>
      <c r="R851" s="11"/>
      <c r="S851" s="12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229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  <c r="AZ851" s="242"/>
      <c r="BA851" s="243"/>
    </row>
    <row r="852" spans="1:53" ht="90" customHeight="1">
      <c r="A852" s="1"/>
      <c r="B852" s="2"/>
      <c r="C852" s="3"/>
      <c r="D852" s="4"/>
      <c r="E852" s="5"/>
      <c r="F852" s="5"/>
      <c r="G852" s="5"/>
      <c r="H852" s="5"/>
      <c r="I852" s="5"/>
      <c r="J852" s="6"/>
      <c r="K852" s="261"/>
      <c r="L852" s="272"/>
      <c r="M852" s="261"/>
      <c r="N852" s="7"/>
      <c r="O852" s="8"/>
      <c r="P852" s="9"/>
      <c r="Q852" s="10"/>
      <c r="R852" s="11"/>
      <c r="S852" s="12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229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  <c r="AZ852" s="242"/>
      <c r="BA852" s="243"/>
    </row>
    <row r="853" spans="1:53" ht="90" customHeight="1">
      <c r="A853" s="1"/>
      <c r="B853" s="2"/>
      <c r="C853" s="3"/>
      <c r="D853" s="4"/>
      <c r="E853" s="5"/>
      <c r="F853" s="5"/>
      <c r="G853" s="5"/>
      <c r="H853" s="5"/>
      <c r="I853" s="5"/>
      <c r="J853" s="6"/>
      <c r="K853" s="261"/>
      <c r="L853" s="272"/>
      <c r="M853" s="261"/>
      <c r="N853" s="7"/>
      <c r="O853" s="8"/>
      <c r="P853" s="9"/>
      <c r="Q853" s="10"/>
      <c r="R853" s="11"/>
      <c r="S853" s="12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229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  <c r="AZ853" s="242"/>
      <c r="BA853" s="243"/>
    </row>
    <row r="854" spans="1:53" ht="90" customHeight="1">
      <c r="A854" s="1"/>
      <c r="B854" s="2"/>
      <c r="C854" s="3"/>
      <c r="D854" s="4"/>
      <c r="E854" s="5"/>
      <c r="F854" s="5"/>
      <c r="G854" s="5"/>
      <c r="H854" s="5"/>
      <c r="I854" s="5"/>
      <c r="J854" s="6"/>
      <c r="K854" s="261"/>
      <c r="L854" s="272"/>
      <c r="M854" s="261"/>
      <c r="N854" s="7"/>
      <c r="O854" s="8"/>
      <c r="P854" s="9"/>
      <c r="Q854" s="10"/>
      <c r="R854" s="11"/>
      <c r="S854" s="12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229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Z854" s="242"/>
      <c r="BA854" s="243"/>
    </row>
    <row r="855" spans="1:53" ht="90" customHeight="1">
      <c r="A855" s="1"/>
      <c r="B855" s="2"/>
      <c r="C855" s="3"/>
      <c r="D855" s="4"/>
      <c r="E855" s="5"/>
      <c r="F855" s="5"/>
      <c r="G855" s="5"/>
      <c r="H855" s="5"/>
      <c r="I855" s="5"/>
      <c r="J855" s="6"/>
      <c r="K855" s="261"/>
      <c r="L855" s="272"/>
      <c r="M855" s="261"/>
      <c r="N855" s="7"/>
      <c r="O855" s="8"/>
      <c r="P855" s="9"/>
      <c r="Q855" s="10"/>
      <c r="R855" s="11"/>
      <c r="S855" s="12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229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  <c r="AZ855" s="242"/>
      <c r="BA855" s="243"/>
    </row>
    <row r="856" spans="1:53" ht="90" customHeight="1">
      <c r="A856" s="1"/>
      <c r="B856" s="2"/>
      <c r="C856" s="3"/>
      <c r="D856" s="4"/>
      <c r="E856" s="5"/>
      <c r="F856" s="5"/>
      <c r="G856" s="5"/>
      <c r="H856" s="5"/>
      <c r="I856" s="5"/>
      <c r="J856" s="6"/>
      <c r="K856" s="261"/>
      <c r="L856" s="272"/>
      <c r="M856" s="261"/>
      <c r="N856" s="7"/>
      <c r="O856" s="8"/>
      <c r="P856" s="9"/>
      <c r="Q856" s="10"/>
      <c r="R856" s="11"/>
      <c r="S856" s="12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229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  <c r="AZ856" s="242"/>
      <c r="BA856" s="243"/>
    </row>
    <row r="857" spans="1:53" ht="90" customHeight="1">
      <c r="A857" s="1"/>
      <c r="B857" s="2"/>
      <c r="C857" s="3"/>
      <c r="D857" s="4"/>
      <c r="E857" s="5"/>
      <c r="F857" s="5"/>
      <c r="G857" s="5"/>
      <c r="H857" s="5"/>
      <c r="I857" s="5"/>
      <c r="J857" s="6"/>
      <c r="K857" s="261"/>
      <c r="L857" s="272"/>
      <c r="M857" s="261"/>
      <c r="N857" s="7"/>
      <c r="O857" s="8"/>
      <c r="P857" s="9"/>
      <c r="Q857" s="10"/>
      <c r="R857" s="11"/>
      <c r="S857" s="12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229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  <c r="AZ857" s="242"/>
      <c r="BA857" s="243"/>
    </row>
    <row r="858" spans="1:53" ht="90" customHeight="1">
      <c r="A858" s="1"/>
      <c r="B858" s="2"/>
      <c r="C858" s="3"/>
      <c r="D858" s="4"/>
      <c r="E858" s="5"/>
      <c r="F858" s="5"/>
      <c r="G858" s="5"/>
      <c r="H858" s="5"/>
      <c r="I858" s="5"/>
      <c r="J858" s="6"/>
      <c r="K858" s="261"/>
      <c r="L858" s="272"/>
      <c r="M858" s="261"/>
      <c r="N858" s="7"/>
      <c r="O858" s="8"/>
      <c r="P858" s="9"/>
      <c r="Q858" s="10"/>
      <c r="R858" s="11"/>
      <c r="S858" s="12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229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  <c r="AZ858" s="242"/>
      <c r="BA858" s="243"/>
    </row>
    <row r="859" spans="1:53" ht="90" customHeight="1">
      <c r="A859" s="1"/>
      <c r="B859" s="2"/>
      <c r="C859" s="3"/>
      <c r="D859" s="4"/>
      <c r="E859" s="5"/>
      <c r="F859" s="5"/>
      <c r="G859" s="5"/>
      <c r="H859" s="5"/>
      <c r="I859" s="5"/>
      <c r="J859" s="6"/>
      <c r="K859" s="261"/>
      <c r="L859" s="272"/>
      <c r="M859" s="261"/>
      <c r="N859" s="7"/>
      <c r="O859" s="8"/>
      <c r="P859" s="9"/>
      <c r="Q859" s="10"/>
      <c r="R859" s="11"/>
      <c r="S859" s="12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229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  <c r="AZ859" s="242"/>
      <c r="BA859" s="243"/>
    </row>
    <row r="860" spans="1:53" ht="90" customHeight="1">
      <c r="A860" s="1"/>
      <c r="B860" s="2"/>
      <c r="C860" s="3"/>
      <c r="D860" s="4"/>
      <c r="E860" s="5"/>
      <c r="F860" s="5"/>
      <c r="G860" s="5"/>
      <c r="H860" s="5"/>
      <c r="I860" s="5"/>
      <c r="J860" s="6"/>
      <c r="K860" s="261"/>
      <c r="L860" s="272"/>
      <c r="M860" s="261"/>
      <c r="N860" s="7"/>
      <c r="O860" s="8"/>
      <c r="P860" s="9"/>
      <c r="Q860" s="10"/>
      <c r="R860" s="11"/>
      <c r="S860" s="12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229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  <c r="AZ860" s="242"/>
      <c r="BA860" s="243"/>
    </row>
    <row r="861" spans="1:53" ht="90" customHeight="1">
      <c r="A861" s="1"/>
      <c r="B861" s="2"/>
      <c r="C861" s="3"/>
      <c r="D861" s="4"/>
      <c r="E861" s="5"/>
      <c r="F861" s="5"/>
      <c r="G861" s="5"/>
      <c r="H861" s="5"/>
      <c r="I861" s="5"/>
      <c r="J861" s="6"/>
      <c r="K861" s="261"/>
      <c r="L861" s="272"/>
      <c r="M861" s="261"/>
      <c r="N861" s="7"/>
      <c r="O861" s="8"/>
      <c r="P861" s="9"/>
      <c r="Q861" s="10"/>
      <c r="R861" s="11"/>
      <c r="S861" s="12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229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  <c r="AZ861" s="242"/>
      <c r="BA861" s="243"/>
    </row>
    <row r="862" spans="1:53" ht="90" customHeight="1">
      <c r="A862" s="1"/>
      <c r="B862" s="2"/>
      <c r="C862" s="3"/>
      <c r="D862" s="4"/>
      <c r="E862" s="5"/>
      <c r="F862" s="5"/>
      <c r="G862" s="5"/>
      <c r="H862" s="5"/>
      <c r="I862" s="5"/>
      <c r="J862" s="6"/>
      <c r="K862" s="261"/>
      <c r="L862" s="272"/>
      <c r="M862" s="261"/>
      <c r="N862" s="7"/>
      <c r="O862" s="8"/>
      <c r="P862" s="9"/>
      <c r="Q862" s="10"/>
      <c r="R862" s="11"/>
      <c r="S862" s="12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229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  <c r="AZ862" s="242"/>
      <c r="BA862" s="243"/>
    </row>
    <row r="863" spans="1:53" ht="90" customHeight="1">
      <c r="A863" s="1"/>
      <c r="B863" s="2"/>
      <c r="C863" s="3"/>
      <c r="D863" s="4"/>
      <c r="E863" s="5"/>
      <c r="F863" s="5"/>
      <c r="G863" s="5"/>
      <c r="H863" s="5"/>
      <c r="I863" s="5"/>
      <c r="J863" s="6"/>
      <c r="K863" s="261"/>
      <c r="L863" s="272"/>
      <c r="M863" s="261"/>
      <c r="N863" s="7"/>
      <c r="O863" s="8"/>
      <c r="P863" s="9"/>
      <c r="Q863" s="10"/>
      <c r="R863" s="11"/>
      <c r="S863" s="12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229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  <c r="AZ863" s="242"/>
      <c r="BA863" s="243"/>
    </row>
    <row r="864" spans="1:53" ht="90" customHeight="1">
      <c r="A864" s="1"/>
      <c r="B864" s="2"/>
      <c r="C864" s="3"/>
      <c r="D864" s="4"/>
      <c r="E864" s="5"/>
      <c r="F864" s="5"/>
      <c r="G864" s="5"/>
      <c r="H864" s="5"/>
      <c r="I864" s="5"/>
      <c r="J864" s="6"/>
      <c r="K864" s="261"/>
      <c r="L864" s="272"/>
      <c r="M864" s="261"/>
      <c r="N864" s="7"/>
      <c r="O864" s="8"/>
      <c r="P864" s="9"/>
      <c r="Q864" s="10"/>
      <c r="R864" s="11"/>
      <c r="S864" s="12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229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  <c r="AZ864" s="242"/>
      <c r="BA864" s="243"/>
    </row>
    <row r="865" spans="1:53" ht="90" customHeight="1">
      <c r="A865" s="1"/>
      <c r="B865" s="2"/>
      <c r="C865" s="3"/>
      <c r="D865" s="4"/>
      <c r="E865" s="5"/>
      <c r="F865" s="5"/>
      <c r="G865" s="5"/>
      <c r="H865" s="5"/>
      <c r="I865" s="5"/>
      <c r="J865" s="6"/>
      <c r="K865" s="261"/>
      <c r="L865" s="272"/>
      <c r="M865" s="261"/>
      <c r="N865" s="7"/>
      <c r="O865" s="8"/>
      <c r="P865" s="9"/>
      <c r="Q865" s="10"/>
      <c r="R865" s="11"/>
      <c r="S865" s="12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229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  <c r="AZ865" s="242"/>
      <c r="BA865" s="243"/>
    </row>
    <row r="866" spans="1:53" ht="90" customHeight="1">
      <c r="A866" s="1"/>
      <c r="B866" s="2"/>
      <c r="C866" s="3"/>
      <c r="D866" s="4"/>
      <c r="E866" s="5"/>
      <c r="F866" s="5"/>
      <c r="G866" s="5"/>
      <c r="H866" s="5"/>
      <c r="I866" s="5"/>
      <c r="J866" s="6"/>
      <c r="K866" s="261"/>
      <c r="L866" s="272"/>
      <c r="M866" s="261"/>
      <c r="N866" s="7"/>
      <c r="O866" s="8"/>
      <c r="P866" s="9"/>
      <c r="Q866" s="10"/>
      <c r="R866" s="11"/>
      <c r="S866" s="12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229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  <c r="AZ866" s="242"/>
      <c r="BA866" s="243"/>
    </row>
    <row r="867" spans="1:53" ht="90" customHeight="1">
      <c r="A867" s="1"/>
      <c r="B867" s="2"/>
      <c r="C867" s="3"/>
      <c r="D867" s="4"/>
      <c r="E867" s="5"/>
      <c r="F867" s="5"/>
      <c r="G867" s="5"/>
      <c r="H867" s="5"/>
      <c r="I867" s="5"/>
      <c r="J867" s="6"/>
      <c r="K867" s="261"/>
      <c r="L867" s="272"/>
      <c r="M867" s="261"/>
      <c r="N867" s="7"/>
      <c r="O867" s="8"/>
      <c r="P867" s="9"/>
      <c r="Q867" s="10"/>
      <c r="R867" s="11"/>
      <c r="S867" s="12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229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  <c r="AZ867" s="242"/>
      <c r="BA867" s="243"/>
    </row>
    <row r="868" spans="1:53" ht="90" customHeight="1">
      <c r="A868" s="1"/>
      <c r="B868" s="2"/>
      <c r="C868" s="3"/>
      <c r="D868" s="4"/>
      <c r="E868" s="5"/>
      <c r="F868" s="5"/>
      <c r="G868" s="5"/>
      <c r="H868" s="5"/>
      <c r="I868" s="5"/>
      <c r="J868" s="6"/>
      <c r="K868" s="261"/>
      <c r="L868" s="272"/>
      <c r="M868" s="261"/>
      <c r="N868" s="7"/>
      <c r="O868" s="8"/>
      <c r="P868" s="9"/>
      <c r="Q868" s="10"/>
      <c r="R868" s="11"/>
      <c r="S868" s="12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229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  <c r="AZ868" s="242"/>
      <c r="BA868" s="243"/>
    </row>
    <row r="869" spans="1:53" ht="90" customHeight="1">
      <c r="A869" s="1"/>
      <c r="B869" s="2"/>
      <c r="C869" s="3"/>
      <c r="D869" s="4"/>
      <c r="E869" s="5"/>
      <c r="F869" s="5"/>
      <c r="G869" s="5"/>
      <c r="H869" s="5"/>
      <c r="I869" s="5"/>
      <c r="J869" s="6"/>
      <c r="K869" s="261"/>
      <c r="L869" s="272"/>
      <c r="M869" s="261"/>
      <c r="N869" s="7"/>
      <c r="O869" s="8"/>
      <c r="P869" s="9"/>
      <c r="Q869" s="10"/>
      <c r="R869" s="11"/>
      <c r="S869" s="12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229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  <c r="AZ869" s="242"/>
      <c r="BA869" s="243"/>
    </row>
    <row r="870" spans="1:53" ht="90" customHeight="1">
      <c r="A870" s="1"/>
      <c r="B870" s="2"/>
      <c r="C870" s="3"/>
      <c r="D870" s="4"/>
      <c r="E870" s="5"/>
      <c r="F870" s="5"/>
      <c r="G870" s="5"/>
      <c r="H870" s="5"/>
      <c r="I870" s="5"/>
      <c r="J870" s="6"/>
      <c r="K870" s="261"/>
      <c r="L870" s="272"/>
      <c r="M870" s="261"/>
      <c r="N870" s="7"/>
      <c r="O870" s="8"/>
      <c r="P870" s="9"/>
      <c r="Q870" s="10"/>
      <c r="R870" s="11"/>
      <c r="S870" s="12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229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Z870" s="242"/>
      <c r="BA870" s="243"/>
    </row>
    <row r="871" spans="1:53" ht="90" customHeight="1">
      <c r="A871" s="1"/>
      <c r="B871" s="2"/>
      <c r="C871" s="3"/>
      <c r="D871" s="4"/>
      <c r="E871" s="5"/>
      <c r="F871" s="5"/>
      <c r="G871" s="5"/>
      <c r="H871" s="5"/>
      <c r="I871" s="5"/>
      <c r="J871" s="6"/>
      <c r="K871" s="261"/>
      <c r="L871" s="272"/>
      <c r="M871" s="261"/>
      <c r="N871" s="7"/>
      <c r="O871" s="8"/>
      <c r="P871" s="9"/>
      <c r="Q871" s="10"/>
      <c r="R871" s="11"/>
      <c r="S871" s="12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229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  <c r="AZ871" s="242"/>
      <c r="BA871" s="243"/>
    </row>
    <row r="872" spans="1:53" ht="90" customHeight="1">
      <c r="A872" s="1"/>
      <c r="B872" s="2"/>
      <c r="C872" s="3"/>
      <c r="D872" s="4"/>
      <c r="E872" s="5"/>
      <c r="F872" s="5"/>
      <c r="G872" s="5"/>
      <c r="H872" s="5"/>
      <c r="I872" s="5"/>
      <c r="J872" s="6"/>
      <c r="K872" s="261"/>
      <c r="L872" s="272"/>
      <c r="M872" s="261"/>
      <c r="N872" s="7"/>
      <c r="O872" s="8"/>
      <c r="P872" s="9"/>
      <c r="Q872" s="10"/>
      <c r="R872" s="11"/>
      <c r="S872" s="12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229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  <c r="AZ872" s="242"/>
      <c r="BA872" s="243"/>
    </row>
    <row r="873" spans="1:53" ht="90" customHeight="1">
      <c r="A873" s="1"/>
      <c r="B873" s="2"/>
      <c r="C873" s="3"/>
      <c r="D873" s="4"/>
      <c r="E873" s="5"/>
      <c r="F873" s="5"/>
      <c r="G873" s="5"/>
      <c r="H873" s="5"/>
      <c r="I873" s="5"/>
      <c r="J873" s="6"/>
      <c r="K873" s="261"/>
      <c r="L873" s="272"/>
      <c r="M873" s="261"/>
      <c r="N873" s="7"/>
      <c r="O873" s="8"/>
      <c r="P873" s="9"/>
      <c r="Q873" s="10"/>
      <c r="R873" s="11"/>
      <c r="S873" s="12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229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  <c r="AZ873" s="242"/>
      <c r="BA873" s="243"/>
    </row>
    <row r="874" spans="1:53" ht="90" customHeight="1">
      <c r="A874" s="1"/>
      <c r="B874" s="2"/>
      <c r="C874" s="3"/>
      <c r="D874" s="4"/>
      <c r="E874" s="5"/>
      <c r="F874" s="5"/>
      <c r="G874" s="5"/>
      <c r="H874" s="5"/>
      <c r="I874" s="5"/>
      <c r="J874" s="6"/>
      <c r="K874" s="261"/>
      <c r="L874" s="272"/>
      <c r="M874" s="261"/>
      <c r="N874" s="7"/>
      <c r="O874" s="8"/>
      <c r="P874" s="9"/>
      <c r="Q874" s="10"/>
      <c r="R874" s="11"/>
      <c r="S874" s="12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229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  <c r="AZ874" s="242"/>
      <c r="BA874" s="243"/>
    </row>
    <row r="875" spans="1:53" ht="90" customHeight="1">
      <c r="A875" s="1"/>
      <c r="B875" s="2"/>
      <c r="C875" s="3"/>
      <c r="D875" s="4"/>
      <c r="E875" s="5"/>
      <c r="F875" s="5"/>
      <c r="G875" s="5"/>
      <c r="H875" s="5"/>
      <c r="I875" s="5"/>
      <c r="J875" s="6"/>
      <c r="K875" s="261"/>
      <c r="L875" s="272"/>
      <c r="M875" s="261"/>
      <c r="N875" s="7"/>
      <c r="O875" s="8"/>
      <c r="P875" s="9"/>
      <c r="Q875" s="10"/>
      <c r="R875" s="11"/>
      <c r="S875" s="12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229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  <c r="AZ875" s="242"/>
      <c r="BA875" s="243"/>
    </row>
    <row r="876" spans="1:53" ht="90" customHeight="1">
      <c r="A876" s="1"/>
      <c r="B876" s="2"/>
      <c r="C876" s="3"/>
      <c r="D876" s="4"/>
      <c r="E876" s="5"/>
      <c r="F876" s="5"/>
      <c r="G876" s="5"/>
      <c r="H876" s="5"/>
      <c r="I876" s="5"/>
      <c r="J876" s="6"/>
      <c r="K876" s="261"/>
      <c r="L876" s="272"/>
      <c r="M876" s="261"/>
      <c r="N876" s="7"/>
      <c r="O876" s="8"/>
      <c r="P876" s="9"/>
      <c r="Q876" s="10"/>
      <c r="R876" s="11"/>
      <c r="S876" s="12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229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  <c r="AZ876" s="242"/>
      <c r="BA876" s="243"/>
    </row>
    <row r="877" spans="1:53" ht="90" customHeight="1">
      <c r="A877" s="1"/>
      <c r="B877" s="2"/>
      <c r="C877" s="3"/>
      <c r="D877" s="4"/>
      <c r="E877" s="5"/>
      <c r="F877" s="5"/>
      <c r="G877" s="5"/>
      <c r="H877" s="5"/>
      <c r="I877" s="5"/>
      <c r="J877" s="6"/>
      <c r="K877" s="261"/>
      <c r="L877" s="272"/>
      <c r="M877" s="261"/>
      <c r="N877" s="7"/>
      <c r="O877" s="8"/>
      <c r="P877" s="9"/>
      <c r="Q877" s="10"/>
      <c r="R877" s="11"/>
      <c r="S877" s="12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229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  <c r="AZ877" s="242"/>
      <c r="BA877" s="243"/>
    </row>
    <row r="878" spans="1:53" ht="90" customHeight="1">
      <c r="A878" s="1"/>
      <c r="B878" s="2"/>
      <c r="C878" s="3"/>
      <c r="D878" s="4"/>
      <c r="E878" s="5"/>
      <c r="F878" s="5"/>
      <c r="G878" s="5"/>
      <c r="H878" s="5"/>
      <c r="I878" s="5"/>
      <c r="J878" s="6"/>
      <c r="K878" s="261"/>
      <c r="L878" s="272"/>
      <c r="M878" s="261"/>
      <c r="N878" s="7"/>
      <c r="O878" s="8"/>
      <c r="P878" s="9"/>
      <c r="Q878" s="10"/>
      <c r="R878" s="11"/>
      <c r="S878" s="12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229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  <c r="AZ878" s="242"/>
      <c r="BA878" s="243"/>
    </row>
    <row r="879" spans="1:53" ht="90" customHeight="1">
      <c r="A879" s="1"/>
      <c r="B879" s="2"/>
      <c r="C879" s="3"/>
      <c r="D879" s="4"/>
      <c r="E879" s="5"/>
      <c r="F879" s="5"/>
      <c r="G879" s="5"/>
      <c r="H879" s="5"/>
      <c r="I879" s="5"/>
      <c r="J879" s="6"/>
      <c r="K879" s="261"/>
      <c r="L879" s="272"/>
      <c r="M879" s="261"/>
      <c r="N879" s="7"/>
      <c r="O879" s="8"/>
      <c r="P879" s="9"/>
      <c r="Q879" s="10"/>
      <c r="R879" s="11"/>
      <c r="S879" s="12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229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  <c r="AZ879" s="242"/>
      <c r="BA879" s="243"/>
    </row>
    <row r="880" spans="1:53" ht="90" customHeight="1">
      <c r="A880" s="1"/>
      <c r="B880" s="2"/>
      <c r="C880" s="3"/>
      <c r="D880" s="4"/>
      <c r="E880" s="5"/>
      <c r="F880" s="5"/>
      <c r="G880" s="5"/>
      <c r="H880" s="5"/>
      <c r="I880" s="5"/>
      <c r="J880" s="6"/>
      <c r="K880" s="261"/>
      <c r="L880" s="272"/>
      <c r="M880" s="261"/>
      <c r="N880" s="7"/>
      <c r="O880" s="8"/>
      <c r="P880" s="9"/>
      <c r="Q880" s="10"/>
      <c r="R880" s="11"/>
      <c r="S880" s="12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229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  <c r="AZ880" s="242"/>
      <c r="BA880" s="243"/>
    </row>
    <row r="881" spans="1:53" ht="90" customHeight="1">
      <c r="A881" s="1"/>
      <c r="B881" s="2"/>
      <c r="C881" s="3"/>
      <c r="D881" s="4"/>
      <c r="E881" s="5"/>
      <c r="F881" s="5"/>
      <c r="G881" s="5"/>
      <c r="H881" s="5"/>
      <c r="I881" s="5"/>
      <c r="J881" s="6"/>
      <c r="K881" s="261"/>
      <c r="L881" s="272"/>
      <c r="M881" s="261"/>
      <c r="N881" s="7"/>
      <c r="O881" s="8"/>
      <c r="P881" s="9"/>
      <c r="Q881" s="10"/>
      <c r="R881" s="11"/>
      <c r="S881" s="12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229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  <c r="AZ881" s="242"/>
      <c r="BA881" s="243"/>
    </row>
    <row r="882" spans="1:53" ht="90" customHeight="1">
      <c r="A882" s="1"/>
      <c r="B882" s="2"/>
      <c r="C882" s="3"/>
      <c r="D882" s="4"/>
      <c r="E882" s="5"/>
      <c r="F882" s="5"/>
      <c r="G882" s="5"/>
      <c r="H882" s="5"/>
      <c r="I882" s="5"/>
      <c r="J882" s="6"/>
      <c r="K882" s="261"/>
      <c r="L882" s="272"/>
      <c r="M882" s="261"/>
      <c r="N882" s="7"/>
      <c r="O882" s="8"/>
      <c r="P882" s="9"/>
      <c r="Q882" s="10"/>
      <c r="R882" s="11"/>
      <c r="S882" s="12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229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  <c r="AZ882" s="242"/>
      <c r="BA882" s="243"/>
    </row>
    <row r="883" spans="1:53" ht="90" customHeight="1">
      <c r="A883" s="1"/>
      <c r="B883" s="2"/>
      <c r="C883" s="3"/>
      <c r="D883" s="4"/>
      <c r="E883" s="5"/>
      <c r="F883" s="5"/>
      <c r="G883" s="5"/>
      <c r="H883" s="5"/>
      <c r="I883" s="5"/>
      <c r="J883" s="6"/>
      <c r="K883" s="261"/>
      <c r="L883" s="272"/>
      <c r="M883" s="261"/>
      <c r="N883" s="7"/>
      <c r="O883" s="8"/>
      <c r="P883" s="9"/>
      <c r="Q883" s="10"/>
      <c r="R883" s="11"/>
      <c r="S883" s="12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229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Z883" s="242"/>
      <c r="BA883" s="243"/>
    </row>
    <row r="884" spans="1:53" ht="90" customHeight="1">
      <c r="A884" s="1"/>
      <c r="B884" s="2"/>
      <c r="C884" s="3"/>
      <c r="D884" s="4"/>
      <c r="E884" s="5"/>
      <c r="F884" s="5"/>
      <c r="G884" s="5"/>
      <c r="H884" s="5"/>
      <c r="I884" s="5"/>
      <c r="J884" s="6"/>
      <c r="K884" s="261"/>
      <c r="L884" s="272"/>
      <c r="M884" s="261"/>
      <c r="N884" s="7"/>
      <c r="O884" s="8"/>
      <c r="P884" s="9"/>
      <c r="Q884" s="10"/>
      <c r="R884" s="11"/>
      <c r="S884" s="12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229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Z884" s="242"/>
      <c r="BA884" s="243"/>
    </row>
    <row r="885" spans="1:53" ht="90" customHeight="1">
      <c r="A885" s="1"/>
      <c r="B885" s="2"/>
      <c r="C885" s="3"/>
      <c r="D885" s="4"/>
      <c r="E885" s="5"/>
      <c r="F885" s="5"/>
      <c r="G885" s="5"/>
      <c r="H885" s="5"/>
      <c r="I885" s="5"/>
      <c r="J885" s="6"/>
      <c r="K885" s="261"/>
      <c r="L885" s="272"/>
      <c r="M885" s="261"/>
      <c r="N885" s="7"/>
      <c r="O885" s="8"/>
      <c r="P885" s="9"/>
      <c r="Q885" s="10"/>
      <c r="R885" s="11"/>
      <c r="S885" s="12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229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  <c r="AZ885" s="242"/>
      <c r="BA885" s="243"/>
    </row>
    <row r="886" spans="1:53" ht="90" customHeight="1">
      <c r="A886" s="1"/>
      <c r="B886" s="2"/>
      <c r="C886" s="3"/>
      <c r="D886" s="4"/>
      <c r="E886" s="5"/>
      <c r="F886" s="5"/>
      <c r="G886" s="5"/>
      <c r="H886" s="5"/>
      <c r="I886" s="5"/>
      <c r="J886" s="6"/>
      <c r="K886" s="261"/>
      <c r="L886" s="272"/>
      <c r="M886" s="261"/>
      <c r="N886" s="7"/>
      <c r="O886" s="8"/>
      <c r="P886" s="9"/>
      <c r="Q886" s="10"/>
      <c r="R886" s="11"/>
      <c r="S886" s="12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229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  <c r="AZ886" s="242"/>
      <c r="BA886" s="243"/>
    </row>
    <row r="887" spans="1:53" ht="90" customHeight="1">
      <c r="A887" s="1"/>
      <c r="B887" s="2"/>
      <c r="C887" s="3"/>
      <c r="D887" s="4"/>
      <c r="E887" s="5"/>
      <c r="F887" s="5"/>
      <c r="G887" s="5"/>
      <c r="H887" s="5"/>
      <c r="I887" s="5"/>
      <c r="J887" s="6"/>
      <c r="K887" s="261"/>
      <c r="L887" s="272"/>
      <c r="M887" s="261"/>
      <c r="N887" s="7"/>
      <c r="O887" s="8"/>
      <c r="P887" s="9"/>
      <c r="Q887" s="10"/>
      <c r="R887" s="11"/>
      <c r="S887" s="12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229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Z887" s="242"/>
      <c r="BA887" s="243"/>
    </row>
    <row r="888" spans="1:53" ht="90" customHeight="1">
      <c r="A888" s="1"/>
      <c r="B888" s="2"/>
      <c r="C888" s="3"/>
      <c r="D888" s="4"/>
      <c r="E888" s="5"/>
      <c r="F888" s="5"/>
      <c r="G888" s="5"/>
      <c r="H888" s="5"/>
      <c r="I888" s="5"/>
      <c r="J888" s="6"/>
      <c r="K888" s="261"/>
      <c r="L888" s="272"/>
      <c r="M888" s="261"/>
      <c r="N888" s="7"/>
      <c r="O888" s="8"/>
      <c r="P888" s="9"/>
      <c r="Q888" s="10"/>
      <c r="R888" s="11"/>
      <c r="S888" s="12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229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Z888" s="242"/>
      <c r="BA888" s="243"/>
    </row>
    <row r="889" spans="1:53" ht="90" customHeight="1">
      <c r="A889" s="1"/>
      <c r="B889" s="2"/>
      <c r="C889" s="3"/>
      <c r="D889" s="4"/>
      <c r="E889" s="5"/>
      <c r="F889" s="5"/>
      <c r="G889" s="5"/>
      <c r="H889" s="5"/>
      <c r="I889" s="5"/>
      <c r="J889" s="6"/>
      <c r="K889" s="261"/>
      <c r="L889" s="272"/>
      <c r="M889" s="261"/>
      <c r="N889" s="7"/>
      <c r="O889" s="8"/>
      <c r="P889" s="9"/>
      <c r="Q889" s="10"/>
      <c r="R889" s="11"/>
      <c r="S889" s="12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229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Z889" s="242"/>
      <c r="BA889" s="243"/>
    </row>
    <row r="890" spans="1:53" ht="90" customHeight="1">
      <c r="A890" s="1"/>
      <c r="B890" s="2"/>
      <c r="C890" s="3"/>
      <c r="D890" s="4"/>
      <c r="E890" s="5"/>
      <c r="F890" s="5"/>
      <c r="G890" s="5"/>
      <c r="H890" s="5"/>
      <c r="I890" s="5"/>
      <c r="J890" s="6"/>
      <c r="K890" s="261"/>
      <c r="L890" s="272"/>
      <c r="M890" s="261"/>
      <c r="N890" s="7"/>
      <c r="O890" s="8"/>
      <c r="P890" s="9"/>
      <c r="Q890" s="10"/>
      <c r="R890" s="11"/>
      <c r="S890" s="12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229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Z890" s="242"/>
      <c r="BA890" s="243"/>
    </row>
    <row r="891" spans="1:53" ht="90" customHeight="1">
      <c r="A891" s="1"/>
      <c r="B891" s="2"/>
      <c r="C891" s="3"/>
      <c r="D891" s="4"/>
      <c r="E891" s="5"/>
      <c r="F891" s="5"/>
      <c r="G891" s="5"/>
      <c r="H891" s="5"/>
      <c r="I891" s="5"/>
      <c r="J891" s="6"/>
      <c r="K891" s="261"/>
      <c r="L891" s="272"/>
      <c r="M891" s="261"/>
      <c r="N891" s="7"/>
      <c r="O891" s="8"/>
      <c r="P891" s="9"/>
      <c r="Q891" s="10"/>
      <c r="R891" s="11"/>
      <c r="S891" s="12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229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Z891" s="242"/>
      <c r="BA891" s="243"/>
    </row>
    <row r="892" spans="1:53" ht="90" customHeight="1">
      <c r="A892" s="1"/>
      <c r="B892" s="2"/>
      <c r="C892" s="3"/>
      <c r="D892" s="4"/>
      <c r="E892" s="5"/>
      <c r="F892" s="5"/>
      <c r="G892" s="5"/>
      <c r="H892" s="5"/>
      <c r="I892" s="5"/>
      <c r="J892" s="6"/>
      <c r="K892" s="261"/>
      <c r="L892" s="272"/>
      <c r="M892" s="261"/>
      <c r="N892" s="7"/>
      <c r="O892" s="8"/>
      <c r="P892" s="9"/>
      <c r="Q892" s="10"/>
      <c r="R892" s="11"/>
      <c r="S892" s="12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229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  <c r="AZ892" s="242"/>
      <c r="BA892" s="243"/>
    </row>
    <row r="893" spans="1:53" ht="90" customHeight="1">
      <c r="A893" s="1"/>
      <c r="B893" s="2"/>
      <c r="C893" s="3"/>
      <c r="D893" s="4"/>
      <c r="E893" s="5"/>
      <c r="F893" s="5"/>
      <c r="G893" s="5"/>
      <c r="H893" s="5"/>
      <c r="I893" s="5"/>
      <c r="J893" s="6"/>
      <c r="K893" s="261"/>
      <c r="L893" s="272"/>
      <c r="M893" s="261"/>
      <c r="N893" s="7"/>
      <c r="O893" s="8"/>
      <c r="P893" s="9"/>
      <c r="Q893" s="10"/>
      <c r="R893" s="11"/>
      <c r="S893" s="12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229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  <c r="AZ893" s="242"/>
      <c r="BA893" s="243"/>
    </row>
    <row r="894" spans="1:53" ht="90" customHeight="1">
      <c r="A894" s="1"/>
      <c r="B894" s="2"/>
      <c r="C894" s="3"/>
      <c r="D894" s="4"/>
      <c r="E894" s="5"/>
      <c r="F894" s="5"/>
      <c r="G894" s="5"/>
      <c r="H894" s="5"/>
      <c r="I894" s="5"/>
      <c r="J894" s="6"/>
      <c r="K894" s="261"/>
      <c r="L894" s="272"/>
      <c r="M894" s="261"/>
      <c r="N894" s="7"/>
      <c r="O894" s="8"/>
      <c r="P894" s="9"/>
      <c r="Q894" s="10"/>
      <c r="R894" s="11"/>
      <c r="S894" s="12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229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  <c r="AZ894" s="242"/>
      <c r="BA894" s="243"/>
    </row>
    <row r="895" spans="1:53" ht="90" customHeight="1">
      <c r="A895" s="1"/>
      <c r="B895" s="2"/>
      <c r="C895" s="3"/>
      <c r="D895" s="4"/>
      <c r="E895" s="5"/>
      <c r="F895" s="5"/>
      <c r="G895" s="5"/>
      <c r="H895" s="5"/>
      <c r="I895" s="5"/>
      <c r="J895" s="6"/>
      <c r="K895" s="261"/>
      <c r="L895" s="272"/>
      <c r="M895" s="261"/>
      <c r="N895" s="7"/>
      <c r="O895" s="8"/>
      <c r="P895" s="9"/>
      <c r="Q895" s="10"/>
      <c r="R895" s="11"/>
      <c r="S895" s="12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229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  <c r="AZ895" s="242"/>
      <c r="BA895" s="243"/>
    </row>
    <row r="896" spans="1:53" ht="90" customHeight="1">
      <c r="A896" s="1"/>
      <c r="B896" s="2"/>
      <c r="C896" s="3"/>
      <c r="D896" s="4"/>
      <c r="E896" s="5"/>
      <c r="F896" s="5"/>
      <c r="G896" s="5"/>
      <c r="H896" s="5"/>
      <c r="I896" s="5"/>
      <c r="J896" s="6"/>
      <c r="K896" s="261"/>
      <c r="L896" s="272"/>
      <c r="M896" s="261"/>
      <c r="N896" s="7"/>
      <c r="O896" s="8"/>
      <c r="P896" s="9"/>
      <c r="Q896" s="10"/>
      <c r="R896" s="11"/>
      <c r="S896" s="12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229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  <c r="AZ896" s="242"/>
      <c r="BA896" s="243"/>
    </row>
    <row r="897" spans="1:53" ht="90" customHeight="1">
      <c r="A897" s="1"/>
      <c r="B897" s="2"/>
      <c r="C897" s="3"/>
      <c r="D897" s="4"/>
      <c r="E897" s="5"/>
      <c r="F897" s="5"/>
      <c r="G897" s="5"/>
      <c r="H897" s="5"/>
      <c r="I897" s="5"/>
      <c r="J897" s="6"/>
      <c r="K897" s="261"/>
      <c r="L897" s="272"/>
      <c r="M897" s="261"/>
      <c r="N897" s="7"/>
      <c r="O897" s="8"/>
      <c r="P897" s="9"/>
      <c r="Q897" s="10"/>
      <c r="R897" s="11"/>
      <c r="S897" s="12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229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  <c r="AZ897" s="242"/>
      <c r="BA897" s="243"/>
    </row>
    <row r="898" spans="1:53" ht="90" customHeight="1">
      <c r="A898" s="1"/>
      <c r="B898" s="2"/>
      <c r="C898" s="3"/>
      <c r="D898" s="4"/>
      <c r="E898" s="5"/>
      <c r="F898" s="5"/>
      <c r="G898" s="5"/>
      <c r="H898" s="5"/>
      <c r="I898" s="5"/>
      <c r="J898" s="6"/>
      <c r="K898" s="261"/>
      <c r="L898" s="272"/>
      <c r="M898" s="261"/>
      <c r="N898" s="7"/>
      <c r="O898" s="8"/>
      <c r="P898" s="9"/>
      <c r="Q898" s="10"/>
      <c r="R898" s="11"/>
      <c r="S898" s="12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229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  <c r="AZ898" s="242"/>
      <c r="BA898" s="243"/>
    </row>
    <row r="899" spans="1:53" ht="90" customHeight="1">
      <c r="A899" s="1"/>
      <c r="B899" s="2"/>
      <c r="C899" s="3"/>
      <c r="D899" s="4"/>
      <c r="E899" s="5"/>
      <c r="F899" s="5"/>
      <c r="G899" s="5"/>
      <c r="H899" s="5"/>
      <c r="I899" s="5"/>
      <c r="J899" s="6"/>
      <c r="K899" s="261"/>
      <c r="L899" s="272"/>
      <c r="M899" s="261"/>
      <c r="N899" s="7"/>
      <c r="O899" s="8"/>
      <c r="P899" s="9"/>
      <c r="Q899" s="10"/>
      <c r="R899" s="11"/>
      <c r="S899" s="12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229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  <c r="AZ899" s="242"/>
      <c r="BA899" s="243"/>
    </row>
    <row r="900" spans="1:53" ht="90" customHeight="1">
      <c r="A900" s="1"/>
      <c r="B900" s="2"/>
      <c r="C900" s="3"/>
      <c r="D900" s="4"/>
      <c r="E900" s="5"/>
      <c r="F900" s="5"/>
      <c r="G900" s="5"/>
      <c r="H900" s="5"/>
      <c r="I900" s="5"/>
      <c r="J900" s="6"/>
      <c r="K900" s="261"/>
      <c r="L900" s="272"/>
      <c r="M900" s="261"/>
      <c r="N900" s="7"/>
      <c r="O900" s="8"/>
      <c r="P900" s="9"/>
      <c r="Q900" s="10"/>
      <c r="R900" s="11"/>
      <c r="S900" s="12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229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  <c r="AZ900" s="242"/>
      <c r="BA900" s="243"/>
    </row>
    <row r="901" spans="1:53" ht="90" customHeight="1">
      <c r="A901" s="1"/>
      <c r="B901" s="2"/>
      <c r="C901" s="3"/>
      <c r="D901" s="4"/>
      <c r="E901" s="5"/>
      <c r="F901" s="5"/>
      <c r="G901" s="5"/>
      <c r="H901" s="5"/>
      <c r="I901" s="5"/>
      <c r="J901" s="6"/>
      <c r="K901" s="261"/>
      <c r="L901" s="272"/>
      <c r="M901" s="261"/>
      <c r="N901" s="7"/>
      <c r="O901" s="8"/>
      <c r="P901" s="9"/>
      <c r="Q901" s="10"/>
      <c r="R901" s="11"/>
      <c r="S901" s="12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229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  <c r="AZ901" s="242"/>
      <c r="BA901" s="243"/>
    </row>
    <row r="902" spans="1:53" ht="90" customHeight="1">
      <c r="A902" s="1"/>
      <c r="B902" s="2"/>
      <c r="C902" s="3"/>
      <c r="D902" s="4"/>
      <c r="E902" s="5"/>
      <c r="F902" s="5"/>
      <c r="G902" s="5"/>
      <c r="H902" s="5"/>
      <c r="I902" s="5"/>
      <c r="J902" s="6"/>
      <c r="K902" s="261"/>
      <c r="L902" s="272"/>
      <c r="M902" s="261"/>
      <c r="N902" s="7"/>
      <c r="O902" s="8"/>
      <c r="P902" s="9"/>
      <c r="Q902" s="10"/>
      <c r="R902" s="11"/>
      <c r="S902" s="12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229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  <c r="AZ902" s="242"/>
      <c r="BA902" s="243"/>
    </row>
    <row r="903" spans="1:53" ht="90" customHeight="1">
      <c r="A903" s="1"/>
      <c r="B903" s="2"/>
      <c r="C903" s="3"/>
      <c r="D903" s="4"/>
      <c r="E903" s="5"/>
      <c r="F903" s="5"/>
      <c r="G903" s="5"/>
      <c r="H903" s="5"/>
      <c r="I903" s="5"/>
      <c r="J903" s="6"/>
      <c r="K903" s="261"/>
      <c r="L903" s="272"/>
      <c r="M903" s="261"/>
      <c r="N903" s="7"/>
      <c r="O903" s="8"/>
      <c r="P903" s="9"/>
      <c r="Q903" s="10"/>
      <c r="R903" s="11"/>
      <c r="S903" s="12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229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  <c r="AZ903" s="242"/>
      <c r="BA903" s="243"/>
    </row>
    <row r="904" spans="1:53" ht="90" customHeight="1">
      <c r="A904" s="1"/>
      <c r="B904" s="2"/>
      <c r="C904" s="3"/>
      <c r="D904" s="4"/>
      <c r="E904" s="5"/>
      <c r="F904" s="5"/>
      <c r="G904" s="5"/>
      <c r="H904" s="5"/>
      <c r="I904" s="5"/>
      <c r="J904" s="6"/>
      <c r="K904" s="261"/>
      <c r="L904" s="272"/>
      <c r="M904" s="261"/>
      <c r="N904" s="7"/>
      <c r="O904" s="8"/>
      <c r="P904" s="9"/>
      <c r="Q904" s="10"/>
      <c r="R904" s="11"/>
      <c r="S904" s="12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229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  <c r="AZ904" s="242"/>
      <c r="BA904" s="243"/>
    </row>
    <row r="905" spans="1:53" ht="90" customHeight="1">
      <c r="A905" s="1"/>
      <c r="B905" s="2"/>
      <c r="C905" s="3"/>
      <c r="D905" s="4"/>
      <c r="E905" s="5"/>
      <c r="F905" s="5"/>
      <c r="G905" s="5"/>
      <c r="H905" s="5"/>
      <c r="I905" s="5"/>
      <c r="J905" s="6"/>
      <c r="K905" s="261"/>
      <c r="L905" s="272"/>
      <c r="M905" s="261"/>
      <c r="N905" s="7"/>
      <c r="O905" s="8"/>
      <c r="P905" s="9"/>
      <c r="Q905" s="10"/>
      <c r="R905" s="11"/>
      <c r="S905" s="12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229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  <c r="AZ905" s="242"/>
      <c r="BA905" s="243"/>
    </row>
    <row r="906" spans="1:53" ht="90" customHeight="1">
      <c r="A906" s="1"/>
      <c r="B906" s="2"/>
      <c r="C906" s="3"/>
      <c r="D906" s="4"/>
      <c r="E906" s="5"/>
      <c r="F906" s="5"/>
      <c r="G906" s="5"/>
      <c r="H906" s="5"/>
      <c r="I906" s="5"/>
      <c r="J906" s="6"/>
      <c r="K906" s="261"/>
      <c r="L906" s="272"/>
      <c r="M906" s="261"/>
      <c r="N906" s="7"/>
      <c r="O906" s="8"/>
      <c r="P906" s="9"/>
      <c r="Q906" s="10"/>
      <c r="R906" s="11"/>
      <c r="S906" s="12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229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Z906" s="242"/>
      <c r="BA906" s="243"/>
    </row>
    <row r="907" spans="1:53" ht="90" customHeight="1">
      <c r="A907" s="1"/>
      <c r="B907" s="2"/>
      <c r="C907" s="3"/>
      <c r="D907" s="4"/>
      <c r="E907" s="5"/>
      <c r="F907" s="5"/>
      <c r="G907" s="5"/>
      <c r="H907" s="5"/>
      <c r="I907" s="5"/>
      <c r="J907" s="6"/>
      <c r="K907" s="261"/>
      <c r="L907" s="272"/>
      <c r="M907" s="261"/>
      <c r="N907" s="7"/>
      <c r="O907" s="8"/>
      <c r="P907" s="9"/>
      <c r="Q907" s="10"/>
      <c r="R907" s="11"/>
      <c r="S907" s="12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229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Z907" s="242"/>
      <c r="BA907" s="243"/>
    </row>
    <row r="908" spans="1:53" ht="90" customHeight="1">
      <c r="A908" s="1"/>
      <c r="B908" s="2"/>
      <c r="C908" s="3"/>
      <c r="D908" s="4"/>
      <c r="E908" s="5"/>
      <c r="F908" s="5"/>
      <c r="G908" s="5"/>
      <c r="H908" s="5"/>
      <c r="I908" s="5"/>
      <c r="J908" s="6"/>
      <c r="K908" s="261"/>
      <c r="L908" s="272"/>
      <c r="M908" s="261"/>
      <c r="N908" s="7"/>
      <c r="O908" s="8"/>
      <c r="P908" s="9"/>
      <c r="Q908" s="10"/>
      <c r="R908" s="11"/>
      <c r="S908" s="12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229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  <c r="AZ908" s="242"/>
      <c r="BA908" s="243"/>
    </row>
    <row r="909" spans="1:53" ht="90" customHeight="1">
      <c r="A909" s="1"/>
      <c r="B909" s="2"/>
      <c r="C909" s="3"/>
      <c r="D909" s="4"/>
      <c r="E909" s="5"/>
      <c r="F909" s="5"/>
      <c r="G909" s="5"/>
      <c r="H909" s="5"/>
      <c r="I909" s="5"/>
      <c r="J909" s="6"/>
      <c r="K909" s="261"/>
      <c r="M909" s="261"/>
      <c r="N909" s="7"/>
      <c r="O909" s="8"/>
      <c r="P909" s="9"/>
      <c r="Q909" s="10"/>
      <c r="R909" s="11"/>
      <c r="S909" s="12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229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  <c r="AZ909" s="242"/>
      <c r="BA909" s="243"/>
    </row>
  </sheetData>
  <autoFilter ref="A1:BB728">
    <filterColumn colId="2"/>
    <filterColumn colId="11"/>
    <filterColumn colId="15"/>
    <filterColumn colId="51"/>
    <filterColumn colId="52"/>
  </autoFilter>
  <hyperlinks>
    <hyperlink ref="M690" r:id="rId1" display="njickum@gmail.com"/>
    <hyperlink ref="M691" r:id="rId2" display="njickum@gmail.com"/>
    <hyperlink ref="M694" r:id="rId3"/>
    <hyperlink ref="M698" r:id="rId4"/>
    <hyperlink ref="M699" r:id="rId5"/>
    <hyperlink ref="M701" r:id="rId6"/>
    <hyperlink ref="M705" r:id="rId7"/>
    <hyperlink ref="M706" r:id="rId8"/>
    <hyperlink ref="M707" r:id="rId9"/>
    <hyperlink ref="M708" r:id="rId10"/>
    <hyperlink ref="M709" r:id="rId11"/>
    <hyperlink ref="M719" r:id="rId12"/>
    <hyperlink ref="M721" r:id="rId13"/>
    <hyperlink ref="M725" r:id="rId14"/>
    <hyperlink ref="M724" r:id="rId15"/>
  </hyperlinks>
  <pageMargins left="0.45" right="0.2" top="0.25" bottom="0.25" header="0.5" footer="0"/>
  <pageSetup paperSize="9" scale="77"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0"/>
  <sheetViews>
    <sheetView topLeftCell="A8" workbookViewId="0">
      <selection sqref="A1:H14"/>
    </sheetView>
  </sheetViews>
  <sheetFormatPr defaultColWidth="14.42578125" defaultRowHeight="15" customHeight="1"/>
  <cols>
    <col min="1" max="1" width="8.7109375" customWidth="1"/>
    <col min="2" max="2" width="13.7109375" customWidth="1"/>
    <col min="3" max="3" width="42.42578125" customWidth="1"/>
    <col min="4" max="4" width="16.5703125" customWidth="1"/>
    <col min="5" max="5" width="19.140625" customWidth="1"/>
    <col min="6" max="6" width="23.5703125" customWidth="1"/>
    <col min="7" max="7" width="40.7109375" customWidth="1"/>
    <col min="8" max="8" width="19.140625" customWidth="1"/>
    <col min="9" max="26" width="8.7109375" customWidth="1"/>
  </cols>
  <sheetData>
    <row r="1" spans="1:9" ht="27.75" customHeight="1">
      <c r="A1" s="21" t="s">
        <v>0</v>
      </c>
      <c r="B1" s="22" t="s">
        <v>1</v>
      </c>
      <c r="C1" s="23" t="s">
        <v>2</v>
      </c>
      <c r="D1" s="24" t="s">
        <v>3</v>
      </c>
      <c r="E1" s="25" t="s">
        <v>13</v>
      </c>
      <c r="F1" s="26" t="s">
        <v>3923</v>
      </c>
      <c r="G1" s="27" t="s">
        <v>3924</v>
      </c>
      <c r="H1" s="24" t="s">
        <v>14</v>
      </c>
    </row>
    <row r="2" spans="1:9" ht="63.75" customHeight="1">
      <c r="A2" s="28">
        <v>1</v>
      </c>
      <c r="B2" s="29" t="s">
        <v>185</v>
      </c>
      <c r="C2" s="23" t="s">
        <v>186</v>
      </c>
      <c r="D2" s="29" t="s">
        <v>132</v>
      </c>
      <c r="E2" s="29" t="s">
        <v>190</v>
      </c>
      <c r="F2" s="30" t="s">
        <v>55</v>
      </c>
      <c r="G2" s="31" t="s">
        <v>188</v>
      </c>
      <c r="H2" s="32" t="s">
        <v>191</v>
      </c>
    </row>
    <row r="3" spans="1:9" ht="63.75" customHeight="1">
      <c r="A3" s="28">
        <v>2</v>
      </c>
      <c r="B3" s="29" t="s">
        <v>343</v>
      </c>
      <c r="C3" s="23" t="s">
        <v>344</v>
      </c>
      <c r="D3" s="29" t="s">
        <v>132</v>
      </c>
      <c r="E3" s="29" t="s">
        <v>3511</v>
      </c>
      <c r="F3" s="30" t="s">
        <v>216</v>
      </c>
      <c r="G3" s="31" t="s">
        <v>3925</v>
      </c>
      <c r="H3" s="32" t="s">
        <v>349</v>
      </c>
    </row>
    <row r="4" spans="1:9" ht="63.75" customHeight="1">
      <c r="A4" s="28">
        <v>3</v>
      </c>
      <c r="B4" s="29" t="s">
        <v>518</v>
      </c>
      <c r="C4" s="23" t="s">
        <v>519</v>
      </c>
      <c r="D4" s="29" t="s">
        <v>132</v>
      </c>
      <c r="E4" s="29" t="s">
        <v>642</v>
      </c>
      <c r="F4" s="30" t="s">
        <v>312</v>
      </c>
      <c r="G4" s="31" t="s">
        <v>522</v>
      </c>
      <c r="H4" s="32">
        <v>9645478988</v>
      </c>
    </row>
    <row r="5" spans="1:9" ht="63.75" customHeight="1">
      <c r="A5" s="28">
        <v>4</v>
      </c>
      <c r="B5" s="29" t="s">
        <v>619</v>
      </c>
      <c r="C5" s="23" t="s">
        <v>620</v>
      </c>
      <c r="D5" s="29" t="s">
        <v>132</v>
      </c>
      <c r="E5" s="29" t="s">
        <v>626</v>
      </c>
      <c r="F5" s="30" t="s">
        <v>621</v>
      </c>
      <c r="G5" s="31" t="s">
        <v>624</v>
      </c>
      <c r="H5" s="32">
        <v>9345421267</v>
      </c>
    </row>
    <row r="6" spans="1:9" ht="63.75" customHeight="1">
      <c r="A6" s="28">
        <v>5</v>
      </c>
      <c r="B6" s="29" t="s">
        <v>636</v>
      </c>
      <c r="C6" s="23" t="s">
        <v>637</v>
      </c>
      <c r="D6" s="29" t="s">
        <v>132</v>
      </c>
      <c r="E6" s="29" t="s">
        <v>516</v>
      </c>
      <c r="F6" s="30" t="s">
        <v>638</v>
      </c>
      <c r="G6" s="31" t="s">
        <v>3926</v>
      </c>
      <c r="H6" s="32">
        <v>9495838152</v>
      </c>
    </row>
    <row r="7" spans="1:9" ht="63.75" customHeight="1">
      <c r="A7" s="28">
        <v>6</v>
      </c>
      <c r="B7" s="29" t="s">
        <v>1099</v>
      </c>
      <c r="C7" s="23" t="s">
        <v>1100</v>
      </c>
      <c r="D7" s="29" t="s">
        <v>3927</v>
      </c>
      <c r="E7" s="29" t="s">
        <v>1102</v>
      </c>
      <c r="F7" s="30"/>
      <c r="G7" s="31" t="s">
        <v>1101</v>
      </c>
      <c r="H7" s="32">
        <v>9543519573</v>
      </c>
    </row>
    <row r="8" spans="1:9" ht="63.75" customHeight="1">
      <c r="A8" s="28">
        <v>7</v>
      </c>
      <c r="B8" s="29" t="s">
        <v>1247</v>
      </c>
      <c r="C8" s="23" t="s">
        <v>1248</v>
      </c>
      <c r="D8" s="29" t="s">
        <v>132</v>
      </c>
      <c r="E8" s="29" t="s">
        <v>1102</v>
      </c>
      <c r="F8" s="30" t="s">
        <v>1140</v>
      </c>
      <c r="G8" s="31" t="s">
        <v>3928</v>
      </c>
      <c r="H8" s="32">
        <v>9842863701</v>
      </c>
    </row>
    <row r="9" spans="1:9" ht="63.75" customHeight="1">
      <c r="A9" s="28">
        <v>8</v>
      </c>
      <c r="B9" s="29" t="s">
        <v>2076</v>
      </c>
      <c r="C9" s="23" t="s">
        <v>2077</v>
      </c>
      <c r="D9" s="29" t="s">
        <v>132</v>
      </c>
      <c r="E9" s="29" t="s">
        <v>3929</v>
      </c>
      <c r="F9" s="30" t="s">
        <v>2041</v>
      </c>
      <c r="G9" s="31" t="s">
        <v>2079</v>
      </c>
      <c r="H9" s="32">
        <v>7639447591</v>
      </c>
    </row>
    <row r="10" spans="1:9" ht="63.75" customHeight="1">
      <c r="A10" s="28">
        <v>9</v>
      </c>
      <c r="B10" s="29" t="s">
        <v>2312</v>
      </c>
      <c r="C10" s="23" t="s">
        <v>2313</v>
      </c>
      <c r="D10" s="29" t="s">
        <v>132</v>
      </c>
      <c r="E10" s="29" t="s">
        <v>3930</v>
      </c>
      <c r="F10" s="30" t="s">
        <v>2314</v>
      </c>
      <c r="G10" s="31" t="s">
        <v>3931</v>
      </c>
      <c r="H10" s="32">
        <v>9176539539</v>
      </c>
    </row>
    <row r="11" spans="1:9" ht="63.75" customHeight="1">
      <c r="A11" s="28">
        <v>10</v>
      </c>
      <c r="B11" s="33" t="s">
        <v>2877</v>
      </c>
      <c r="C11" s="34" t="s">
        <v>2878</v>
      </c>
      <c r="D11" s="33" t="s">
        <v>132</v>
      </c>
      <c r="E11" s="33" t="s">
        <v>1002</v>
      </c>
      <c r="F11" s="35" t="s">
        <v>2322</v>
      </c>
      <c r="G11" s="36" t="s">
        <v>3932</v>
      </c>
      <c r="H11" s="37">
        <v>9943759925</v>
      </c>
    </row>
    <row r="12" spans="1:9" ht="63.75" customHeight="1">
      <c r="A12" s="28">
        <v>11</v>
      </c>
      <c r="B12" s="33" t="s">
        <v>80</v>
      </c>
      <c r="C12" s="34" t="s">
        <v>81</v>
      </c>
      <c r="D12" s="34" t="s">
        <v>3927</v>
      </c>
      <c r="E12" s="34" t="s">
        <v>3933</v>
      </c>
      <c r="F12" s="35" t="s">
        <v>55</v>
      </c>
      <c r="G12" s="36" t="s">
        <v>3934</v>
      </c>
      <c r="H12" s="37">
        <v>9894961442</v>
      </c>
    </row>
    <row r="13" spans="1:9" ht="63.75" customHeight="1">
      <c r="A13" s="28">
        <v>12</v>
      </c>
      <c r="B13" s="33" t="s">
        <v>2598</v>
      </c>
      <c r="C13" s="34" t="s">
        <v>2599</v>
      </c>
      <c r="D13" s="34" t="s">
        <v>82</v>
      </c>
      <c r="E13" s="34" t="s">
        <v>1102</v>
      </c>
      <c r="F13" s="35" t="s">
        <v>1140</v>
      </c>
      <c r="G13" s="36" t="s">
        <v>3935</v>
      </c>
      <c r="H13" s="37">
        <v>9842416106</v>
      </c>
    </row>
    <row r="14" spans="1:9" ht="63.75" customHeight="1">
      <c r="A14" s="28">
        <v>13</v>
      </c>
      <c r="B14" s="33" t="s">
        <v>1430</v>
      </c>
      <c r="C14" s="34" t="s">
        <v>1431</v>
      </c>
      <c r="D14" s="29" t="s">
        <v>132</v>
      </c>
      <c r="E14" s="33" t="s">
        <v>769</v>
      </c>
      <c r="F14" s="14" t="s">
        <v>1432</v>
      </c>
      <c r="G14" s="38" t="s">
        <v>3936</v>
      </c>
      <c r="H14" s="37">
        <v>9789253631</v>
      </c>
    </row>
    <row r="15" spans="1:9" ht="63.75" customHeight="1">
      <c r="A15" s="28">
        <v>14</v>
      </c>
      <c r="B15" s="33" t="s">
        <v>1620</v>
      </c>
      <c r="C15" s="34" t="s">
        <v>1621</v>
      </c>
      <c r="D15" s="29" t="s">
        <v>132</v>
      </c>
      <c r="E15" s="29" t="s">
        <v>1010</v>
      </c>
      <c r="F15" s="14" t="s">
        <v>1499</v>
      </c>
      <c r="G15" s="38" t="s">
        <v>3937</v>
      </c>
      <c r="H15" s="37">
        <v>9443390461</v>
      </c>
    </row>
    <row r="16" spans="1:9" ht="63.75" customHeight="1">
      <c r="A16" s="28">
        <v>15</v>
      </c>
      <c r="B16" s="39" t="s">
        <v>130</v>
      </c>
      <c r="C16" s="34" t="s">
        <v>131</v>
      </c>
      <c r="D16" s="33" t="s">
        <v>132</v>
      </c>
      <c r="E16" s="14" t="s">
        <v>47</v>
      </c>
      <c r="F16" s="14" t="s">
        <v>133</v>
      </c>
      <c r="G16" s="38" t="s">
        <v>135</v>
      </c>
      <c r="H16" s="37" t="s">
        <v>3938</v>
      </c>
      <c r="I16" s="40"/>
    </row>
    <row r="17" spans="1:8" ht="63.75" customHeight="1">
      <c r="A17" s="28">
        <v>16</v>
      </c>
      <c r="B17" s="39" t="s">
        <v>812</v>
      </c>
      <c r="C17" s="34" t="s">
        <v>813</v>
      </c>
      <c r="D17" s="29" t="s">
        <v>132</v>
      </c>
      <c r="E17" s="33" t="s">
        <v>3540</v>
      </c>
      <c r="F17" s="14" t="s">
        <v>814</v>
      </c>
      <c r="G17" s="38" t="s">
        <v>3939</v>
      </c>
      <c r="H17" s="37">
        <v>9791758596</v>
      </c>
    </row>
    <row r="18" spans="1:8" ht="63.75" customHeight="1">
      <c r="A18" s="41"/>
      <c r="B18" s="35"/>
      <c r="C18" s="34"/>
      <c r="D18" s="35"/>
      <c r="E18" s="33"/>
      <c r="F18" s="35"/>
      <c r="G18" s="36"/>
      <c r="H18" s="37"/>
    </row>
    <row r="19" spans="1:8" ht="14.25" customHeight="1">
      <c r="G19" s="42"/>
    </row>
    <row r="20" spans="1:8" ht="14.25" customHeight="1">
      <c r="G20" s="42"/>
    </row>
    <row r="21" spans="1:8" ht="14.25" customHeight="1">
      <c r="G21" s="42"/>
    </row>
    <row r="22" spans="1:8" ht="14.25" customHeight="1">
      <c r="G22" s="42"/>
    </row>
    <row r="23" spans="1:8" ht="14.25" customHeight="1">
      <c r="G23" s="42"/>
    </row>
    <row r="24" spans="1:8" ht="14.25" customHeight="1">
      <c r="G24" s="42"/>
    </row>
    <row r="25" spans="1:8" ht="14.25" customHeight="1">
      <c r="G25" s="42"/>
    </row>
    <row r="26" spans="1:8" ht="14.25" customHeight="1">
      <c r="G26" s="42"/>
    </row>
    <row r="27" spans="1:8" ht="14.25" customHeight="1">
      <c r="G27" s="42"/>
    </row>
    <row r="28" spans="1:8" ht="14.25" customHeight="1">
      <c r="G28" s="42"/>
    </row>
    <row r="29" spans="1:8" ht="14.25" customHeight="1">
      <c r="G29" s="42"/>
    </row>
    <row r="30" spans="1:8" ht="14.25" customHeight="1">
      <c r="G30" s="42"/>
    </row>
    <row r="31" spans="1:8" ht="14.25" customHeight="1">
      <c r="G31" s="42"/>
    </row>
    <row r="32" spans="1:8" ht="14.25" customHeight="1">
      <c r="G32" s="42"/>
    </row>
    <row r="33" spans="7:7" ht="14.25" customHeight="1">
      <c r="G33" s="42"/>
    </row>
    <row r="34" spans="7:7" ht="14.25" customHeight="1">
      <c r="G34" s="42"/>
    </row>
    <row r="35" spans="7:7" ht="14.25" customHeight="1">
      <c r="G35" s="42"/>
    </row>
    <row r="36" spans="7:7" ht="14.25" customHeight="1">
      <c r="G36" s="42"/>
    </row>
    <row r="37" spans="7:7" ht="14.25" customHeight="1">
      <c r="G37" s="42"/>
    </row>
    <row r="38" spans="7:7" ht="14.25" customHeight="1">
      <c r="G38" s="42"/>
    </row>
    <row r="39" spans="7:7" ht="14.25" customHeight="1">
      <c r="G39" s="42"/>
    </row>
    <row r="40" spans="7:7" ht="14.25" customHeight="1">
      <c r="G40" s="42"/>
    </row>
    <row r="41" spans="7:7" ht="14.25" customHeight="1">
      <c r="G41" s="42"/>
    </row>
    <row r="42" spans="7:7" ht="14.25" customHeight="1">
      <c r="G42" s="42"/>
    </row>
    <row r="43" spans="7:7" ht="14.25" customHeight="1">
      <c r="G43" s="42"/>
    </row>
    <row r="44" spans="7:7" ht="14.25" customHeight="1">
      <c r="G44" s="42"/>
    </row>
    <row r="45" spans="7:7" ht="14.25" customHeight="1">
      <c r="G45" s="42"/>
    </row>
    <row r="46" spans="7:7" ht="14.25" customHeight="1">
      <c r="G46" s="42"/>
    </row>
    <row r="47" spans="7:7" ht="14.25" customHeight="1">
      <c r="G47" s="42"/>
    </row>
    <row r="48" spans="7:7" ht="14.25" customHeight="1">
      <c r="G48" s="42"/>
    </row>
    <row r="49" spans="7:7" ht="14.25" customHeight="1">
      <c r="G49" s="42"/>
    </row>
    <row r="50" spans="7:7" ht="14.25" customHeight="1">
      <c r="G50" s="42"/>
    </row>
    <row r="51" spans="7:7" ht="14.25" customHeight="1">
      <c r="G51" s="42"/>
    </row>
    <row r="52" spans="7:7" ht="14.25" customHeight="1">
      <c r="G52" s="42"/>
    </row>
    <row r="53" spans="7:7" ht="14.25" customHeight="1">
      <c r="G53" s="42"/>
    </row>
    <row r="54" spans="7:7" ht="14.25" customHeight="1">
      <c r="G54" s="42"/>
    </row>
    <row r="55" spans="7:7" ht="14.25" customHeight="1">
      <c r="G55" s="42"/>
    </row>
    <row r="56" spans="7:7" ht="14.25" customHeight="1">
      <c r="G56" s="42"/>
    </row>
    <row r="57" spans="7:7" ht="14.25" customHeight="1">
      <c r="G57" s="42"/>
    </row>
    <row r="58" spans="7:7" ht="14.25" customHeight="1">
      <c r="G58" s="42"/>
    </row>
    <row r="59" spans="7:7" ht="14.25" customHeight="1">
      <c r="G59" s="42"/>
    </row>
    <row r="60" spans="7:7" ht="14.25" customHeight="1">
      <c r="G60" s="42"/>
    </row>
    <row r="61" spans="7:7" ht="14.25" customHeight="1">
      <c r="G61" s="42"/>
    </row>
    <row r="62" spans="7:7" ht="14.25" customHeight="1">
      <c r="G62" s="42"/>
    </row>
    <row r="63" spans="7:7" ht="14.25" customHeight="1">
      <c r="G63" s="42"/>
    </row>
    <row r="64" spans="7:7" ht="14.25" customHeight="1">
      <c r="G64" s="42"/>
    </row>
    <row r="65" spans="7:7" ht="14.25" customHeight="1">
      <c r="G65" s="42"/>
    </row>
    <row r="66" spans="7:7" ht="14.25" customHeight="1">
      <c r="G66" s="42"/>
    </row>
    <row r="67" spans="7:7" ht="14.25" customHeight="1">
      <c r="G67" s="42"/>
    </row>
    <row r="68" spans="7:7" ht="14.25" customHeight="1">
      <c r="G68" s="42"/>
    </row>
    <row r="69" spans="7:7" ht="14.25" customHeight="1">
      <c r="G69" s="42"/>
    </row>
    <row r="70" spans="7:7" ht="14.25" customHeight="1">
      <c r="G70" s="42"/>
    </row>
    <row r="71" spans="7:7" ht="14.25" customHeight="1">
      <c r="G71" s="42"/>
    </row>
    <row r="72" spans="7:7" ht="14.25" customHeight="1">
      <c r="G72" s="42"/>
    </row>
    <row r="73" spans="7:7" ht="14.25" customHeight="1">
      <c r="G73" s="42"/>
    </row>
    <row r="74" spans="7:7" ht="14.25" customHeight="1">
      <c r="G74" s="42"/>
    </row>
    <row r="75" spans="7:7" ht="14.25" customHeight="1">
      <c r="G75" s="42"/>
    </row>
    <row r="76" spans="7:7" ht="14.25" customHeight="1">
      <c r="G76" s="42"/>
    </row>
    <row r="77" spans="7:7" ht="14.25" customHeight="1">
      <c r="G77" s="42"/>
    </row>
    <row r="78" spans="7:7" ht="14.25" customHeight="1">
      <c r="G78" s="42"/>
    </row>
    <row r="79" spans="7:7" ht="14.25" customHeight="1">
      <c r="G79" s="42"/>
    </row>
    <row r="80" spans="7:7" ht="14.25" customHeight="1">
      <c r="G80" s="42"/>
    </row>
    <row r="81" spans="7:7" ht="14.25" customHeight="1">
      <c r="G81" s="42"/>
    </row>
    <row r="82" spans="7:7" ht="14.25" customHeight="1">
      <c r="G82" s="42"/>
    </row>
    <row r="83" spans="7:7" ht="14.25" customHeight="1">
      <c r="G83" s="42"/>
    </row>
    <row r="84" spans="7:7" ht="14.25" customHeight="1">
      <c r="G84" s="42"/>
    </row>
    <row r="85" spans="7:7" ht="14.25" customHeight="1">
      <c r="G85" s="42"/>
    </row>
    <row r="86" spans="7:7" ht="14.25" customHeight="1">
      <c r="G86" s="42"/>
    </row>
    <row r="87" spans="7:7" ht="14.25" customHeight="1">
      <c r="G87" s="42"/>
    </row>
    <row r="88" spans="7:7" ht="14.25" customHeight="1">
      <c r="G88" s="42"/>
    </row>
    <row r="89" spans="7:7" ht="14.25" customHeight="1">
      <c r="G89" s="42"/>
    </row>
    <row r="90" spans="7:7" ht="14.25" customHeight="1">
      <c r="G90" s="42"/>
    </row>
    <row r="91" spans="7:7" ht="14.25" customHeight="1">
      <c r="G91" s="42"/>
    </row>
    <row r="92" spans="7:7" ht="14.25" customHeight="1">
      <c r="G92" s="42"/>
    </row>
    <row r="93" spans="7:7" ht="14.25" customHeight="1">
      <c r="G93" s="42"/>
    </row>
    <row r="94" spans="7:7" ht="14.25" customHeight="1">
      <c r="G94" s="42"/>
    </row>
    <row r="95" spans="7:7" ht="14.25" customHeight="1">
      <c r="G95" s="42"/>
    </row>
    <row r="96" spans="7:7" ht="14.25" customHeight="1">
      <c r="G96" s="42"/>
    </row>
    <row r="97" spans="7:7" ht="14.25" customHeight="1">
      <c r="G97" s="42"/>
    </row>
    <row r="98" spans="7:7" ht="14.25" customHeight="1">
      <c r="G98" s="42"/>
    </row>
    <row r="99" spans="7:7" ht="14.25" customHeight="1">
      <c r="G99" s="42"/>
    </row>
    <row r="100" spans="7:7" ht="14.25" customHeight="1">
      <c r="G100" s="42"/>
    </row>
    <row r="101" spans="7:7" ht="14.25" customHeight="1">
      <c r="G101" s="42"/>
    </row>
    <row r="102" spans="7:7" ht="14.25" customHeight="1">
      <c r="G102" s="42"/>
    </row>
    <row r="103" spans="7:7" ht="14.25" customHeight="1">
      <c r="G103" s="42"/>
    </row>
    <row r="104" spans="7:7" ht="14.25" customHeight="1">
      <c r="G104" s="42"/>
    </row>
    <row r="105" spans="7:7" ht="14.25" customHeight="1">
      <c r="G105" s="42"/>
    </row>
    <row r="106" spans="7:7" ht="14.25" customHeight="1">
      <c r="G106" s="42"/>
    </row>
    <row r="107" spans="7:7" ht="14.25" customHeight="1">
      <c r="G107" s="42"/>
    </row>
    <row r="108" spans="7:7" ht="14.25" customHeight="1">
      <c r="G108" s="42"/>
    </row>
    <row r="109" spans="7:7" ht="14.25" customHeight="1">
      <c r="G109" s="42"/>
    </row>
    <row r="110" spans="7:7" ht="14.25" customHeight="1">
      <c r="G110" s="42"/>
    </row>
    <row r="111" spans="7:7" ht="14.25" customHeight="1">
      <c r="G111" s="42"/>
    </row>
    <row r="112" spans="7:7" ht="14.25" customHeight="1">
      <c r="G112" s="42"/>
    </row>
    <row r="113" spans="7:7" ht="14.25" customHeight="1">
      <c r="G113" s="42"/>
    </row>
    <row r="114" spans="7:7" ht="14.25" customHeight="1">
      <c r="G114" s="42"/>
    </row>
    <row r="115" spans="7:7" ht="14.25" customHeight="1">
      <c r="G115" s="42"/>
    </row>
    <row r="116" spans="7:7" ht="14.25" customHeight="1">
      <c r="G116" s="42"/>
    </row>
    <row r="117" spans="7:7" ht="14.25" customHeight="1">
      <c r="G117" s="42"/>
    </row>
    <row r="118" spans="7:7" ht="14.25" customHeight="1">
      <c r="G118" s="42"/>
    </row>
    <row r="119" spans="7:7" ht="14.25" customHeight="1">
      <c r="G119" s="42"/>
    </row>
    <row r="120" spans="7:7" ht="14.25" customHeight="1">
      <c r="G120" s="42"/>
    </row>
    <row r="121" spans="7:7" ht="14.25" customHeight="1">
      <c r="G121" s="42"/>
    </row>
    <row r="122" spans="7:7" ht="14.25" customHeight="1">
      <c r="G122" s="42"/>
    </row>
    <row r="123" spans="7:7" ht="14.25" customHeight="1">
      <c r="G123" s="42"/>
    </row>
    <row r="124" spans="7:7" ht="14.25" customHeight="1">
      <c r="G124" s="42"/>
    </row>
    <row r="125" spans="7:7" ht="14.25" customHeight="1">
      <c r="G125" s="42"/>
    </row>
    <row r="126" spans="7:7" ht="14.25" customHeight="1">
      <c r="G126" s="42"/>
    </row>
    <row r="127" spans="7:7" ht="14.25" customHeight="1">
      <c r="G127" s="42"/>
    </row>
    <row r="128" spans="7:7" ht="14.25" customHeight="1">
      <c r="G128" s="42"/>
    </row>
    <row r="129" spans="7:7" ht="14.25" customHeight="1">
      <c r="G129" s="42"/>
    </row>
    <row r="130" spans="7:7" ht="14.25" customHeight="1">
      <c r="G130" s="42"/>
    </row>
    <row r="131" spans="7:7" ht="14.25" customHeight="1">
      <c r="G131" s="42"/>
    </row>
    <row r="132" spans="7:7" ht="14.25" customHeight="1">
      <c r="G132" s="42"/>
    </row>
    <row r="133" spans="7:7" ht="14.25" customHeight="1">
      <c r="G133" s="42"/>
    </row>
    <row r="134" spans="7:7" ht="14.25" customHeight="1">
      <c r="G134" s="42"/>
    </row>
    <row r="135" spans="7:7" ht="14.25" customHeight="1">
      <c r="G135" s="42"/>
    </row>
    <row r="136" spans="7:7" ht="14.25" customHeight="1">
      <c r="G136" s="42"/>
    </row>
    <row r="137" spans="7:7" ht="14.25" customHeight="1">
      <c r="G137" s="42"/>
    </row>
    <row r="138" spans="7:7" ht="14.25" customHeight="1">
      <c r="G138" s="42"/>
    </row>
    <row r="139" spans="7:7" ht="14.25" customHeight="1">
      <c r="G139" s="42"/>
    </row>
    <row r="140" spans="7:7" ht="14.25" customHeight="1">
      <c r="G140" s="42"/>
    </row>
    <row r="141" spans="7:7" ht="14.25" customHeight="1">
      <c r="G141" s="42"/>
    </row>
    <row r="142" spans="7:7" ht="14.25" customHeight="1">
      <c r="G142" s="42"/>
    </row>
    <row r="143" spans="7:7" ht="14.25" customHeight="1">
      <c r="G143" s="42"/>
    </row>
    <row r="144" spans="7:7" ht="14.25" customHeight="1">
      <c r="G144" s="42"/>
    </row>
    <row r="145" spans="7:7" ht="14.25" customHeight="1">
      <c r="G145" s="42"/>
    </row>
    <row r="146" spans="7:7" ht="14.25" customHeight="1">
      <c r="G146" s="42"/>
    </row>
    <row r="147" spans="7:7" ht="14.25" customHeight="1">
      <c r="G147" s="42"/>
    </row>
    <row r="148" spans="7:7" ht="14.25" customHeight="1">
      <c r="G148" s="42"/>
    </row>
    <row r="149" spans="7:7" ht="14.25" customHeight="1">
      <c r="G149" s="42"/>
    </row>
    <row r="150" spans="7:7" ht="14.25" customHeight="1">
      <c r="G150" s="42"/>
    </row>
    <row r="151" spans="7:7" ht="14.25" customHeight="1">
      <c r="G151" s="42"/>
    </row>
    <row r="152" spans="7:7" ht="14.25" customHeight="1">
      <c r="G152" s="42"/>
    </row>
    <row r="153" spans="7:7" ht="14.25" customHeight="1">
      <c r="G153" s="42"/>
    </row>
    <row r="154" spans="7:7" ht="14.25" customHeight="1">
      <c r="G154" s="42"/>
    </row>
    <row r="155" spans="7:7" ht="14.25" customHeight="1">
      <c r="G155" s="42"/>
    </row>
    <row r="156" spans="7:7" ht="14.25" customHeight="1">
      <c r="G156" s="42"/>
    </row>
    <row r="157" spans="7:7" ht="14.25" customHeight="1">
      <c r="G157" s="42"/>
    </row>
    <row r="158" spans="7:7" ht="14.25" customHeight="1">
      <c r="G158" s="42"/>
    </row>
    <row r="159" spans="7:7" ht="14.25" customHeight="1">
      <c r="G159" s="42"/>
    </row>
    <row r="160" spans="7:7" ht="14.25" customHeight="1">
      <c r="G160" s="42"/>
    </row>
    <row r="161" spans="7:7" ht="14.25" customHeight="1">
      <c r="G161" s="42"/>
    </row>
    <row r="162" spans="7:7" ht="14.25" customHeight="1">
      <c r="G162" s="42"/>
    </row>
    <row r="163" spans="7:7" ht="14.25" customHeight="1">
      <c r="G163" s="42"/>
    </row>
    <row r="164" spans="7:7" ht="14.25" customHeight="1">
      <c r="G164" s="42"/>
    </row>
    <row r="165" spans="7:7" ht="14.25" customHeight="1">
      <c r="G165" s="42"/>
    </row>
    <row r="166" spans="7:7" ht="14.25" customHeight="1">
      <c r="G166" s="42"/>
    </row>
    <row r="167" spans="7:7" ht="14.25" customHeight="1">
      <c r="G167" s="42"/>
    </row>
    <row r="168" spans="7:7" ht="14.25" customHeight="1">
      <c r="G168" s="42"/>
    </row>
    <row r="169" spans="7:7" ht="14.25" customHeight="1">
      <c r="G169" s="42"/>
    </row>
    <row r="170" spans="7:7" ht="14.25" customHeight="1">
      <c r="G170" s="42"/>
    </row>
    <row r="171" spans="7:7" ht="14.25" customHeight="1">
      <c r="G171" s="42"/>
    </row>
    <row r="172" spans="7:7" ht="14.25" customHeight="1">
      <c r="G172" s="42"/>
    </row>
    <row r="173" spans="7:7" ht="14.25" customHeight="1">
      <c r="G173" s="42"/>
    </row>
    <row r="174" spans="7:7" ht="14.25" customHeight="1">
      <c r="G174" s="42"/>
    </row>
    <row r="175" spans="7:7" ht="14.25" customHeight="1">
      <c r="G175" s="42"/>
    </row>
    <row r="176" spans="7:7" ht="14.25" customHeight="1">
      <c r="G176" s="42"/>
    </row>
    <row r="177" spans="7:7" ht="14.25" customHeight="1">
      <c r="G177" s="42"/>
    </row>
    <row r="178" spans="7:7" ht="14.25" customHeight="1">
      <c r="G178" s="42"/>
    </row>
    <row r="179" spans="7:7" ht="14.25" customHeight="1">
      <c r="G179" s="42"/>
    </row>
    <row r="180" spans="7:7" ht="14.25" customHeight="1">
      <c r="G180" s="42"/>
    </row>
    <row r="181" spans="7:7" ht="14.25" customHeight="1">
      <c r="G181" s="42"/>
    </row>
    <row r="182" spans="7:7" ht="14.25" customHeight="1">
      <c r="G182" s="42"/>
    </row>
    <row r="183" spans="7:7" ht="14.25" customHeight="1">
      <c r="G183" s="42"/>
    </row>
    <row r="184" spans="7:7" ht="14.25" customHeight="1">
      <c r="G184" s="42"/>
    </row>
    <row r="185" spans="7:7" ht="14.25" customHeight="1">
      <c r="G185" s="42"/>
    </row>
    <row r="186" spans="7:7" ht="14.25" customHeight="1">
      <c r="G186" s="42"/>
    </row>
    <row r="187" spans="7:7" ht="14.25" customHeight="1">
      <c r="G187" s="42"/>
    </row>
    <row r="188" spans="7:7" ht="14.25" customHeight="1">
      <c r="G188" s="42"/>
    </row>
    <row r="189" spans="7:7" ht="14.25" customHeight="1">
      <c r="G189" s="42"/>
    </row>
    <row r="190" spans="7:7" ht="14.25" customHeight="1">
      <c r="G190" s="42"/>
    </row>
    <row r="191" spans="7:7" ht="14.25" customHeight="1">
      <c r="G191" s="42"/>
    </row>
    <row r="192" spans="7:7" ht="14.25" customHeight="1">
      <c r="G192" s="42"/>
    </row>
    <row r="193" spans="7:7" ht="14.25" customHeight="1">
      <c r="G193" s="42"/>
    </row>
    <row r="194" spans="7:7" ht="14.25" customHeight="1">
      <c r="G194" s="42"/>
    </row>
    <row r="195" spans="7:7" ht="14.25" customHeight="1">
      <c r="G195" s="42"/>
    </row>
    <row r="196" spans="7:7" ht="14.25" customHeight="1">
      <c r="G196" s="42"/>
    </row>
    <row r="197" spans="7:7" ht="14.25" customHeight="1">
      <c r="G197" s="42"/>
    </row>
    <row r="198" spans="7:7" ht="14.25" customHeight="1">
      <c r="G198" s="42"/>
    </row>
    <row r="199" spans="7:7" ht="14.25" customHeight="1">
      <c r="G199" s="42"/>
    </row>
    <row r="200" spans="7:7" ht="14.25" customHeight="1">
      <c r="G200" s="42"/>
    </row>
    <row r="201" spans="7:7" ht="14.25" customHeight="1">
      <c r="G201" s="42"/>
    </row>
    <row r="202" spans="7:7" ht="14.25" customHeight="1">
      <c r="G202" s="42"/>
    </row>
    <row r="203" spans="7:7" ht="14.25" customHeight="1">
      <c r="G203" s="42"/>
    </row>
    <row r="204" spans="7:7" ht="14.25" customHeight="1">
      <c r="G204" s="42"/>
    </row>
    <row r="205" spans="7:7" ht="14.25" customHeight="1">
      <c r="G205" s="42"/>
    </row>
    <row r="206" spans="7:7" ht="14.25" customHeight="1">
      <c r="G206" s="42"/>
    </row>
    <row r="207" spans="7:7" ht="14.25" customHeight="1">
      <c r="G207" s="42"/>
    </row>
    <row r="208" spans="7:7" ht="14.25" customHeight="1">
      <c r="G208" s="42"/>
    </row>
    <row r="209" spans="7:7" ht="14.25" customHeight="1">
      <c r="G209" s="42"/>
    </row>
    <row r="210" spans="7:7" ht="14.25" customHeight="1">
      <c r="G210" s="42"/>
    </row>
    <row r="211" spans="7:7" ht="14.25" customHeight="1">
      <c r="G211" s="42"/>
    </row>
    <row r="212" spans="7:7" ht="14.25" customHeight="1">
      <c r="G212" s="42"/>
    </row>
    <row r="213" spans="7:7" ht="14.25" customHeight="1">
      <c r="G213" s="42"/>
    </row>
    <row r="214" spans="7:7" ht="14.25" customHeight="1">
      <c r="G214" s="42"/>
    </row>
    <row r="215" spans="7:7" ht="14.25" customHeight="1">
      <c r="G215" s="42"/>
    </row>
    <row r="216" spans="7:7" ht="14.25" customHeight="1">
      <c r="G216" s="42"/>
    </row>
    <row r="217" spans="7:7" ht="14.25" customHeight="1">
      <c r="G217" s="42"/>
    </row>
    <row r="218" spans="7:7" ht="14.25" customHeight="1">
      <c r="G218" s="42"/>
    </row>
    <row r="219" spans="7:7" ht="14.25" customHeight="1">
      <c r="G219" s="42"/>
    </row>
    <row r="220" spans="7:7" ht="14.25" customHeight="1">
      <c r="G220" s="42"/>
    </row>
    <row r="221" spans="7:7" ht="14.25" customHeight="1">
      <c r="G221" s="42"/>
    </row>
    <row r="222" spans="7:7" ht="14.25" customHeight="1">
      <c r="G222" s="42"/>
    </row>
    <row r="223" spans="7:7" ht="14.25" customHeight="1">
      <c r="G223" s="42"/>
    </row>
    <row r="224" spans="7:7" ht="14.25" customHeight="1">
      <c r="G224" s="42"/>
    </row>
    <row r="225" spans="7:7" ht="14.25" customHeight="1">
      <c r="G225" s="42"/>
    </row>
    <row r="226" spans="7:7" ht="14.25" customHeight="1">
      <c r="G226" s="42"/>
    </row>
    <row r="227" spans="7:7" ht="14.25" customHeight="1">
      <c r="G227" s="42"/>
    </row>
    <row r="228" spans="7:7" ht="14.25" customHeight="1">
      <c r="G228" s="42"/>
    </row>
    <row r="229" spans="7:7" ht="14.25" customHeight="1">
      <c r="G229" s="42"/>
    </row>
    <row r="230" spans="7:7" ht="14.25" customHeight="1">
      <c r="G230" s="42"/>
    </row>
    <row r="231" spans="7:7" ht="14.25" customHeight="1">
      <c r="G231" s="42"/>
    </row>
    <row r="232" spans="7:7" ht="14.25" customHeight="1">
      <c r="G232" s="42"/>
    </row>
    <row r="233" spans="7:7" ht="14.25" customHeight="1">
      <c r="G233" s="42"/>
    </row>
    <row r="234" spans="7:7" ht="14.25" customHeight="1">
      <c r="G234" s="42"/>
    </row>
    <row r="235" spans="7:7" ht="14.25" customHeight="1">
      <c r="G235" s="42"/>
    </row>
    <row r="236" spans="7:7" ht="14.25" customHeight="1">
      <c r="G236" s="42"/>
    </row>
    <row r="237" spans="7:7" ht="14.25" customHeight="1">
      <c r="G237" s="42"/>
    </row>
    <row r="238" spans="7:7" ht="14.25" customHeight="1">
      <c r="G238" s="42"/>
    </row>
    <row r="239" spans="7:7" ht="14.25" customHeight="1">
      <c r="G239" s="42"/>
    </row>
    <row r="240" spans="7:7" ht="14.25" customHeight="1">
      <c r="G240" s="42"/>
    </row>
    <row r="241" spans="7:7" ht="14.25" customHeight="1">
      <c r="G241" s="42"/>
    </row>
    <row r="242" spans="7:7" ht="14.25" customHeight="1">
      <c r="G242" s="42"/>
    </row>
    <row r="243" spans="7:7" ht="14.25" customHeight="1">
      <c r="G243" s="42"/>
    </row>
    <row r="244" spans="7:7" ht="14.25" customHeight="1">
      <c r="G244" s="42"/>
    </row>
    <row r="245" spans="7:7" ht="14.25" customHeight="1">
      <c r="G245" s="42"/>
    </row>
    <row r="246" spans="7:7" ht="14.25" customHeight="1">
      <c r="G246" s="42"/>
    </row>
    <row r="247" spans="7:7" ht="14.25" customHeight="1">
      <c r="G247" s="42"/>
    </row>
    <row r="248" spans="7:7" ht="14.25" customHeight="1">
      <c r="G248" s="42"/>
    </row>
    <row r="249" spans="7:7" ht="14.25" customHeight="1">
      <c r="G249" s="42"/>
    </row>
    <row r="250" spans="7:7" ht="14.25" customHeight="1">
      <c r="G250" s="42"/>
    </row>
    <row r="251" spans="7:7" ht="14.25" customHeight="1">
      <c r="G251" s="42"/>
    </row>
    <row r="252" spans="7:7" ht="14.25" customHeight="1">
      <c r="G252" s="42"/>
    </row>
    <row r="253" spans="7:7" ht="14.25" customHeight="1">
      <c r="G253" s="42"/>
    </row>
    <row r="254" spans="7:7" ht="14.25" customHeight="1">
      <c r="G254" s="42"/>
    </row>
    <row r="255" spans="7:7" ht="14.25" customHeight="1">
      <c r="G255" s="42"/>
    </row>
    <row r="256" spans="7:7" ht="14.25" customHeight="1">
      <c r="G256" s="42"/>
    </row>
    <row r="257" spans="7:7" ht="14.25" customHeight="1">
      <c r="G257" s="42"/>
    </row>
    <row r="258" spans="7:7" ht="14.25" customHeight="1">
      <c r="G258" s="42"/>
    </row>
    <row r="259" spans="7:7" ht="14.25" customHeight="1">
      <c r="G259" s="42"/>
    </row>
    <row r="260" spans="7:7" ht="14.25" customHeight="1">
      <c r="G260" s="42"/>
    </row>
    <row r="261" spans="7:7" ht="14.25" customHeight="1">
      <c r="G261" s="42"/>
    </row>
    <row r="262" spans="7:7" ht="14.25" customHeight="1">
      <c r="G262" s="42"/>
    </row>
    <row r="263" spans="7:7" ht="14.25" customHeight="1">
      <c r="G263" s="42"/>
    </row>
    <row r="264" spans="7:7" ht="14.25" customHeight="1">
      <c r="G264" s="42"/>
    </row>
    <row r="265" spans="7:7" ht="14.25" customHeight="1">
      <c r="G265" s="42"/>
    </row>
    <row r="266" spans="7:7" ht="14.25" customHeight="1">
      <c r="G266" s="42"/>
    </row>
    <row r="267" spans="7:7" ht="14.25" customHeight="1">
      <c r="G267" s="42"/>
    </row>
    <row r="268" spans="7:7" ht="14.25" customHeight="1">
      <c r="G268" s="42"/>
    </row>
    <row r="269" spans="7:7" ht="14.25" customHeight="1">
      <c r="G269" s="42"/>
    </row>
    <row r="270" spans="7:7" ht="14.25" customHeight="1">
      <c r="G270" s="42"/>
    </row>
    <row r="271" spans="7:7" ht="14.25" customHeight="1">
      <c r="G271" s="42"/>
    </row>
    <row r="272" spans="7:7" ht="14.25" customHeight="1">
      <c r="G272" s="42"/>
    </row>
    <row r="273" spans="7:7" ht="14.25" customHeight="1">
      <c r="G273" s="42"/>
    </row>
    <row r="274" spans="7:7" ht="14.25" customHeight="1">
      <c r="G274" s="42"/>
    </row>
    <row r="275" spans="7:7" ht="14.25" customHeight="1">
      <c r="G275" s="42"/>
    </row>
    <row r="276" spans="7:7" ht="14.25" customHeight="1">
      <c r="G276" s="42"/>
    </row>
    <row r="277" spans="7:7" ht="14.25" customHeight="1">
      <c r="G277" s="42"/>
    </row>
    <row r="278" spans="7:7" ht="14.25" customHeight="1">
      <c r="G278" s="42"/>
    </row>
    <row r="279" spans="7:7" ht="14.25" customHeight="1">
      <c r="G279" s="42"/>
    </row>
    <row r="280" spans="7:7" ht="14.25" customHeight="1">
      <c r="G280" s="42"/>
    </row>
    <row r="281" spans="7:7" ht="14.25" customHeight="1">
      <c r="G281" s="42"/>
    </row>
    <row r="282" spans="7:7" ht="14.25" customHeight="1">
      <c r="G282" s="42"/>
    </row>
    <row r="283" spans="7:7" ht="14.25" customHeight="1">
      <c r="G283" s="42"/>
    </row>
    <row r="284" spans="7:7" ht="14.25" customHeight="1">
      <c r="G284" s="42"/>
    </row>
    <row r="285" spans="7:7" ht="14.25" customHeight="1">
      <c r="G285" s="42"/>
    </row>
    <row r="286" spans="7:7" ht="14.25" customHeight="1">
      <c r="G286" s="42"/>
    </row>
    <row r="287" spans="7:7" ht="14.25" customHeight="1">
      <c r="G287" s="42"/>
    </row>
    <row r="288" spans="7:7" ht="14.25" customHeight="1">
      <c r="G288" s="42"/>
    </row>
    <row r="289" spans="7:7" ht="14.25" customHeight="1">
      <c r="G289" s="42"/>
    </row>
    <row r="290" spans="7:7" ht="14.25" customHeight="1">
      <c r="G290" s="42"/>
    </row>
    <row r="291" spans="7:7" ht="14.25" customHeight="1">
      <c r="G291" s="42"/>
    </row>
    <row r="292" spans="7:7" ht="14.25" customHeight="1">
      <c r="G292" s="42"/>
    </row>
    <row r="293" spans="7:7" ht="14.25" customHeight="1">
      <c r="G293" s="42"/>
    </row>
    <row r="294" spans="7:7" ht="14.25" customHeight="1">
      <c r="G294" s="42"/>
    </row>
    <row r="295" spans="7:7" ht="14.25" customHeight="1">
      <c r="G295" s="42"/>
    </row>
    <row r="296" spans="7:7" ht="14.25" customHeight="1">
      <c r="G296" s="42"/>
    </row>
    <row r="297" spans="7:7" ht="14.25" customHeight="1">
      <c r="G297" s="42"/>
    </row>
    <row r="298" spans="7:7" ht="14.25" customHeight="1">
      <c r="G298" s="42"/>
    </row>
    <row r="299" spans="7:7" ht="14.25" customHeight="1">
      <c r="G299" s="42"/>
    </row>
    <row r="300" spans="7:7" ht="14.25" customHeight="1">
      <c r="G300" s="42"/>
    </row>
    <row r="301" spans="7:7" ht="14.25" customHeight="1">
      <c r="G301" s="42"/>
    </row>
    <row r="302" spans="7:7" ht="14.25" customHeight="1">
      <c r="G302" s="42"/>
    </row>
    <row r="303" spans="7:7" ht="14.25" customHeight="1">
      <c r="G303" s="42"/>
    </row>
    <row r="304" spans="7:7" ht="14.25" customHeight="1">
      <c r="G304" s="42"/>
    </row>
    <row r="305" spans="7:7" ht="14.25" customHeight="1">
      <c r="G305" s="42"/>
    </row>
    <row r="306" spans="7:7" ht="14.25" customHeight="1">
      <c r="G306" s="42"/>
    </row>
    <row r="307" spans="7:7" ht="14.25" customHeight="1">
      <c r="G307" s="42"/>
    </row>
    <row r="308" spans="7:7" ht="14.25" customHeight="1">
      <c r="G308" s="42"/>
    </row>
    <row r="309" spans="7:7" ht="14.25" customHeight="1">
      <c r="G309" s="42"/>
    </row>
    <row r="310" spans="7:7" ht="14.25" customHeight="1">
      <c r="G310" s="42"/>
    </row>
    <row r="311" spans="7:7" ht="14.25" customHeight="1">
      <c r="G311" s="42"/>
    </row>
    <row r="312" spans="7:7" ht="14.25" customHeight="1">
      <c r="G312" s="42"/>
    </row>
    <row r="313" spans="7:7" ht="14.25" customHeight="1">
      <c r="G313" s="42"/>
    </row>
    <row r="314" spans="7:7" ht="14.25" customHeight="1">
      <c r="G314" s="42"/>
    </row>
    <row r="315" spans="7:7" ht="14.25" customHeight="1">
      <c r="G315" s="42"/>
    </row>
    <row r="316" spans="7:7" ht="14.25" customHeight="1">
      <c r="G316" s="42"/>
    </row>
    <row r="317" spans="7:7" ht="14.25" customHeight="1">
      <c r="G317" s="42"/>
    </row>
    <row r="318" spans="7:7" ht="14.25" customHeight="1">
      <c r="G318" s="42"/>
    </row>
    <row r="319" spans="7:7" ht="14.25" customHeight="1">
      <c r="G319" s="42"/>
    </row>
    <row r="320" spans="7:7" ht="14.25" customHeight="1">
      <c r="G320" s="42"/>
    </row>
    <row r="321" spans="7:7" ht="14.25" customHeight="1">
      <c r="G321" s="42"/>
    </row>
    <row r="322" spans="7:7" ht="14.25" customHeight="1">
      <c r="G322" s="42"/>
    </row>
    <row r="323" spans="7:7" ht="14.25" customHeight="1">
      <c r="G323" s="42"/>
    </row>
    <row r="324" spans="7:7" ht="14.25" customHeight="1">
      <c r="G324" s="42"/>
    </row>
    <row r="325" spans="7:7" ht="14.25" customHeight="1">
      <c r="G325" s="42"/>
    </row>
    <row r="326" spans="7:7" ht="14.25" customHeight="1">
      <c r="G326" s="42"/>
    </row>
    <row r="327" spans="7:7" ht="14.25" customHeight="1">
      <c r="G327" s="42"/>
    </row>
    <row r="328" spans="7:7" ht="14.25" customHeight="1">
      <c r="G328" s="42"/>
    </row>
    <row r="329" spans="7:7" ht="14.25" customHeight="1">
      <c r="G329" s="42"/>
    </row>
    <row r="330" spans="7:7" ht="14.25" customHeight="1">
      <c r="G330" s="42"/>
    </row>
    <row r="331" spans="7:7" ht="14.25" customHeight="1">
      <c r="G331" s="42"/>
    </row>
    <row r="332" spans="7:7" ht="14.25" customHeight="1">
      <c r="G332" s="42"/>
    </row>
    <row r="333" spans="7:7" ht="14.25" customHeight="1">
      <c r="G333" s="42"/>
    </row>
    <row r="334" spans="7:7" ht="14.25" customHeight="1">
      <c r="G334" s="42"/>
    </row>
    <row r="335" spans="7:7" ht="14.25" customHeight="1">
      <c r="G335" s="42"/>
    </row>
    <row r="336" spans="7:7" ht="14.25" customHeight="1">
      <c r="G336" s="42"/>
    </row>
    <row r="337" spans="7:7" ht="14.25" customHeight="1">
      <c r="G337" s="42"/>
    </row>
    <row r="338" spans="7:7" ht="14.25" customHeight="1">
      <c r="G338" s="42"/>
    </row>
    <row r="339" spans="7:7" ht="14.25" customHeight="1">
      <c r="G339" s="42"/>
    </row>
    <row r="340" spans="7:7" ht="14.25" customHeight="1">
      <c r="G340" s="42"/>
    </row>
    <row r="341" spans="7:7" ht="14.25" customHeight="1">
      <c r="G341" s="42"/>
    </row>
    <row r="342" spans="7:7" ht="14.25" customHeight="1">
      <c r="G342" s="42"/>
    </row>
    <row r="343" spans="7:7" ht="14.25" customHeight="1">
      <c r="G343" s="42"/>
    </row>
    <row r="344" spans="7:7" ht="14.25" customHeight="1">
      <c r="G344" s="42"/>
    </row>
    <row r="345" spans="7:7" ht="14.25" customHeight="1">
      <c r="G345" s="42"/>
    </row>
    <row r="346" spans="7:7" ht="14.25" customHeight="1">
      <c r="G346" s="42"/>
    </row>
    <row r="347" spans="7:7" ht="14.25" customHeight="1">
      <c r="G347" s="42"/>
    </row>
    <row r="348" spans="7:7" ht="14.25" customHeight="1">
      <c r="G348" s="42"/>
    </row>
    <row r="349" spans="7:7" ht="14.25" customHeight="1">
      <c r="G349" s="42"/>
    </row>
    <row r="350" spans="7:7" ht="14.25" customHeight="1">
      <c r="G350" s="42"/>
    </row>
    <row r="351" spans="7:7" ht="14.25" customHeight="1">
      <c r="G351" s="42"/>
    </row>
    <row r="352" spans="7:7" ht="14.25" customHeight="1">
      <c r="G352" s="42"/>
    </row>
    <row r="353" spans="7:7" ht="14.25" customHeight="1">
      <c r="G353" s="42"/>
    </row>
    <row r="354" spans="7:7" ht="14.25" customHeight="1">
      <c r="G354" s="42"/>
    </row>
    <row r="355" spans="7:7" ht="14.25" customHeight="1">
      <c r="G355" s="42"/>
    </row>
    <row r="356" spans="7:7" ht="14.25" customHeight="1">
      <c r="G356" s="42"/>
    </row>
    <row r="357" spans="7:7" ht="14.25" customHeight="1">
      <c r="G357" s="42"/>
    </row>
    <row r="358" spans="7:7" ht="14.25" customHeight="1">
      <c r="G358" s="42"/>
    </row>
    <row r="359" spans="7:7" ht="14.25" customHeight="1">
      <c r="G359" s="42"/>
    </row>
    <row r="360" spans="7:7" ht="14.25" customHeight="1">
      <c r="G360" s="42"/>
    </row>
    <row r="361" spans="7:7" ht="14.25" customHeight="1">
      <c r="G361" s="42"/>
    </row>
    <row r="362" spans="7:7" ht="14.25" customHeight="1">
      <c r="G362" s="42"/>
    </row>
    <row r="363" spans="7:7" ht="14.25" customHeight="1">
      <c r="G363" s="42"/>
    </row>
    <row r="364" spans="7:7" ht="14.25" customHeight="1">
      <c r="G364" s="42"/>
    </row>
    <row r="365" spans="7:7" ht="14.25" customHeight="1">
      <c r="G365" s="42"/>
    </row>
    <row r="366" spans="7:7" ht="14.25" customHeight="1">
      <c r="G366" s="42"/>
    </row>
    <row r="367" spans="7:7" ht="14.25" customHeight="1">
      <c r="G367" s="42"/>
    </row>
    <row r="368" spans="7:7" ht="14.25" customHeight="1">
      <c r="G368" s="42"/>
    </row>
    <row r="369" spans="7:7" ht="14.25" customHeight="1">
      <c r="G369" s="42"/>
    </row>
    <row r="370" spans="7:7" ht="14.25" customHeight="1">
      <c r="G370" s="42"/>
    </row>
    <row r="371" spans="7:7" ht="14.25" customHeight="1">
      <c r="G371" s="42"/>
    </row>
    <row r="372" spans="7:7" ht="14.25" customHeight="1">
      <c r="G372" s="42"/>
    </row>
    <row r="373" spans="7:7" ht="14.25" customHeight="1">
      <c r="G373" s="42"/>
    </row>
    <row r="374" spans="7:7" ht="14.25" customHeight="1">
      <c r="G374" s="42"/>
    </row>
    <row r="375" spans="7:7" ht="14.25" customHeight="1">
      <c r="G375" s="42"/>
    </row>
    <row r="376" spans="7:7" ht="14.25" customHeight="1">
      <c r="G376" s="42"/>
    </row>
    <row r="377" spans="7:7" ht="14.25" customHeight="1">
      <c r="G377" s="42"/>
    </row>
    <row r="378" spans="7:7" ht="14.25" customHeight="1">
      <c r="G378" s="42"/>
    </row>
    <row r="379" spans="7:7" ht="14.25" customHeight="1">
      <c r="G379" s="42"/>
    </row>
    <row r="380" spans="7:7" ht="14.25" customHeight="1">
      <c r="G380" s="42"/>
    </row>
    <row r="381" spans="7:7" ht="14.25" customHeight="1">
      <c r="G381" s="42"/>
    </row>
    <row r="382" spans="7:7" ht="14.25" customHeight="1">
      <c r="G382" s="42"/>
    </row>
    <row r="383" spans="7:7" ht="14.25" customHeight="1">
      <c r="G383" s="42"/>
    </row>
    <row r="384" spans="7:7" ht="14.25" customHeight="1">
      <c r="G384" s="42"/>
    </row>
    <row r="385" spans="7:7" ht="14.25" customHeight="1">
      <c r="G385" s="42"/>
    </row>
    <row r="386" spans="7:7" ht="14.25" customHeight="1">
      <c r="G386" s="42"/>
    </row>
    <row r="387" spans="7:7" ht="14.25" customHeight="1">
      <c r="G387" s="42"/>
    </row>
    <row r="388" spans="7:7" ht="14.25" customHeight="1">
      <c r="G388" s="42"/>
    </row>
    <row r="389" spans="7:7" ht="14.25" customHeight="1">
      <c r="G389" s="42"/>
    </row>
    <row r="390" spans="7:7" ht="14.25" customHeight="1">
      <c r="G390" s="42"/>
    </row>
    <row r="391" spans="7:7" ht="14.25" customHeight="1">
      <c r="G391" s="42"/>
    </row>
    <row r="392" spans="7:7" ht="14.25" customHeight="1">
      <c r="G392" s="42"/>
    </row>
    <row r="393" spans="7:7" ht="14.25" customHeight="1">
      <c r="G393" s="42"/>
    </row>
    <row r="394" spans="7:7" ht="14.25" customHeight="1">
      <c r="G394" s="42"/>
    </row>
    <row r="395" spans="7:7" ht="14.25" customHeight="1">
      <c r="G395" s="42"/>
    </row>
    <row r="396" spans="7:7" ht="14.25" customHeight="1">
      <c r="G396" s="42"/>
    </row>
    <row r="397" spans="7:7" ht="14.25" customHeight="1">
      <c r="G397" s="42"/>
    </row>
    <row r="398" spans="7:7" ht="14.25" customHeight="1">
      <c r="G398" s="42"/>
    </row>
    <row r="399" spans="7:7" ht="14.25" customHeight="1">
      <c r="G399" s="42"/>
    </row>
    <row r="400" spans="7:7" ht="14.25" customHeight="1">
      <c r="G400" s="42"/>
    </row>
    <row r="401" spans="7:7" ht="14.25" customHeight="1">
      <c r="G401" s="42"/>
    </row>
    <row r="402" spans="7:7" ht="14.25" customHeight="1">
      <c r="G402" s="42"/>
    </row>
    <row r="403" spans="7:7" ht="14.25" customHeight="1">
      <c r="G403" s="42"/>
    </row>
    <row r="404" spans="7:7" ht="14.25" customHeight="1">
      <c r="G404" s="42"/>
    </row>
    <row r="405" spans="7:7" ht="14.25" customHeight="1">
      <c r="G405" s="42"/>
    </row>
    <row r="406" spans="7:7" ht="14.25" customHeight="1">
      <c r="G406" s="42"/>
    </row>
    <row r="407" spans="7:7" ht="14.25" customHeight="1">
      <c r="G407" s="42"/>
    </row>
    <row r="408" spans="7:7" ht="14.25" customHeight="1">
      <c r="G408" s="42"/>
    </row>
    <row r="409" spans="7:7" ht="14.25" customHeight="1">
      <c r="G409" s="42"/>
    </row>
    <row r="410" spans="7:7" ht="14.25" customHeight="1">
      <c r="G410" s="42"/>
    </row>
    <row r="411" spans="7:7" ht="14.25" customHeight="1">
      <c r="G411" s="42"/>
    </row>
    <row r="412" spans="7:7" ht="14.25" customHeight="1">
      <c r="G412" s="42"/>
    </row>
    <row r="413" spans="7:7" ht="14.25" customHeight="1">
      <c r="G413" s="42"/>
    </row>
    <row r="414" spans="7:7" ht="14.25" customHeight="1">
      <c r="G414" s="42"/>
    </row>
    <row r="415" spans="7:7" ht="14.25" customHeight="1">
      <c r="G415" s="42"/>
    </row>
    <row r="416" spans="7:7" ht="14.25" customHeight="1">
      <c r="G416" s="42"/>
    </row>
    <row r="417" spans="7:7" ht="14.25" customHeight="1">
      <c r="G417" s="42"/>
    </row>
    <row r="418" spans="7:7" ht="14.25" customHeight="1">
      <c r="G418" s="42"/>
    </row>
    <row r="419" spans="7:7" ht="14.25" customHeight="1">
      <c r="G419" s="42"/>
    </row>
    <row r="420" spans="7:7" ht="14.25" customHeight="1">
      <c r="G420" s="42"/>
    </row>
    <row r="421" spans="7:7" ht="14.25" customHeight="1">
      <c r="G421" s="42"/>
    </row>
    <row r="422" spans="7:7" ht="14.25" customHeight="1">
      <c r="G422" s="42"/>
    </row>
    <row r="423" spans="7:7" ht="14.25" customHeight="1">
      <c r="G423" s="42"/>
    </row>
    <row r="424" spans="7:7" ht="14.25" customHeight="1">
      <c r="G424" s="42"/>
    </row>
    <row r="425" spans="7:7" ht="14.25" customHeight="1">
      <c r="G425" s="42"/>
    </row>
    <row r="426" spans="7:7" ht="14.25" customHeight="1">
      <c r="G426" s="42"/>
    </row>
    <row r="427" spans="7:7" ht="14.25" customHeight="1">
      <c r="G427" s="42"/>
    </row>
    <row r="428" spans="7:7" ht="14.25" customHeight="1">
      <c r="G428" s="42"/>
    </row>
    <row r="429" spans="7:7" ht="14.25" customHeight="1">
      <c r="G429" s="42"/>
    </row>
    <row r="430" spans="7:7" ht="14.25" customHeight="1">
      <c r="G430" s="42"/>
    </row>
    <row r="431" spans="7:7" ht="14.25" customHeight="1">
      <c r="G431" s="42"/>
    </row>
    <row r="432" spans="7:7" ht="14.25" customHeight="1">
      <c r="G432" s="42"/>
    </row>
    <row r="433" spans="7:7" ht="14.25" customHeight="1">
      <c r="G433" s="42"/>
    </row>
    <row r="434" spans="7:7" ht="14.25" customHeight="1">
      <c r="G434" s="42"/>
    </row>
    <row r="435" spans="7:7" ht="14.25" customHeight="1">
      <c r="G435" s="42"/>
    </row>
    <row r="436" spans="7:7" ht="14.25" customHeight="1">
      <c r="G436" s="42"/>
    </row>
    <row r="437" spans="7:7" ht="14.25" customHeight="1">
      <c r="G437" s="42"/>
    </row>
    <row r="438" spans="7:7" ht="14.25" customHeight="1">
      <c r="G438" s="42"/>
    </row>
    <row r="439" spans="7:7" ht="14.25" customHeight="1">
      <c r="G439" s="42"/>
    </row>
    <row r="440" spans="7:7" ht="14.25" customHeight="1">
      <c r="G440" s="42"/>
    </row>
    <row r="441" spans="7:7" ht="14.25" customHeight="1">
      <c r="G441" s="42"/>
    </row>
    <row r="442" spans="7:7" ht="14.25" customHeight="1">
      <c r="G442" s="42"/>
    </row>
    <row r="443" spans="7:7" ht="14.25" customHeight="1">
      <c r="G443" s="42"/>
    </row>
    <row r="444" spans="7:7" ht="14.25" customHeight="1">
      <c r="G444" s="42"/>
    </row>
    <row r="445" spans="7:7" ht="14.25" customHeight="1">
      <c r="G445" s="42"/>
    </row>
    <row r="446" spans="7:7" ht="14.25" customHeight="1">
      <c r="G446" s="42"/>
    </row>
    <row r="447" spans="7:7" ht="14.25" customHeight="1">
      <c r="G447" s="42"/>
    </row>
    <row r="448" spans="7:7" ht="14.25" customHeight="1">
      <c r="G448" s="42"/>
    </row>
    <row r="449" spans="7:7" ht="14.25" customHeight="1">
      <c r="G449" s="42"/>
    </row>
    <row r="450" spans="7:7" ht="14.25" customHeight="1">
      <c r="G450" s="42"/>
    </row>
    <row r="451" spans="7:7" ht="14.25" customHeight="1">
      <c r="G451" s="42"/>
    </row>
    <row r="452" spans="7:7" ht="14.25" customHeight="1">
      <c r="G452" s="42"/>
    </row>
    <row r="453" spans="7:7" ht="14.25" customHeight="1">
      <c r="G453" s="42"/>
    </row>
    <row r="454" spans="7:7" ht="14.25" customHeight="1">
      <c r="G454" s="42"/>
    </row>
    <row r="455" spans="7:7" ht="14.25" customHeight="1">
      <c r="G455" s="42"/>
    </row>
    <row r="456" spans="7:7" ht="14.25" customHeight="1">
      <c r="G456" s="42"/>
    </row>
    <row r="457" spans="7:7" ht="14.25" customHeight="1">
      <c r="G457" s="42"/>
    </row>
    <row r="458" spans="7:7" ht="14.25" customHeight="1">
      <c r="G458" s="42"/>
    </row>
    <row r="459" spans="7:7" ht="14.25" customHeight="1">
      <c r="G459" s="42"/>
    </row>
    <row r="460" spans="7:7" ht="14.25" customHeight="1">
      <c r="G460" s="42"/>
    </row>
    <row r="461" spans="7:7" ht="14.25" customHeight="1">
      <c r="G461" s="42"/>
    </row>
    <row r="462" spans="7:7" ht="14.25" customHeight="1">
      <c r="G462" s="42"/>
    </row>
    <row r="463" spans="7:7" ht="14.25" customHeight="1">
      <c r="G463" s="42"/>
    </row>
    <row r="464" spans="7:7" ht="14.25" customHeight="1">
      <c r="G464" s="42"/>
    </row>
    <row r="465" spans="7:7" ht="14.25" customHeight="1">
      <c r="G465" s="42"/>
    </row>
    <row r="466" spans="7:7" ht="14.25" customHeight="1">
      <c r="G466" s="42"/>
    </row>
    <row r="467" spans="7:7" ht="14.25" customHeight="1">
      <c r="G467" s="42"/>
    </row>
    <row r="468" spans="7:7" ht="14.25" customHeight="1">
      <c r="G468" s="42"/>
    </row>
    <row r="469" spans="7:7" ht="14.25" customHeight="1">
      <c r="G469" s="42"/>
    </row>
    <row r="470" spans="7:7" ht="14.25" customHeight="1">
      <c r="G470" s="42"/>
    </row>
    <row r="471" spans="7:7" ht="14.25" customHeight="1">
      <c r="G471" s="42"/>
    </row>
    <row r="472" spans="7:7" ht="14.25" customHeight="1">
      <c r="G472" s="42"/>
    </row>
    <row r="473" spans="7:7" ht="14.25" customHeight="1">
      <c r="G473" s="42"/>
    </row>
    <row r="474" spans="7:7" ht="14.25" customHeight="1">
      <c r="G474" s="42"/>
    </row>
    <row r="475" spans="7:7" ht="14.25" customHeight="1">
      <c r="G475" s="42"/>
    </row>
    <row r="476" spans="7:7" ht="14.25" customHeight="1">
      <c r="G476" s="42"/>
    </row>
    <row r="477" spans="7:7" ht="14.25" customHeight="1">
      <c r="G477" s="42"/>
    </row>
    <row r="478" spans="7:7" ht="14.25" customHeight="1">
      <c r="G478" s="42"/>
    </row>
    <row r="479" spans="7:7" ht="14.25" customHeight="1">
      <c r="G479" s="42"/>
    </row>
    <row r="480" spans="7:7" ht="14.25" customHeight="1">
      <c r="G480" s="42"/>
    </row>
    <row r="481" spans="7:7" ht="14.25" customHeight="1">
      <c r="G481" s="42"/>
    </row>
    <row r="482" spans="7:7" ht="14.25" customHeight="1">
      <c r="G482" s="42"/>
    </row>
    <row r="483" spans="7:7" ht="14.25" customHeight="1">
      <c r="G483" s="42"/>
    </row>
    <row r="484" spans="7:7" ht="14.25" customHeight="1">
      <c r="G484" s="42"/>
    </row>
    <row r="485" spans="7:7" ht="14.25" customHeight="1">
      <c r="G485" s="42"/>
    </row>
    <row r="486" spans="7:7" ht="14.25" customHeight="1">
      <c r="G486" s="42"/>
    </row>
    <row r="487" spans="7:7" ht="14.25" customHeight="1">
      <c r="G487" s="42"/>
    </row>
    <row r="488" spans="7:7" ht="14.25" customHeight="1">
      <c r="G488" s="42"/>
    </row>
    <row r="489" spans="7:7" ht="14.25" customHeight="1">
      <c r="G489" s="42"/>
    </row>
    <row r="490" spans="7:7" ht="14.25" customHeight="1">
      <c r="G490" s="42"/>
    </row>
    <row r="491" spans="7:7" ht="14.25" customHeight="1">
      <c r="G491" s="42"/>
    </row>
    <row r="492" spans="7:7" ht="14.25" customHeight="1">
      <c r="G492" s="42"/>
    </row>
    <row r="493" spans="7:7" ht="14.25" customHeight="1">
      <c r="G493" s="42"/>
    </row>
    <row r="494" spans="7:7" ht="14.25" customHeight="1">
      <c r="G494" s="42"/>
    </row>
    <row r="495" spans="7:7" ht="14.25" customHeight="1">
      <c r="G495" s="42"/>
    </row>
    <row r="496" spans="7:7" ht="14.25" customHeight="1">
      <c r="G496" s="42"/>
    </row>
    <row r="497" spans="7:7" ht="14.25" customHeight="1">
      <c r="G497" s="42"/>
    </row>
    <row r="498" spans="7:7" ht="14.25" customHeight="1">
      <c r="G498" s="42"/>
    </row>
    <row r="499" spans="7:7" ht="14.25" customHeight="1">
      <c r="G499" s="42"/>
    </row>
    <row r="500" spans="7:7" ht="14.25" customHeight="1">
      <c r="G500" s="42"/>
    </row>
    <row r="501" spans="7:7" ht="14.25" customHeight="1">
      <c r="G501" s="42"/>
    </row>
    <row r="502" spans="7:7" ht="14.25" customHeight="1">
      <c r="G502" s="42"/>
    </row>
    <row r="503" spans="7:7" ht="14.25" customHeight="1">
      <c r="G503" s="42"/>
    </row>
    <row r="504" spans="7:7" ht="14.25" customHeight="1">
      <c r="G504" s="42"/>
    </row>
    <row r="505" spans="7:7" ht="14.25" customHeight="1">
      <c r="G505" s="42"/>
    </row>
    <row r="506" spans="7:7" ht="14.25" customHeight="1">
      <c r="G506" s="42"/>
    </row>
    <row r="507" spans="7:7" ht="14.25" customHeight="1">
      <c r="G507" s="42"/>
    </row>
    <row r="508" spans="7:7" ht="14.25" customHeight="1">
      <c r="G508" s="42"/>
    </row>
    <row r="509" spans="7:7" ht="14.25" customHeight="1">
      <c r="G509" s="42"/>
    </row>
    <row r="510" spans="7:7" ht="14.25" customHeight="1">
      <c r="G510" s="42"/>
    </row>
    <row r="511" spans="7:7" ht="14.25" customHeight="1">
      <c r="G511" s="42"/>
    </row>
    <row r="512" spans="7:7" ht="14.25" customHeight="1">
      <c r="G512" s="42"/>
    </row>
    <row r="513" spans="7:7" ht="14.25" customHeight="1">
      <c r="G513" s="42"/>
    </row>
    <row r="514" spans="7:7" ht="14.25" customHeight="1">
      <c r="G514" s="42"/>
    </row>
    <row r="515" spans="7:7" ht="14.25" customHeight="1">
      <c r="G515" s="42"/>
    </row>
    <row r="516" spans="7:7" ht="14.25" customHeight="1">
      <c r="G516" s="42"/>
    </row>
    <row r="517" spans="7:7" ht="14.25" customHeight="1">
      <c r="G517" s="42"/>
    </row>
    <row r="518" spans="7:7" ht="14.25" customHeight="1">
      <c r="G518" s="42"/>
    </row>
    <row r="519" spans="7:7" ht="14.25" customHeight="1">
      <c r="G519" s="42"/>
    </row>
    <row r="520" spans="7:7" ht="14.25" customHeight="1">
      <c r="G520" s="42"/>
    </row>
    <row r="521" spans="7:7" ht="14.25" customHeight="1">
      <c r="G521" s="42"/>
    </row>
    <row r="522" spans="7:7" ht="14.25" customHeight="1">
      <c r="G522" s="42"/>
    </row>
    <row r="523" spans="7:7" ht="14.25" customHeight="1">
      <c r="G523" s="42"/>
    </row>
    <row r="524" spans="7:7" ht="14.25" customHeight="1">
      <c r="G524" s="42"/>
    </row>
    <row r="525" spans="7:7" ht="14.25" customHeight="1">
      <c r="G525" s="42"/>
    </row>
    <row r="526" spans="7:7" ht="14.25" customHeight="1">
      <c r="G526" s="42"/>
    </row>
    <row r="527" spans="7:7" ht="14.25" customHeight="1">
      <c r="G527" s="42"/>
    </row>
    <row r="528" spans="7:7" ht="14.25" customHeight="1">
      <c r="G528" s="42"/>
    </row>
    <row r="529" spans="7:7" ht="14.25" customHeight="1">
      <c r="G529" s="42"/>
    </row>
    <row r="530" spans="7:7" ht="14.25" customHeight="1">
      <c r="G530" s="42"/>
    </row>
    <row r="531" spans="7:7" ht="14.25" customHeight="1">
      <c r="G531" s="42"/>
    </row>
    <row r="532" spans="7:7" ht="14.25" customHeight="1">
      <c r="G532" s="42"/>
    </row>
    <row r="533" spans="7:7" ht="14.25" customHeight="1">
      <c r="G533" s="42"/>
    </row>
    <row r="534" spans="7:7" ht="14.25" customHeight="1">
      <c r="G534" s="42"/>
    </row>
    <row r="535" spans="7:7" ht="14.25" customHeight="1">
      <c r="G535" s="42"/>
    </row>
    <row r="536" spans="7:7" ht="14.25" customHeight="1">
      <c r="G536" s="42"/>
    </row>
    <row r="537" spans="7:7" ht="14.25" customHeight="1">
      <c r="G537" s="42"/>
    </row>
    <row r="538" spans="7:7" ht="14.25" customHeight="1">
      <c r="G538" s="42"/>
    </row>
    <row r="539" spans="7:7" ht="14.25" customHeight="1">
      <c r="G539" s="42"/>
    </row>
    <row r="540" spans="7:7" ht="14.25" customHeight="1">
      <c r="G540" s="42"/>
    </row>
    <row r="541" spans="7:7" ht="14.25" customHeight="1">
      <c r="G541" s="42"/>
    </row>
    <row r="542" spans="7:7" ht="14.25" customHeight="1">
      <c r="G542" s="42"/>
    </row>
    <row r="543" spans="7:7" ht="14.25" customHeight="1">
      <c r="G543" s="42"/>
    </row>
    <row r="544" spans="7:7" ht="14.25" customHeight="1">
      <c r="G544" s="42"/>
    </row>
    <row r="545" spans="7:7" ht="14.25" customHeight="1">
      <c r="G545" s="42"/>
    </row>
    <row r="546" spans="7:7" ht="14.25" customHeight="1">
      <c r="G546" s="42"/>
    </row>
    <row r="547" spans="7:7" ht="14.25" customHeight="1">
      <c r="G547" s="42"/>
    </row>
    <row r="548" spans="7:7" ht="14.25" customHeight="1">
      <c r="G548" s="42"/>
    </row>
    <row r="549" spans="7:7" ht="14.25" customHeight="1">
      <c r="G549" s="42"/>
    </row>
    <row r="550" spans="7:7" ht="14.25" customHeight="1">
      <c r="G550" s="42"/>
    </row>
    <row r="551" spans="7:7" ht="14.25" customHeight="1">
      <c r="G551" s="42"/>
    </row>
    <row r="552" spans="7:7" ht="14.25" customHeight="1">
      <c r="G552" s="42"/>
    </row>
    <row r="553" spans="7:7" ht="14.25" customHeight="1">
      <c r="G553" s="42"/>
    </row>
    <row r="554" spans="7:7" ht="14.25" customHeight="1">
      <c r="G554" s="42"/>
    </row>
    <row r="555" spans="7:7" ht="14.25" customHeight="1">
      <c r="G555" s="42"/>
    </row>
    <row r="556" spans="7:7" ht="14.25" customHeight="1">
      <c r="G556" s="42"/>
    </row>
    <row r="557" spans="7:7" ht="14.25" customHeight="1">
      <c r="G557" s="42"/>
    </row>
    <row r="558" spans="7:7" ht="14.25" customHeight="1">
      <c r="G558" s="42"/>
    </row>
    <row r="559" spans="7:7" ht="14.25" customHeight="1">
      <c r="G559" s="42"/>
    </row>
    <row r="560" spans="7:7" ht="14.25" customHeight="1">
      <c r="G560" s="42"/>
    </row>
    <row r="561" spans="7:7" ht="14.25" customHeight="1">
      <c r="G561" s="42"/>
    </row>
    <row r="562" spans="7:7" ht="14.25" customHeight="1">
      <c r="G562" s="42"/>
    </row>
    <row r="563" spans="7:7" ht="14.25" customHeight="1">
      <c r="G563" s="42"/>
    </row>
    <row r="564" spans="7:7" ht="14.25" customHeight="1">
      <c r="G564" s="42"/>
    </row>
    <row r="565" spans="7:7" ht="14.25" customHeight="1">
      <c r="G565" s="42"/>
    </row>
    <row r="566" spans="7:7" ht="14.25" customHeight="1">
      <c r="G566" s="42"/>
    </row>
    <row r="567" spans="7:7" ht="14.25" customHeight="1">
      <c r="G567" s="42"/>
    </row>
    <row r="568" spans="7:7" ht="14.25" customHeight="1">
      <c r="G568" s="42"/>
    </row>
    <row r="569" spans="7:7" ht="14.25" customHeight="1">
      <c r="G569" s="42"/>
    </row>
    <row r="570" spans="7:7" ht="14.25" customHeight="1">
      <c r="G570" s="42"/>
    </row>
    <row r="571" spans="7:7" ht="14.25" customHeight="1">
      <c r="G571" s="42"/>
    </row>
    <row r="572" spans="7:7" ht="14.25" customHeight="1">
      <c r="G572" s="42"/>
    </row>
    <row r="573" spans="7:7" ht="14.25" customHeight="1">
      <c r="G573" s="42"/>
    </row>
    <row r="574" spans="7:7" ht="14.25" customHeight="1">
      <c r="G574" s="42"/>
    </row>
    <row r="575" spans="7:7" ht="14.25" customHeight="1">
      <c r="G575" s="42"/>
    </row>
    <row r="576" spans="7:7" ht="14.25" customHeight="1">
      <c r="G576" s="42"/>
    </row>
    <row r="577" spans="7:7" ht="14.25" customHeight="1">
      <c r="G577" s="42"/>
    </row>
    <row r="578" spans="7:7" ht="14.25" customHeight="1">
      <c r="G578" s="42"/>
    </row>
    <row r="579" spans="7:7" ht="14.25" customHeight="1">
      <c r="G579" s="42"/>
    </row>
    <row r="580" spans="7:7" ht="14.25" customHeight="1">
      <c r="G580" s="42"/>
    </row>
    <row r="581" spans="7:7" ht="14.25" customHeight="1">
      <c r="G581" s="42"/>
    </row>
    <row r="582" spans="7:7" ht="14.25" customHeight="1">
      <c r="G582" s="42"/>
    </row>
    <row r="583" spans="7:7" ht="14.25" customHeight="1">
      <c r="G583" s="42"/>
    </row>
    <row r="584" spans="7:7" ht="14.25" customHeight="1">
      <c r="G584" s="42"/>
    </row>
    <row r="585" spans="7:7" ht="14.25" customHeight="1">
      <c r="G585" s="42"/>
    </row>
    <row r="586" spans="7:7" ht="14.25" customHeight="1">
      <c r="G586" s="42"/>
    </row>
    <row r="587" spans="7:7" ht="14.25" customHeight="1">
      <c r="G587" s="42"/>
    </row>
    <row r="588" spans="7:7" ht="14.25" customHeight="1">
      <c r="G588" s="42"/>
    </row>
    <row r="589" spans="7:7" ht="14.25" customHeight="1">
      <c r="G589" s="42"/>
    </row>
    <row r="590" spans="7:7" ht="14.25" customHeight="1">
      <c r="G590" s="42"/>
    </row>
    <row r="591" spans="7:7" ht="14.25" customHeight="1">
      <c r="G591" s="42"/>
    </row>
    <row r="592" spans="7:7" ht="14.25" customHeight="1">
      <c r="G592" s="42"/>
    </row>
    <row r="593" spans="7:7" ht="14.25" customHeight="1">
      <c r="G593" s="42"/>
    </row>
    <row r="594" spans="7:7" ht="14.25" customHeight="1">
      <c r="G594" s="42"/>
    </row>
    <row r="595" spans="7:7" ht="14.25" customHeight="1">
      <c r="G595" s="42"/>
    </row>
    <row r="596" spans="7:7" ht="14.25" customHeight="1">
      <c r="G596" s="42"/>
    </row>
    <row r="597" spans="7:7" ht="14.25" customHeight="1">
      <c r="G597" s="42"/>
    </row>
    <row r="598" spans="7:7" ht="14.25" customHeight="1">
      <c r="G598" s="42"/>
    </row>
    <row r="599" spans="7:7" ht="14.25" customHeight="1">
      <c r="G599" s="42"/>
    </row>
    <row r="600" spans="7:7" ht="14.25" customHeight="1">
      <c r="G600" s="42"/>
    </row>
    <row r="601" spans="7:7" ht="14.25" customHeight="1">
      <c r="G601" s="42"/>
    </row>
    <row r="602" spans="7:7" ht="14.25" customHeight="1">
      <c r="G602" s="42"/>
    </row>
    <row r="603" spans="7:7" ht="14.25" customHeight="1">
      <c r="G603" s="42"/>
    </row>
    <row r="604" spans="7:7" ht="14.25" customHeight="1">
      <c r="G604" s="42"/>
    </row>
    <row r="605" spans="7:7" ht="14.25" customHeight="1">
      <c r="G605" s="42"/>
    </row>
    <row r="606" spans="7:7" ht="14.25" customHeight="1">
      <c r="G606" s="42"/>
    </row>
    <row r="607" spans="7:7" ht="14.25" customHeight="1">
      <c r="G607" s="42"/>
    </row>
    <row r="608" spans="7:7" ht="14.25" customHeight="1">
      <c r="G608" s="42"/>
    </row>
    <row r="609" spans="7:7" ht="14.25" customHeight="1">
      <c r="G609" s="42"/>
    </row>
    <row r="610" spans="7:7" ht="14.25" customHeight="1">
      <c r="G610" s="42"/>
    </row>
    <row r="611" spans="7:7" ht="14.25" customHeight="1">
      <c r="G611" s="42"/>
    </row>
    <row r="612" spans="7:7" ht="14.25" customHeight="1">
      <c r="G612" s="42"/>
    </row>
    <row r="613" spans="7:7" ht="14.25" customHeight="1">
      <c r="G613" s="42"/>
    </row>
    <row r="614" spans="7:7" ht="14.25" customHeight="1">
      <c r="G614" s="42"/>
    </row>
    <row r="615" spans="7:7" ht="14.25" customHeight="1">
      <c r="G615" s="42"/>
    </row>
    <row r="616" spans="7:7" ht="14.25" customHeight="1">
      <c r="G616" s="42"/>
    </row>
    <row r="617" spans="7:7" ht="14.25" customHeight="1">
      <c r="G617" s="42"/>
    </row>
    <row r="618" spans="7:7" ht="14.25" customHeight="1">
      <c r="G618" s="42"/>
    </row>
    <row r="619" spans="7:7" ht="14.25" customHeight="1">
      <c r="G619" s="42"/>
    </row>
    <row r="620" spans="7:7" ht="14.25" customHeight="1">
      <c r="G620" s="42"/>
    </row>
    <row r="621" spans="7:7" ht="14.25" customHeight="1">
      <c r="G621" s="42"/>
    </row>
    <row r="622" spans="7:7" ht="14.25" customHeight="1">
      <c r="G622" s="42"/>
    </row>
    <row r="623" spans="7:7" ht="14.25" customHeight="1">
      <c r="G623" s="42"/>
    </row>
    <row r="624" spans="7:7" ht="14.25" customHeight="1">
      <c r="G624" s="42"/>
    </row>
    <row r="625" spans="7:7" ht="14.25" customHeight="1">
      <c r="G625" s="42"/>
    </row>
    <row r="626" spans="7:7" ht="14.25" customHeight="1">
      <c r="G626" s="42"/>
    </row>
    <row r="627" spans="7:7" ht="14.25" customHeight="1">
      <c r="G627" s="42"/>
    </row>
    <row r="628" spans="7:7" ht="14.25" customHeight="1">
      <c r="G628" s="42"/>
    </row>
    <row r="629" spans="7:7" ht="14.25" customHeight="1">
      <c r="G629" s="42"/>
    </row>
    <row r="630" spans="7:7" ht="14.25" customHeight="1">
      <c r="G630" s="42"/>
    </row>
    <row r="631" spans="7:7" ht="14.25" customHeight="1">
      <c r="G631" s="42"/>
    </row>
    <row r="632" spans="7:7" ht="14.25" customHeight="1">
      <c r="G632" s="42"/>
    </row>
    <row r="633" spans="7:7" ht="14.25" customHeight="1">
      <c r="G633" s="42"/>
    </row>
    <row r="634" spans="7:7" ht="14.25" customHeight="1">
      <c r="G634" s="42"/>
    </row>
    <row r="635" spans="7:7" ht="14.25" customHeight="1">
      <c r="G635" s="42"/>
    </row>
    <row r="636" spans="7:7" ht="14.25" customHeight="1">
      <c r="G636" s="42"/>
    </row>
    <row r="637" spans="7:7" ht="14.25" customHeight="1">
      <c r="G637" s="42"/>
    </row>
    <row r="638" spans="7:7" ht="14.25" customHeight="1">
      <c r="G638" s="42"/>
    </row>
    <row r="639" spans="7:7" ht="14.25" customHeight="1">
      <c r="G639" s="42"/>
    </row>
    <row r="640" spans="7:7" ht="14.25" customHeight="1">
      <c r="G640" s="42"/>
    </row>
    <row r="641" spans="7:7" ht="14.25" customHeight="1">
      <c r="G641" s="42"/>
    </row>
    <row r="642" spans="7:7" ht="14.25" customHeight="1">
      <c r="G642" s="42"/>
    </row>
    <row r="643" spans="7:7" ht="14.25" customHeight="1">
      <c r="G643" s="42"/>
    </row>
    <row r="644" spans="7:7" ht="14.25" customHeight="1">
      <c r="G644" s="42"/>
    </row>
    <row r="645" spans="7:7" ht="14.25" customHeight="1">
      <c r="G645" s="42"/>
    </row>
    <row r="646" spans="7:7" ht="14.25" customHeight="1">
      <c r="G646" s="42"/>
    </row>
    <row r="647" spans="7:7" ht="14.25" customHeight="1">
      <c r="G647" s="42"/>
    </row>
    <row r="648" spans="7:7" ht="14.25" customHeight="1">
      <c r="G648" s="42"/>
    </row>
    <row r="649" spans="7:7" ht="14.25" customHeight="1">
      <c r="G649" s="42"/>
    </row>
    <row r="650" spans="7:7" ht="14.25" customHeight="1">
      <c r="G650" s="42"/>
    </row>
    <row r="651" spans="7:7" ht="14.25" customHeight="1">
      <c r="G651" s="42"/>
    </row>
    <row r="652" spans="7:7" ht="14.25" customHeight="1">
      <c r="G652" s="42"/>
    </row>
    <row r="653" spans="7:7" ht="14.25" customHeight="1">
      <c r="G653" s="42"/>
    </row>
    <row r="654" spans="7:7" ht="14.25" customHeight="1">
      <c r="G654" s="42"/>
    </row>
    <row r="655" spans="7:7" ht="14.25" customHeight="1">
      <c r="G655" s="42"/>
    </row>
    <row r="656" spans="7:7" ht="14.25" customHeight="1">
      <c r="G656" s="42"/>
    </row>
    <row r="657" spans="7:7" ht="14.25" customHeight="1">
      <c r="G657" s="42"/>
    </row>
    <row r="658" spans="7:7" ht="14.25" customHeight="1">
      <c r="G658" s="42"/>
    </row>
    <row r="659" spans="7:7" ht="14.25" customHeight="1">
      <c r="G659" s="42"/>
    </row>
    <row r="660" spans="7:7" ht="14.25" customHeight="1">
      <c r="G660" s="42"/>
    </row>
    <row r="661" spans="7:7" ht="14.25" customHeight="1">
      <c r="G661" s="42"/>
    </row>
    <row r="662" spans="7:7" ht="14.25" customHeight="1">
      <c r="G662" s="42"/>
    </row>
    <row r="663" spans="7:7" ht="14.25" customHeight="1">
      <c r="G663" s="42"/>
    </row>
    <row r="664" spans="7:7" ht="14.25" customHeight="1">
      <c r="G664" s="42"/>
    </row>
    <row r="665" spans="7:7" ht="14.25" customHeight="1">
      <c r="G665" s="42"/>
    </row>
    <row r="666" spans="7:7" ht="14.25" customHeight="1">
      <c r="G666" s="42"/>
    </row>
    <row r="667" spans="7:7" ht="14.25" customHeight="1">
      <c r="G667" s="42"/>
    </row>
    <row r="668" spans="7:7" ht="14.25" customHeight="1">
      <c r="G668" s="42"/>
    </row>
    <row r="669" spans="7:7" ht="14.25" customHeight="1">
      <c r="G669" s="42"/>
    </row>
    <row r="670" spans="7:7" ht="14.25" customHeight="1">
      <c r="G670" s="42"/>
    </row>
    <row r="671" spans="7:7" ht="14.25" customHeight="1">
      <c r="G671" s="42"/>
    </row>
    <row r="672" spans="7:7" ht="14.25" customHeight="1">
      <c r="G672" s="42"/>
    </row>
    <row r="673" spans="7:7" ht="14.25" customHeight="1">
      <c r="G673" s="42"/>
    </row>
    <row r="674" spans="7:7" ht="14.25" customHeight="1">
      <c r="G674" s="42"/>
    </row>
    <row r="675" spans="7:7" ht="14.25" customHeight="1">
      <c r="G675" s="42"/>
    </row>
    <row r="676" spans="7:7" ht="14.25" customHeight="1">
      <c r="G676" s="42"/>
    </row>
    <row r="677" spans="7:7" ht="14.25" customHeight="1">
      <c r="G677" s="42"/>
    </row>
    <row r="678" spans="7:7" ht="14.25" customHeight="1">
      <c r="G678" s="42"/>
    </row>
    <row r="679" spans="7:7" ht="14.25" customHeight="1">
      <c r="G679" s="42"/>
    </row>
    <row r="680" spans="7:7" ht="14.25" customHeight="1">
      <c r="G680" s="42"/>
    </row>
    <row r="681" spans="7:7" ht="14.25" customHeight="1">
      <c r="G681" s="42"/>
    </row>
    <row r="682" spans="7:7" ht="14.25" customHeight="1">
      <c r="G682" s="42"/>
    </row>
    <row r="683" spans="7:7" ht="14.25" customHeight="1">
      <c r="G683" s="42"/>
    </row>
    <row r="684" spans="7:7" ht="14.25" customHeight="1">
      <c r="G684" s="42"/>
    </row>
    <row r="685" spans="7:7" ht="14.25" customHeight="1">
      <c r="G685" s="42"/>
    </row>
    <row r="686" spans="7:7" ht="14.25" customHeight="1">
      <c r="G686" s="42"/>
    </row>
    <row r="687" spans="7:7" ht="14.25" customHeight="1">
      <c r="G687" s="42"/>
    </row>
    <row r="688" spans="7:7" ht="14.25" customHeight="1">
      <c r="G688" s="42"/>
    </row>
    <row r="689" spans="7:7" ht="14.25" customHeight="1">
      <c r="G689" s="42"/>
    </row>
    <row r="690" spans="7:7" ht="14.25" customHeight="1">
      <c r="G690" s="42"/>
    </row>
    <row r="691" spans="7:7" ht="14.25" customHeight="1">
      <c r="G691" s="42"/>
    </row>
    <row r="692" spans="7:7" ht="14.25" customHeight="1">
      <c r="G692" s="42"/>
    </row>
    <row r="693" spans="7:7" ht="14.25" customHeight="1">
      <c r="G693" s="42"/>
    </row>
    <row r="694" spans="7:7" ht="14.25" customHeight="1">
      <c r="G694" s="42"/>
    </row>
    <row r="695" spans="7:7" ht="14.25" customHeight="1">
      <c r="G695" s="42"/>
    </row>
    <row r="696" spans="7:7" ht="14.25" customHeight="1">
      <c r="G696" s="42"/>
    </row>
    <row r="697" spans="7:7" ht="14.25" customHeight="1">
      <c r="G697" s="42"/>
    </row>
    <row r="698" spans="7:7" ht="14.25" customHeight="1">
      <c r="G698" s="42"/>
    </row>
    <row r="699" spans="7:7" ht="14.25" customHeight="1">
      <c r="G699" s="42"/>
    </row>
    <row r="700" spans="7:7" ht="14.25" customHeight="1">
      <c r="G700" s="42"/>
    </row>
    <row r="701" spans="7:7" ht="14.25" customHeight="1">
      <c r="G701" s="42"/>
    </row>
    <row r="702" spans="7:7" ht="14.25" customHeight="1">
      <c r="G702" s="42"/>
    </row>
    <row r="703" spans="7:7" ht="14.25" customHeight="1">
      <c r="G703" s="42"/>
    </row>
    <row r="704" spans="7:7" ht="14.25" customHeight="1">
      <c r="G704" s="42"/>
    </row>
    <row r="705" spans="7:7" ht="14.25" customHeight="1">
      <c r="G705" s="42"/>
    </row>
    <row r="706" spans="7:7" ht="14.25" customHeight="1">
      <c r="G706" s="42"/>
    </row>
    <row r="707" spans="7:7" ht="14.25" customHeight="1">
      <c r="G707" s="42"/>
    </row>
    <row r="708" spans="7:7" ht="14.25" customHeight="1">
      <c r="G708" s="42"/>
    </row>
    <row r="709" spans="7:7" ht="14.25" customHeight="1">
      <c r="G709" s="42"/>
    </row>
    <row r="710" spans="7:7" ht="14.25" customHeight="1">
      <c r="G710" s="42"/>
    </row>
    <row r="711" spans="7:7" ht="14.25" customHeight="1">
      <c r="G711" s="42"/>
    </row>
    <row r="712" spans="7:7" ht="14.25" customHeight="1">
      <c r="G712" s="42"/>
    </row>
    <row r="713" spans="7:7" ht="14.25" customHeight="1">
      <c r="G713" s="42"/>
    </row>
    <row r="714" spans="7:7" ht="14.25" customHeight="1">
      <c r="G714" s="42"/>
    </row>
    <row r="715" spans="7:7" ht="14.25" customHeight="1">
      <c r="G715" s="42"/>
    </row>
    <row r="716" spans="7:7" ht="14.25" customHeight="1">
      <c r="G716" s="42"/>
    </row>
    <row r="717" spans="7:7" ht="14.25" customHeight="1">
      <c r="G717" s="42"/>
    </row>
    <row r="718" spans="7:7" ht="14.25" customHeight="1">
      <c r="G718" s="42"/>
    </row>
    <row r="719" spans="7:7" ht="14.25" customHeight="1">
      <c r="G719" s="42"/>
    </row>
    <row r="720" spans="7:7" ht="14.25" customHeight="1">
      <c r="G720" s="42"/>
    </row>
    <row r="721" spans="7:7" ht="14.25" customHeight="1">
      <c r="G721" s="42"/>
    </row>
    <row r="722" spans="7:7" ht="14.25" customHeight="1">
      <c r="G722" s="42"/>
    </row>
    <row r="723" spans="7:7" ht="14.25" customHeight="1">
      <c r="G723" s="42"/>
    </row>
    <row r="724" spans="7:7" ht="14.25" customHeight="1">
      <c r="G724" s="42"/>
    </row>
    <row r="725" spans="7:7" ht="14.25" customHeight="1">
      <c r="G725" s="42"/>
    </row>
    <row r="726" spans="7:7" ht="14.25" customHeight="1">
      <c r="G726" s="42"/>
    </row>
    <row r="727" spans="7:7" ht="14.25" customHeight="1">
      <c r="G727" s="42"/>
    </row>
    <row r="728" spans="7:7" ht="14.25" customHeight="1">
      <c r="G728" s="42"/>
    </row>
    <row r="729" spans="7:7" ht="14.25" customHeight="1">
      <c r="G729" s="42"/>
    </row>
    <row r="730" spans="7:7" ht="14.25" customHeight="1">
      <c r="G730" s="42"/>
    </row>
    <row r="731" spans="7:7" ht="14.25" customHeight="1">
      <c r="G731" s="42"/>
    </row>
    <row r="732" spans="7:7" ht="14.25" customHeight="1">
      <c r="G732" s="42"/>
    </row>
    <row r="733" spans="7:7" ht="14.25" customHeight="1">
      <c r="G733" s="42"/>
    </row>
    <row r="734" spans="7:7" ht="14.25" customHeight="1">
      <c r="G734" s="42"/>
    </row>
    <row r="735" spans="7:7" ht="14.25" customHeight="1">
      <c r="G735" s="42"/>
    </row>
    <row r="736" spans="7:7" ht="14.25" customHeight="1">
      <c r="G736" s="42"/>
    </row>
    <row r="737" spans="7:7" ht="14.25" customHeight="1">
      <c r="G737" s="42"/>
    </row>
    <row r="738" spans="7:7" ht="14.25" customHeight="1">
      <c r="G738" s="42"/>
    </row>
    <row r="739" spans="7:7" ht="14.25" customHeight="1">
      <c r="G739" s="42"/>
    </row>
    <row r="740" spans="7:7" ht="14.25" customHeight="1">
      <c r="G740" s="42"/>
    </row>
    <row r="741" spans="7:7" ht="14.25" customHeight="1">
      <c r="G741" s="42"/>
    </row>
    <row r="742" spans="7:7" ht="14.25" customHeight="1">
      <c r="G742" s="42"/>
    </row>
    <row r="743" spans="7:7" ht="14.25" customHeight="1">
      <c r="G743" s="42"/>
    </row>
    <row r="744" spans="7:7" ht="14.25" customHeight="1">
      <c r="G744" s="42"/>
    </row>
    <row r="745" spans="7:7" ht="14.25" customHeight="1">
      <c r="G745" s="42"/>
    </row>
    <row r="746" spans="7:7" ht="14.25" customHeight="1">
      <c r="G746" s="42"/>
    </row>
    <row r="747" spans="7:7" ht="14.25" customHeight="1">
      <c r="G747" s="42"/>
    </row>
    <row r="748" spans="7:7" ht="14.25" customHeight="1">
      <c r="G748" s="42"/>
    </row>
    <row r="749" spans="7:7" ht="14.25" customHeight="1">
      <c r="G749" s="42"/>
    </row>
    <row r="750" spans="7:7" ht="14.25" customHeight="1">
      <c r="G750" s="42"/>
    </row>
    <row r="751" spans="7:7" ht="14.25" customHeight="1">
      <c r="G751" s="42"/>
    </row>
    <row r="752" spans="7:7" ht="14.25" customHeight="1">
      <c r="G752" s="42"/>
    </row>
    <row r="753" spans="7:7" ht="14.25" customHeight="1">
      <c r="G753" s="42"/>
    </row>
    <row r="754" spans="7:7" ht="14.25" customHeight="1">
      <c r="G754" s="42"/>
    </row>
    <row r="755" spans="7:7" ht="14.25" customHeight="1">
      <c r="G755" s="42"/>
    </row>
    <row r="756" spans="7:7" ht="14.25" customHeight="1">
      <c r="G756" s="42"/>
    </row>
    <row r="757" spans="7:7" ht="14.25" customHeight="1">
      <c r="G757" s="42"/>
    </row>
    <row r="758" spans="7:7" ht="14.25" customHeight="1">
      <c r="G758" s="42"/>
    </row>
    <row r="759" spans="7:7" ht="14.25" customHeight="1">
      <c r="G759" s="42"/>
    </row>
    <row r="760" spans="7:7" ht="14.25" customHeight="1">
      <c r="G760" s="42"/>
    </row>
    <row r="761" spans="7:7" ht="14.25" customHeight="1">
      <c r="G761" s="42"/>
    </row>
    <row r="762" spans="7:7" ht="14.25" customHeight="1">
      <c r="G762" s="42"/>
    </row>
    <row r="763" spans="7:7" ht="14.25" customHeight="1">
      <c r="G763" s="42"/>
    </row>
    <row r="764" spans="7:7" ht="14.25" customHeight="1">
      <c r="G764" s="42"/>
    </row>
    <row r="765" spans="7:7" ht="14.25" customHeight="1">
      <c r="G765" s="42"/>
    </row>
    <row r="766" spans="7:7" ht="14.25" customHeight="1">
      <c r="G766" s="42"/>
    </row>
    <row r="767" spans="7:7" ht="14.25" customHeight="1">
      <c r="G767" s="42"/>
    </row>
    <row r="768" spans="7:7" ht="14.25" customHeight="1">
      <c r="G768" s="42"/>
    </row>
    <row r="769" spans="7:7" ht="14.25" customHeight="1">
      <c r="G769" s="42"/>
    </row>
    <row r="770" spans="7:7" ht="14.25" customHeight="1">
      <c r="G770" s="42"/>
    </row>
    <row r="771" spans="7:7" ht="14.25" customHeight="1">
      <c r="G771" s="42"/>
    </row>
    <row r="772" spans="7:7" ht="14.25" customHeight="1">
      <c r="G772" s="42"/>
    </row>
    <row r="773" spans="7:7" ht="14.25" customHeight="1">
      <c r="G773" s="42"/>
    </row>
    <row r="774" spans="7:7" ht="14.25" customHeight="1">
      <c r="G774" s="42"/>
    </row>
    <row r="775" spans="7:7" ht="14.25" customHeight="1">
      <c r="G775" s="42"/>
    </row>
    <row r="776" spans="7:7" ht="14.25" customHeight="1">
      <c r="G776" s="42"/>
    </row>
    <row r="777" spans="7:7" ht="14.25" customHeight="1">
      <c r="G777" s="42"/>
    </row>
    <row r="778" spans="7:7" ht="14.25" customHeight="1">
      <c r="G778" s="42"/>
    </row>
    <row r="779" spans="7:7" ht="14.25" customHeight="1">
      <c r="G779" s="42"/>
    </row>
    <row r="780" spans="7:7" ht="14.25" customHeight="1">
      <c r="G780" s="42"/>
    </row>
    <row r="781" spans="7:7" ht="14.25" customHeight="1">
      <c r="G781" s="42"/>
    </row>
    <row r="782" spans="7:7" ht="14.25" customHeight="1">
      <c r="G782" s="42"/>
    </row>
    <row r="783" spans="7:7" ht="14.25" customHeight="1">
      <c r="G783" s="42"/>
    </row>
    <row r="784" spans="7:7" ht="14.25" customHeight="1">
      <c r="G784" s="42"/>
    </row>
    <row r="785" spans="7:7" ht="14.25" customHeight="1">
      <c r="G785" s="42"/>
    </row>
    <row r="786" spans="7:7" ht="14.25" customHeight="1">
      <c r="G786" s="42"/>
    </row>
    <row r="787" spans="7:7" ht="14.25" customHeight="1">
      <c r="G787" s="42"/>
    </row>
    <row r="788" spans="7:7" ht="14.25" customHeight="1">
      <c r="G788" s="42"/>
    </row>
    <row r="789" spans="7:7" ht="14.25" customHeight="1">
      <c r="G789" s="42"/>
    </row>
    <row r="790" spans="7:7" ht="14.25" customHeight="1">
      <c r="G790" s="42"/>
    </row>
    <row r="791" spans="7:7" ht="14.25" customHeight="1">
      <c r="G791" s="42"/>
    </row>
    <row r="792" spans="7:7" ht="14.25" customHeight="1">
      <c r="G792" s="42"/>
    </row>
    <row r="793" spans="7:7" ht="14.25" customHeight="1">
      <c r="G793" s="42"/>
    </row>
    <row r="794" spans="7:7" ht="14.25" customHeight="1">
      <c r="G794" s="42"/>
    </row>
    <row r="795" spans="7:7" ht="14.25" customHeight="1">
      <c r="G795" s="42"/>
    </row>
    <row r="796" spans="7:7" ht="14.25" customHeight="1">
      <c r="G796" s="42"/>
    </row>
    <row r="797" spans="7:7" ht="14.25" customHeight="1">
      <c r="G797" s="42"/>
    </row>
    <row r="798" spans="7:7" ht="14.25" customHeight="1">
      <c r="G798" s="42"/>
    </row>
    <row r="799" spans="7:7" ht="14.25" customHeight="1">
      <c r="G799" s="42"/>
    </row>
    <row r="800" spans="7:7" ht="14.25" customHeight="1">
      <c r="G800" s="42"/>
    </row>
    <row r="801" spans="7:7" ht="14.25" customHeight="1">
      <c r="G801" s="42"/>
    </row>
    <row r="802" spans="7:7" ht="14.25" customHeight="1">
      <c r="G802" s="42"/>
    </row>
    <row r="803" spans="7:7" ht="14.25" customHeight="1">
      <c r="G803" s="42"/>
    </row>
    <row r="804" spans="7:7" ht="14.25" customHeight="1">
      <c r="G804" s="42"/>
    </row>
    <row r="805" spans="7:7" ht="14.25" customHeight="1">
      <c r="G805" s="42"/>
    </row>
    <row r="806" spans="7:7" ht="14.25" customHeight="1">
      <c r="G806" s="42"/>
    </row>
    <row r="807" spans="7:7" ht="14.25" customHeight="1">
      <c r="G807" s="42"/>
    </row>
    <row r="808" spans="7:7" ht="14.25" customHeight="1">
      <c r="G808" s="42"/>
    </row>
    <row r="809" spans="7:7" ht="14.25" customHeight="1">
      <c r="G809" s="42"/>
    </row>
    <row r="810" spans="7:7" ht="14.25" customHeight="1">
      <c r="G810" s="42"/>
    </row>
    <row r="811" spans="7:7" ht="14.25" customHeight="1">
      <c r="G811" s="42"/>
    </row>
    <row r="812" spans="7:7" ht="14.25" customHeight="1">
      <c r="G812" s="42"/>
    </row>
    <row r="813" spans="7:7" ht="14.25" customHeight="1">
      <c r="G813" s="42"/>
    </row>
    <row r="814" spans="7:7" ht="14.25" customHeight="1">
      <c r="G814" s="42"/>
    </row>
    <row r="815" spans="7:7" ht="14.25" customHeight="1">
      <c r="G815" s="42"/>
    </row>
    <row r="816" spans="7:7" ht="14.25" customHeight="1">
      <c r="G816" s="42"/>
    </row>
    <row r="817" spans="7:7" ht="14.25" customHeight="1">
      <c r="G817" s="42"/>
    </row>
    <row r="818" spans="7:7" ht="14.25" customHeight="1">
      <c r="G818" s="42"/>
    </row>
    <row r="819" spans="7:7" ht="14.25" customHeight="1">
      <c r="G819" s="42"/>
    </row>
    <row r="820" spans="7:7" ht="14.25" customHeight="1">
      <c r="G820" s="42"/>
    </row>
    <row r="821" spans="7:7" ht="14.25" customHeight="1">
      <c r="G821" s="42"/>
    </row>
    <row r="822" spans="7:7" ht="14.25" customHeight="1">
      <c r="G822" s="42"/>
    </row>
    <row r="823" spans="7:7" ht="14.25" customHeight="1">
      <c r="G823" s="42"/>
    </row>
    <row r="824" spans="7:7" ht="14.25" customHeight="1">
      <c r="G824" s="42"/>
    </row>
    <row r="825" spans="7:7" ht="14.25" customHeight="1">
      <c r="G825" s="42"/>
    </row>
    <row r="826" spans="7:7" ht="14.25" customHeight="1">
      <c r="G826" s="42"/>
    </row>
    <row r="827" spans="7:7" ht="14.25" customHeight="1">
      <c r="G827" s="42"/>
    </row>
    <row r="828" spans="7:7" ht="14.25" customHeight="1">
      <c r="G828" s="42"/>
    </row>
    <row r="829" spans="7:7" ht="14.25" customHeight="1">
      <c r="G829" s="42"/>
    </row>
    <row r="830" spans="7:7" ht="14.25" customHeight="1">
      <c r="G830" s="42"/>
    </row>
    <row r="831" spans="7:7" ht="14.25" customHeight="1">
      <c r="G831" s="42"/>
    </row>
    <row r="832" spans="7:7" ht="14.25" customHeight="1">
      <c r="G832" s="42"/>
    </row>
    <row r="833" spans="7:7" ht="14.25" customHeight="1">
      <c r="G833" s="42"/>
    </row>
    <row r="834" spans="7:7" ht="14.25" customHeight="1">
      <c r="G834" s="42"/>
    </row>
    <row r="835" spans="7:7" ht="14.25" customHeight="1">
      <c r="G835" s="42"/>
    </row>
    <row r="836" spans="7:7" ht="14.25" customHeight="1">
      <c r="G836" s="42"/>
    </row>
    <row r="837" spans="7:7" ht="14.25" customHeight="1">
      <c r="G837" s="42"/>
    </row>
    <row r="838" spans="7:7" ht="14.25" customHeight="1">
      <c r="G838" s="42"/>
    </row>
    <row r="839" spans="7:7" ht="14.25" customHeight="1">
      <c r="G839" s="42"/>
    </row>
    <row r="840" spans="7:7" ht="14.25" customHeight="1">
      <c r="G840" s="42"/>
    </row>
    <row r="841" spans="7:7" ht="14.25" customHeight="1">
      <c r="G841" s="42"/>
    </row>
    <row r="842" spans="7:7" ht="14.25" customHeight="1">
      <c r="G842" s="42"/>
    </row>
    <row r="843" spans="7:7" ht="14.25" customHeight="1">
      <c r="G843" s="42"/>
    </row>
    <row r="844" spans="7:7" ht="14.25" customHeight="1">
      <c r="G844" s="42"/>
    </row>
    <row r="845" spans="7:7" ht="14.25" customHeight="1">
      <c r="G845" s="42"/>
    </row>
    <row r="846" spans="7:7" ht="14.25" customHeight="1">
      <c r="G846" s="42"/>
    </row>
    <row r="847" spans="7:7" ht="14.25" customHeight="1">
      <c r="G847" s="42"/>
    </row>
    <row r="848" spans="7:7" ht="14.25" customHeight="1">
      <c r="G848" s="42"/>
    </row>
    <row r="849" spans="7:7" ht="14.25" customHeight="1">
      <c r="G849" s="42"/>
    </row>
    <row r="850" spans="7:7" ht="14.25" customHeight="1">
      <c r="G850" s="42"/>
    </row>
    <row r="851" spans="7:7" ht="14.25" customHeight="1">
      <c r="G851" s="42"/>
    </row>
    <row r="852" spans="7:7" ht="14.25" customHeight="1">
      <c r="G852" s="42"/>
    </row>
    <row r="853" spans="7:7" ht="14.25" customHeight="1">
      <c r="G853" s="42"/>
    </row>
    <row r="854" spans="7:7" ht="14.25" customHeight="1">
      <c r="G854" s="42"/>
    </row>
    <row r="855" spans="7:7" ht="14.25" customHeight="1">
      <c r="G855" s="42"/>
    </row>
    <row r="856" spans="7:7" ht="14.25" customHeight="1">
      <c r="G856" s="42"/>
    </row>
    <row r="857" spans="7:7" ht="14.25" customHeight="1">
      <c r="G857" s="42"/>
    </row>
    <row r="858" spans="7:7" ht="14.25" customHeight="1">
      <c r="G858" s="42"/>
    </row>
    <row r="859" spans="7:7" ht="14.25" customHeight="1">
      <c r="G859" s="42"/>
    </row>
    <row r="860" spans="7:7" ht="14.25" customHeight="1">
      <c r="G860" s="42"/>
    </row>
    <row r="861" spans="7:7" ht="14.25" customHeight="1">
      <c r="G861" s="42"/>
    </row>
    <row r="862" spans="7:7" ht="14.25" customHeight="1">
      <c r="G862" s="42"/>
    </row>
    <row r="863" spans="7:7" ht="14.25" customHeight="1">
      <c r="G863" s="42"/>
    </row>
    <row r="864" spans="7:7" ht="14.25" customHeight="1">
      <c r="G864" s="42"/>
    </row>
    <row r="865" spans="7:7" ht="14.25" customHeight="1">
      <c r="G865" s="42"/>
    </row>
    <row r="866" spans="7:7" ht="14.25" customHeight="1">
      <c r="G866" s="42"/>
    </row>
    <row r="867" spans="7:7" ht="14.25" customHeight="1">
      <c r="G867" s="42"/>
    </row>
    <row r="868" spans="7:7" ht="14.25" customHeight="1">
      <c r="G868" s="42"/>
    </row>
    <row r="869" spans="7:7" ht="14.25" customHeight="1">
      <c r="G869" s="42"/>
    </row>
    <row r="870" spans="7:7" ht="14.25" customHeight="1">
      <c r="G870" s="42"/>
    </row>
    <row r="871" spans="7:7" ht="14.25" customHeight="1">
      <c r="G871" s="42"/>
    </row>
    <row r="872" spans="7:7" ht="14.25" customHeight="1">
      <c r="G872" s="42"/>
    </row>
    <row r="873" spans="7:7" ht="14.25" customHeight="1">
      <c r="G873" s="42"/>
    </row>
    <row r="874" spans="7:7" ht="14.25" customHeight="1">
      <c r="G874" s="42"/>
    </row>
    <row r="875" spans="7:7" ht="14.25" customHeight="1">
      <c r="G875" s="42"/>
    </row>
    <row r="876" spans="7:7" ht="14.25" customHeight="1">
      <c r="G876" s="42"/>
    </row>
    <row r="877" spans="7:7" ht="14.25" customHeight="1">
      <c r="G877" s="42"/>
    </row>
    <row r="878" spans="7:7" ht="14.25" customHeight="1">
      <c r="G878" s="42"/>
    </row>
    <row r="879" spans="7:7" ht="14.25" customHeight="1">
      <c r="G879" s="42"/>
    </row>
    <row r="880" spans="7:7" ht="14.25" customHeight="1">
      <c r="G880" s="42"/>
    </row>
    <row r="881" spans="7:7" ht="14.25" customHeight="1">
      <c r="G881" s="42"/>
    </row>
    <row r="882" spans="7:7" ht="14.25" customHeight="1">
      <c r="G882" s="42"/>
    </row>
    <row r="883" spans="7:7" ht="14.25" customHeight="1">
      <c r="G883" s="42"/>
    </row>
    <row r="884" spans="7:7" ht="14.25" customHeight="1">
      <c r="G884" s="42"/>
    </row>
    <row r="885" spans="7:7" ht="14.25" customHeight="1">
      <c r="G885" s="42"/>
    </row>
    <row r="886" spans="7:7" ht="14.25" customHeight="1">
      <c r="G886" s="42"/>
    </row>
    <row r="887" spans="7:7" ht="14.25" customHeight="1">
      <c r="G887" s="42"/>
    </row>
    <row r="888" spans="7:7" ht="14.25" customHeight="1">
      <c r="G888" s="42"/>
    </row>
    <row r="889" spans="7:7" ht="14.25" customHeight="1">
      <c r="G889" s="42"/>
    </row>
    <row r="890" spans="7:7" ht="14.25" customHeight="1">
      <c r="G890" s="42"/>
    </row>
    <row r="891" spans="7:7" ht="14.25" customHeight="1">
      <c r="G891" s="42"/>
    </row>
    <row r="892" spans="7:7" ht="14.25" customHeight="1">
      <c r="G892" s="42"/>
    </row>
    <row r="893" spans="7:7" ht="14.25" customHeight="1">
      <c r="G893" s="42"/>
    </row>
    <row r="894" spans="7:7" ht="14.25" customHeight="1">
      <c r="G894" s="42"/>
    </row>
    <row r="895" spans="7:7" ht="14.25" customHeight="1">
      <c r="G895" s="42"/>
    </row>
    <row r="896" spans="7:7" ht="14.25" customHeight="1">
      <c r="G896" s="42"/>
    </row>
    <row r="897" spans="7:7" ht="14.25" customHeight="1">
      <c r="G897" s="42"/>
    </row>
    <row r="898" spans="7:7" ht="14.25" customHeight="1">
      <c r="G898" s="42"/>
    </row>
    <row r="899" spans="7:7" ht="14.25" customHeight="1">
      <c r="G899" s="42"/>
    </row>
    <row r="900" spans="7:7" ht="14.25" customHeight="1">
      <c r="G900" s="42"/>
    </row>
    <row r="901" spans="7:7" ht="14.25" customHeight="1">
      <c r="G901" s="42"/>
    </row>
    <row r="902" spans="7:7" ht="14.25" customHeight="1">
      <c r="G902" s="42"/>
    </row>
    <row r="903" spans="7:7" ht="14.25" customHeight="1">
      <c r="G903" s="42"/>
    </row>
    <row r="904" spans="7:7" ht="14.25" customHeight="1">
      <c r="G904" s="42"/>
    </row>
    <row r="905" spans="7:7" ht="14.25" customHeight="1">
      <c r="G905" s="42"/>
    </row>
    <row r="906" spans="7:7" ht="14.25" customHeight="1">
      <c r="G906" s="42"/>
    </row>
    <row r="907" spans="7:7" ht="14.25" customHeight="1">
      <c r="G907" s="42"/>
    </row>
    <row r="908" spans="7:7" ht="14.25" customHeight="1">
      <c r="G908" s="42"/>
    </row>
    <row r="909" spans="7:7" ht="14.25" customHeight="1">
      <c r="G909" s="42"/>
    </row>
    <row r="910" spans="7:7" ht="14.25" customHeight="1">
      <c r="G910" s="42"/>
    </row>
    <row r="911" spans="7:7" ht="14.25" customHeight="1">
      <c r="G911" s="42"/>
    </row>
    <row r="912" spans="7:7" ht="14.25" customHeight="1">
      <c r="G912" s="42"/>
    </row>
    <row r="913" spans="7:7" ht="14.25" customHeight="1">
      <c r="G913" s="42"/>
    </row>
    <row r="914" spans="7:7" ht="14.25" customHeight="1">
      <c r="G914" s="42"/>
    </row>
    <row r="915" spans="7:7" ht="14.25" customHeight="1">
      <c r="G915" s="42"/>
    </row>
    <row r="916" spans="7:7" ht="14.25" customHeight="1">
      <c r="G916" s="42"/>
    </row>
    <row r="917" spans="7:7" ht="14.25" customHeight="1">
      <c r="G917" s="42"/>
    </row>
    <row r="918" spans="7:7" ht="14.25" customHeight="1">
      <c r="G918" s="42"/>
    </row>
    <row r="919" spans="7:7" ht="14.25" customHeight="1">
      <c r="G919" s="42"/>
    </row>
    <row r="920" spans="7:7" ht="14.25" customHeight="1">
      <c r="G920" s="42"/>
    </row>
    <row r="921" spans="7:7" ht="14.25" customHeight="1">
      <c r="G921" s="42"/>
    </row>
    <row r="922" spans="7:7" ht="14.25" customHeight="1">
      <c r="G922" s="42"/>
    </row>
    <row r="923" spans="7:7" ht="14.25" customHeight="1">
      <c r="G923" s="42"/>
    </row>
    <row r="924" spans="7:7" ht="14.25" customHeight="1">
      <c r="G924" s="42"/>
    </row>
    <row r="925" spans="7:7" ht="14.25" customHeight="1">
      <c r="G925" s="42"/>
    </row>
    <row r="926" spans="7:7" ht="14.25" customHeight="1">
      <c r="G926" s="42"/>
    </row>
    <row r="927" spans="7:7" ht="14.25" customHeight="1">
      <c r="G927" s="42"/>
    </row>
    <row r="928" spans="7:7" ht="14.25" customHeight="1">
      <c r="G928" s="42"/>
    </row>
    <row r="929" spans="7:7" ht="14.25" customHeight="1">
      <c r="G929" s="42"/>
    </row>
    <row r="930" spans="7:7" ht="14.25" customHeight="1">
      <c r="G930" s="42"/>
    </row>
    <row r="931" spans="7:7" ht="14.25" customHeight="1">
      <c r="G931" s="42"/>
    </row>
    <row r="932" spans="7:7" ht="14.25" customHeight="1">
      <c r="G932" s="42"/>
    </row>
    <row r="933" spans="7:7" ht="14.25" customHeight="1">
      <c r="G933" s="42"/>
    </row>
    <row r="934" spans="7:7" ht="14.25" customHeight="1">
      <c r="G934" s="42"/>
    </row>
    <row r="935" spans="7:7" ht="14.25" customHeight="1">
      <c r="G935" s="42"/>
    </row>
    <row r="936" spans="7:7" ht="14.25" customHeight="1">
      <c r="G936" s="42"/>
    </row>
    <row r="937" spans="7:7" ht="14.25" customHeight="1">
      <c r="G937" s="42"/>
    </row>
    <row r="938" spans="7:7" ht="14.25" customHeight="1">
      <c r="G938" s="42"/>
    </row>
    <row r="939" spans="7:7" ht="14.25" customHeight="1">
      <c r="G939" s="42"/>
    </row>
    <row r="940" spans="7:7" ht="14.25" customHeight="1">
      <c r="G940" s="42"/>
    </row>
    <row r="941" spans="7:7" ht="14.25" customHeight="1">
      <c r="G941" s="42"/>
    </row>
    <row r="942" spans="7:7" ht="14.25" customHeight="1">
      <c r="G942" s="42"/>
    </row>
    <row r="943" spans="7:7" ht="14.25" customHeight="1">
      <c r="G943" s="42"/>
    </row>
    <row r="944" spans="7:7" ht="14.25" customHeight="1">
      <c r="G944" s="42"/>
    </row>
    <row r="945" spans="7:7" ht="14.25" customHeight="1">
      <c r="G945" s="42"/>
    </row>
    <row r="946" spans="7:7" ht="14.25" customHeight="1">
      <c r="G946" s="42"/>
    </row>
    <row r="947" spans="7:7" ht="14.25" customHeight="1">
      <c r="G947" s="42"/>
    </row>
    <row r="948" spans="7:7" ht="14.25" customHeight="1">
      <c r="G948" s="42"/>
    </row>
    <row r="949" spans="7:7" ht="14.25" customHeight="1">
      <c r="G949" s="42"/>
    </row>
    <row r="950" spans="7:7" ht="14.25" customHeight="1">
      <c r="G950" s="42"/>
    </row>
    <row r="951" spans="7:7" ht="14.25" customHeight="1">
      <c r="G951" s="42"/>
    </row>
    <row r="952" spans="7:7" ht="14.25" customHeight="1">
      <c r="G952" s="42"/>
    </row>
    <row r="953" spans="7:7" ht="14.25" customHeight="1">
      <c r="G953" s="42"/>
    </row>
    <row r="954" spans="7:7" ht="14.25" customHeight="1">
      <c r="G954" s="42"/>
    </row>
    <row r="955" spans="7:7" ht="14.25" customHeight="1">
      <c r="G955" s="42"/>
    </row>
    <row r="956" spans="7:7" ht="14.25" customHeight="1">
      <c r="G956" s="42"/>
    </row>
    <row r="957" spans="7:7" ht="14.25" customHeight="1">
      <c r="G957" s="42"/>
    </row>
    <row r="958" spans="7:7" ht="14.25" customHeight="1">
      <c r="G958" s="42"/>
    </row>
    <row r="959" spans="7:7" ht="14.25" customHeight="1">
      <c r="G959" s="42"/>
    </row>
    <row r="960" spans="7:7" ht="14.25" customHeight="1">
      <c r="G960" s="42"/>
    </row>
    <row r="961" spans="7:7" ht="14.25" customHeight="1">
      <c r="G961" s="42"/>
    </row>
    <row r="962" spans="7:7" ht="14.25" customHeight="1">
      <c r="G962" s="42"/>
    </row>
    <row r="963" spans="7:7" ht="14.25" customHeight="1">
      <c r="G963" s="42"/>
    </row>
    <row r="964" spans="7:7" ht="14.25" customHeight="1">
      <c r="G964" s="42"/>
    </row>
    <row r="965" spans="7:7" ht="14.25" customHeight="1">
      <c r="G965" s="42"/>
    </row>
    <row r="966" spans="7:7" ht="14.25" customHeight="1">
      <c r="G966" s="42"/>
    </row>
    <row r="967" spans="7:7" ht="14.25" customHeight="1">
      <c r="G967" s="42"/>
    </row>
    <row r="968" spans="7:7" ht="14.25" customHeight="1">
      <c r="G968" s="42"/>
    </row>
    <row r="969" spans="7:7" ht="14.25" customHeight="1">
      <c r="G969" s="42"/>
    </row>
    <row r="970" spans="7:7" ht="14.25" customHeight="1">
      <c r="G970" s="42"/>
    </row>
    <row r="971" spans="7:7" ht="14.25" customHeight="1">
      <c r="G971" s="42"/>
    </row>
    <row r="972" spans="7:7" ht="14.25" customHeight="1">
      <c r="G972" s="42"/>
    </row>
    <row r="973" spans="7:7" ht="14.25" customHeight="1">
      <c r="G973" s="42"/>
    </row>
    <row r="974" spans="7:7" ht="14.25" customHeight="1">
      <c r="G974" s="42"/>
    </row>
    <row r="975" spans="7:7" ht="14.25" customHeight="1">
      <c r="G975" s="42"/>
    </row>
    <row r="976" spans="7:7" ht="14.25" customHeight="1">
      <c r="G976" s="42"/>
    </row>
    <row r="977" spans="7:7" ht="14.25" customHeight="1">
      <c r="G977" s="42"/>
    </row>
    <row r="978" spans="7:7" ht="14.25" customHeight="1">
      <c r="G978" s="42"/>
    </row>
    <row r="979" spans="7:7" ht="14.25" customHeight="1">
      <c r="G979" s="42"/>
    </row>
    <row r="980" spans="7:7" ht="14.25" customHeight="1">
      <c r="G980" s="42"/>
    </row>
    <row r="981" spans="7:7" ht="14.25" customHeight="1">
      <c r="G981" s="42"/>
    </row>
    <row r="982" spans="7:7" ht="14.25" customHeight="1">
      <c r="G982" s="42"/>
    </row>
    <row r="983" spans="7:7" ht="14.25" customHeight="1">
      <c r="G983" s="42"/>
    </row>
    <row r="984" spans="7:7" ht="14.25" customHeight="1">
      <c r="G984" s="42"/>
    </row>
    <row r="985" spans="7:7" ht="14.25" customHeight="1">
      <c r="G985" s="42"/>
    </row>
    <row r="986" spans="7:7" ht="14.25" customHeight="1">
      <c r="G986" s="42"/>
    </row>
    <row r="987" spans="7:7" ht="14.25" customHeight="1">
      <c r="G987" s="42"/>
    </row>
    <row r="988" spans="7:7" ht="14.25" customHeight="1">
      <c r="G988" s="42"/>
    </row>
    <row r="989" spans="7:7" ht="14.25" customHeight="1">
      <c r="G989" s="42"/>
    </row>
    <row r="990" spans="7:7" ht="14.25" customHeight="1">
      <c r="G990" s="42"/>
    </row>
    <row r="991" spans="7:7" ht="14.25" customHeight="1">
      <c r="G991" s="42"/>
    </row>
    <row r="992" spans="7:7" ht="14.25" customHeight="1">
      <c r="G992" s="42"/>
    </row>
    <row r="993" spans="7:7" ht="14.25" customHeight="1">
      <c r="G993" s="42"/>
    </row>
    <row r="994" spans="7:7" ht="14.25" customHeight="1">
      <c r="G994" s="42"/>
    </row>
    <row r="995" spans="7:7" ht="14.25" customHeight="1">
      <c r="G995" s="42"/>
    </row>
    <row r="996" spans="7:7" ht="14.25" customHeight="1">
      <c r="G996" s="42"/>
    </row>
    <row r="997" spans="7:7" ht="14.25" customHeight="1">
      <c r="G997" s="42"/>
    </row>
    <row r="998" spans="7:7" ht="14.25" customHeight="1">
      <c r="G998" s="42"/>
    </row>
    <row r="999" spans="7:7" ht="14.25" customHeight="1">
      <c r="G999" s="42"/>
    </row>
    <row r="1000" spans="7:7" ht="14.25" customHeight="1">
      <c r="G1000" s="42"/>
    </row>
  </sheetData>
  <pageMargins left="0.2" right="0.2" top="0.25" bottom="0.25" header="0" footer="0"/>
  <pageSetup paperSize="9" scale="10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.7109375" customWidth="1"/>
    <col min="2" max="2" width="12.42578125" customWidth="1"/>
    <col min="3" max="3" width="14.42578125" customWidth="1"/>
    <col min="4" max="4" width="30.140625" customWidth="1"/>
    <col min="5" max="5" width="19.42578125" customWidth="1"/>
    <col min="6" max="6" width="15.28515625" customWidth="1"/>
    <col min="7" max="7" width="13.7109375" customWidth="1"/>
    <col min="8" max="8" width="19.28515625" customWidth="1"/>
    <col min="9" max="9" width="11.5703125" customWidth="1"/>
    <col min="10" max="10" width="12" customWidth="1"/>
    <col min="11" max="11" width="12.42578125" customWidth="1"/>
    <col min="12" max="15" width="11.5703125" customWidth="1"/>
    <col min="16" max="26" width="8.7109375" customWidth="1"/>
  </cols>
  <sheetData>
    <row r="1" spans="1:26" ht="33" customHeight="1">
      <c r="A1" s="43" t="s">
        <v>1</v>
      </c>
      <c r="B1" s="44" t="s">
        <v>3940</v>
      </c>
      <c r="C1" s="44" t="s">
        <v>3941</v>
      </c>
      <c r="D1" s="44" t="s">
        <v>3942</v>
      </c>
      <c r="E1" s="44" t="s">
        <v>3943</v>
      </c>
      <c r="F1" s="44" t="s">
        <v>3944</v>
      </c>
      <c r="G1" s="44" t="s">
        <v>3945</v>
      </c>
      <c r="H1" s="44" t="s">
        <v>3946</v>
      </c>
      <c r="I1" s="45" t="s">
        <v>16</v>
      </c>
      <c r="J1" s="46" t="s">
        <v>3947</v>
      </c>
      <c r="K1" s="46" t="s">
        <v>3948</v>
      </c>
      <c r="L1" s="46" t="s">
        <v>3949</v>
      </c>
      <c r="M1" s="46" t="s">
        <v>3950</v>
      </c>
      <c r="N1" s="46" t="s">
        <v>3951</v>
      </c>
      <c r="O1" s="46" t="s">
        <v>3952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4.25" customHeight="1">
      <c r="A2" s="47"/>
      <c r="B2" s="48"/>
      <c r="C2" s="29"/>
      <c r="D2" s="48"/>
      <c r="E2" s="29"/>
      <c r="F2" s="49" t="s">
        <v>3953</v>
      </c>
      <c r="G2" s="49" t="s">
        <v>3953</v>
      </c>
      <c r="H2" s="49" t="s">
        <v>3953</v>
      </c>
      <c r="I2" s="50"/>
      <c r="J2" s="15"/>
      <c r="K2" s="15"/>
      <c r="L2" s="15"/>
      <c r="M2" s="15"/>
      <c r="N2" s="15"/>
      <c r="O2" s="15"/>
    </row>
    <row r="3" spans="1:26" ht="14.25" customHeight="1">
      <c r="A3" s="25" t="s">
        <v>39</v>
      </c>
      <c r="B3" s="51" t="s">
        <v>3954</v>
      </c>
      <c r="C3" s="52">
        <v>1</v>
      </c>
      <c r="D3" s="53" t="s">
        <v>55</v>
      </c>
      <c r="E3" s="51" t="s">
        <v>47</v>
      </c>
      <c r="F3" s="54" t="s">
        <v>3955</v>
      </c>
      <c r="G3" s="54" t="s">
        <v>3955</v>
      </c>
      <c r="H3" s="54" t="s">
        <v>3955</v>
      </c>
      <c r="I3" s="55" t="s">
        <v>3956</v>
      </c>
      <c r="J3" s="30">
        <v>4</v>
      </c>
      <c r="K3" s="30">
        <v>1</v>
      </c>
      <c r="L3" s="30">
        <v>1</v>
      </c>
      <c r="M3" s="30">
        <v>1</v>
      </c>
      <c r="N3" s="30"/>
      <c r="O3" s="30"/>
    </row>
    <row r="4" spans="1:26" ht="14.25" customHeight="1">
      <c r="A4" s="56" t="s">
        <v>3957</v>
      </c>
      <c r="B4" s="57" t="s">
        <v>3954</v>
      </c>
      <c r="C4" s="58">
        <v>2</v>
      </c>
      <c r="D4" s="59" t="s">
        <v>3958</v>
      </c>
      <c r="E4" s="57" t="s">
        <v>3959</v>
      </c>
      <c r="F4" s="60" t="s">
        <v>3960</v>
      </c>
      <c r="G4" s="60" t="s">
        <v>3960</v>
      </c>
      <c r="H4" s="60" t="s">
        <v>3960</v>
      </c>
      <c r="I4" s="61" t="s">
        <v>3961</v>
      </c>
      <c r="J4" s="58"/>
      <c r="K4" s="58"/>
      <c r="L4" s="58"/>
      <c r="M4" s="58"/>
      <c r="N4" s="58"/>
      <c r="O4" s="58"/>
    </row>
    <row r="5" spans="1:26" ht="14.25" customHeight="1">
      <c r="A5" s="56" t="s">
        <v>51</v>
      </c>
      <c r="B5" s="57" t="s">
        <v>3954</v>
      </c>
      <c r="C5" s="58">
        <v>3</v>
      </c>
      <c r="D5" s="59" t="s">
        <v>3962</v>
      </c>
      <c r="E5" s="57" t="s">
        <v>60</v>
      </c>
      <c r="F5" s="60" t="s">
        <v>3963</v>
      </c>
      <c r="G5" s="60" t="s">
        <v>3963</v>
      </c>
      <c r="H5" s="60" t="s">
        <v>3963</v>
      </c>
      <c r="I5" s="62" t="s">
        <v>3961</v>
      </c>
      <c r="J5" s="58"/>
      <c r="K5" s="58"/>
      <c r="L5" s="58"/>
      <c r="M5" s="58"/>
      <c r="N5" s="58"/>
      <c r="O5" s="58"/>
    </row>
    <row r="6" spans="1:26" ht="14.25" customHeight="1">
      <c r="A6" s="63" t="s">
        <v>63</v>
      </c>
      <c r="B6" s="15" t="s">
        <v>3954</v>
      </c>
      <c r="C6" s="30">
        <v>4</v>
      </c>
      <c r="D6" s="64" t="s">
        <v>3964</v>
      </c>
      <c r="E6" s="15" t="s">
        <v>64</v>
      </c>
      <c r="F6" s="65" t="s">
        <v>3965</v>
      </c>
      <c r="G6" s="65" t="s">
        <v>3965</v>
      </c>
      <c r="H6" s="65" t="s">
        <v>3965</v>
      </c>
      <c r="I6" s="55" t="s">
        <v>3956</v>
      </c>
      <c r="J6" s="30"/>
      <c r="K6" s="30"/>
      <c r="L6" s="30"/>
      <c r="M6" s="30"/>
      <c r="N6" s="30"/>
      <c r="O6" s="30"/>
    </row>
    <row r="7" spans="1:26" ht="14.25" customHeight="1">
      <c r="A7" s="63" t="s">
        <v>76</v>
      </c>
      <c r="B7" s="15" t="s">
        <v>3966</v>
      </c>
      <c r="C7" s="30">
        <v>5</v>
      </c>
      <c r="D7" s="64" t="s">
        <v>3967</v>
      </c>
      <c r="E7" s="15" t="s">
        <v>73</v>
      </c>
      <c r="F7" s="65" t="s">
        <v>3968</v>
      </c>
      <c r="G7" s="65" t="s">
        <v>3968</v>
      </c>
      <c r="H7" s="65" t="s">
        <v>3968</v>
      </c>
      <c r="I7" s="55" t="s">
        <v>3956</v>
      </c>
      <c r="J7" s="30"/>
      <c r="K7" s="30"/>
      <c r="L7" s="30"/>
      <c r="M7" s="30"/>
      <c r="N7" s="30"/>
      <c r="O7" s="30"/>
    </row>
    <row r="8" spans="1:26" ht="14.25" customHeight="1">
      <c r="A8" s="63" t="s">
        <v>80</v>
      </c>
      <c r="B8" s="15" t="s">
        <v>3966</v>
      </c>
      <c r="C8" s="30">
        <v>6</v>
      </c>
      <c r="D8" s="64" t="s">
        <v>735</v>
      </c>
      <c r="E8" s="15" t="s">
        <v>64</v>
      </c>
      <c r="F8" s="65" t="s">
        <v>3969</v>
      </c>
      <c r="G8" s="65" t="s">
        <v>3969</v>
      </c>
      <c r="H8" s="65" t="s">
        <v>3969</v>
      </c>
      <c r="I8" s="55" t="s">
        <v>3956</v>
      </c>
      <c r="J8" s="30"/>
      <c r="K8" s="30"/>
      <c r="L8" s="30"/>
      <c r="M8" s="30"/>
      <c r="N8" s="30">
        <v>2</v>
      </c>
      <c r="O8" s="30"/>
    </row>
    <row r="9" spans="1:26" ht="14.25" customHeight="1">
      <c r="A9" s="63" t="s">
        <v>193</v>
      </c>
      <c r="B9" s="18"/>
      <c r="C9" s="66"/>
      <c r="D9" s="64" t="s">
        <v>2314</v>
      </c>
      <c r="E9" s="15" t="s">
        <v>564</v>
      </c>
      <c r="F9" s="65" t="s">
        <v>3970</v>
      </c>
      <c r="G9" s="65" t="s">
        <v>3970</v>
      </c>
      <c r="H9" s="65" t="s">
        <v>3970</v>
      </c>
      <c r="I9" s="55"/>
      <c r="J9" s="30"/>
      <c r="K9" s="30"/>
      <c r="L9" s="30"/>
      <c r="M9" s="30"/>
      <c r="N9" s="30"/>
      <c r="O9" s="30"/>
    </row>
    <row r="10" spans="1:26" ht="14.25" customHeight="1">
      <c r="A10" s="63" t="s">
        <v>558</v>
      </c>
      <c r="B10" s="15" t="s">
        <v>3971</v>
      </c>
      <c r="C10" s="30">
        <v>7</v>
      </c>
      <c r="D10" s="64" t="s">
        <v>3972</v>
      </c>
      <c r="E10" s="15" t="s">
        <v>564</v>
      </c>
      <c r="F10" s="65" t="s">
        <v>3970</v>
      </c>
      <c r="G10" s="65" t="s">
        <v>3970</v>
      </c>
      <c r="H10" s="65" t="s">
        <v>3970</v>
      </c>
      <c r="I10" s="55" t="s">
        <v>3956</v>
      </c>
      <c r="J10" s="30">
        <v>15</v>
      </c>
      <c r="K10" s="30"/>
      <c r="L10" s="30">
        <v>5</v>
      </c>
      <c r="M10" s="30"/>
      <c r="N10" s="30"/>
      <c r="O10" s="30">
        <v>1</v>
      </c>
    </row>
    <row r="11" spans="1:26" ht="14.25" customHeight="1">
      <c r="A11" s="56" t="s">
        <v>227</v>
      </c>
      <c r="B11" s="57" t="s">
        <v>241</v>
      </c>
      <c r="C11" s="58">
        <v>8</v>
      </c>
      <c r="D11" s="59" t="s">
        <v>3973</v>
      </c>
      <c r="E11" s="57" t="s">
        <v>233</v>
      </c>
      <c r="F11" s="60" t="s">
        <v>3974</v>
      </c>
      <c r="G11" s="60" t="s">
        <v>3974</v>
      </c>
      <c r="H11" s="60" t="s">
        <v>3974</v>
      </c>
      <c r="I11" s="62" t="s">
        <v>3961</v>
      </c>
      <c r="J11" s="58"/>
      <c r="K11" s="58"/>
      <c r="L11" s="58"/>
      <c r="M11" s="58"/>
      <c r="N11" s="58"/>
      <c r="O11" s="58"/>
    </row>
    <row r="12" spans="1:26" ht="14.25" customHeight="1">
      <c r="A12" s="63" t="s">
        <v>138</v>
      </c>
      <c r="B12" s="15" t="s">
        <v>3975</v>
      </c>
      <c r="C12" s="30">
        <v>9</v>
      </c>
      <c r="D12" s="64" t="s">
        <v>3976</v>
      </c>
      <c r="E12" s="15" t="s">
        <v>94</v>
      </c>
      <c r="F12" s="65" t="s">
        <v>3977</v>
      </c>
      <c r="G12" s="65" t="s">
        <v>3977</v>
      </c>
      <c r="H12" s="65" t="s">
        <v>3977</v>
      </c>
      <c r="I12" s="55" t="s">
        <v>3956</v>
      </c>
      <c r="J12" s="30"/>
      <c r="K12" s="30"/>
      <c r="L12" s="30"/>
      <c r="M12" s="30"/>
      <c r="N12" s="30"/>
      <c r="O12" s="30"/>
    </row>
    <row r="13" spans="1:26" ht="14.25" customHeight="1">
      <c r="A13" s="63" t="s">
        <v>185</v>
      </c>
      <c r="B13" s="15" t="s">
        <v>3975</v>
      </c>
      <c r="C13" s="30">
        <v>10</v>
      </c>
      <c r="D13" s="64" t="s">
        <v>3978</v>
      </c>
      <c r="E13" s="15" t="s">
        <v>190</v>
      </c>
      <c r="F13" s="65" t="s">
        <v>3979</v>
      </c>
      <c r="G13" s="65" t="s">
        <v>3979</v>
      </c>
      <c r="H13" s="65" t="s">
        <v>3979</v>
      </c>
      <c r="I13" s="55" t="s">
        <v>3956</v>
      </c>
      <c r="J13" s="30"/>
      <c r="K13" s="30"/>
      <c r="L13" s="30"/>
      <c r="M13" s="30"/>
      <c r="N13" s="30"/>
      <c r="O13" s="30"/>
    </row>
    <row r="14" spans="1:26" ht="14.25" customHeight="1">
      <c r="A14" s="63" t="s">
        <v>177</v>
      </c>
      <c r="B14" s="15" t="s">
        <v>3975</v>
      </c>
      <c r="C14" s="30">
        <v>11</v>
      </c>
      <c r="D14" s="64" t="s">
        <v>3980</v>
      </c>
      <c r="E14" s="15" t="s">
        <v>3981</v>
      </c>
      <c r="F14" s="65" t="s">
        <v>3982</v>
      </c>
      <c r="G14" s="65" t="s">
        <v>3982</v>
      </c>
      <c r="H14" s="65" t="s">
        <v>3982</v>
      </c>
      <c r="I14" s="55" t="s">
        <v>3956</v>
      </c>
      <c r="J14" s="30"/>
      <c r="K14" s="30"/>
      <c r="L14" s="30"/>
      <c r="M14" s="30"/>
      <c r="N14" s="30"/>
      <c r="O14" s="30"/>
    </row>
    <row r="15" spans="1:26" ht="14.25" customHeight="1">
      <c r="A15" s="63" t="s">
        <v>518</v>
      </c>
      <c r="B15" s="15" t="s">
        <v>3975</v>
      </c>
      <c r="C15" s="30">
        <v>12</v>
      </c>
      <c r="D15" s="64" t="s">
        <v>3983</v>
      </c>
      <c r="E15" s="15" t="s">
        <v>583</v>
      </c>
      <c r="F15" s="65" t="s">
        <v>3984</v>
      </c>
      <c r="G15" s="65" t="s">
        <v>3984</v>
      </c>
      <c r="H15" s="65" t="s">
        <v>3984</v>
      </c>
      <c r="I15" s="55" t="s">
        <v>3956</v>
      </c>
      <c r="J15" s="30"/>
      <c r="K15" s="30"/>
      <c r="L15" s="30"/>
      <c r="M15" s="30"/>
      <c r="N15" s="30"/>
      <c r="O15" s="30"/>
    </row>
    <row r="16" spans="1:26" ht="14.25" customHeight="1">
      <c r="A16" s="63" t="s">
        <v>719</v>
      </c>
      <c r="B16" s="15"/>
      <c r="C16" s="30">
        <v>13</v>
      </c>
      <c r="D16" s="64" t="s">
        <v>720</v>
      </c>
      <c r="E16" s="15" t="s">
        <v>3985</v>
      </c>
      <c r="F16" s="65" t="s">
        <v>3986</v>
      </c>
      <c r="G16" s="65" t="s">
        <v>3986</v>
      </c>
      <c r="H16" s="65" t="s">
        <v>3986</v>
      </c>
      <c r="I16" s="55" t="s">
        <v>3956</v>
      </c>
      <c r="J16" s="30">
        <v>3</v>
      </c>
      <c r="K16" s="30"/>
      <c r="L16" s="30">
        <v>7</v>
      </c>
      <c r="M16" s="30">
        <v>7</v>
      </c>
      <c r="N16" s="30"/>
      <c r="O16" s="30"/>
    </row>
    <row r="17" spans="1:15" ht="14.25" customHeight="1">
      <c r="A17" s="56" t="s">
        <v>714</v>
      </c>
      <c r="B17" s="57"/>
      <c r="C17" s="30">
        <v>14</v>
      </c>
      <c r="D17" s="59" t="s">
        <v>3987</v>
      </c>
      <c r="E17" s="57" t="s">
        <v>3988</v>
      </c>
      <c r="F17" s="60" t="s">
        <v>3989</v>
      </c>
      <c r="G17" s="60" t="s">
        <v>3989</v>
      </c>
      <c r="H17" s="60" t="s">
        <v>3989</v>
      </c>
      <c r="I17" s="62" t="s">
        <v>3961</v>
      </c>
      <c r="J17" s="58"/>
      <c r="K17" s="58"/>
      <c r="L17" s="58"/>
      <c r="M17" s="58"/>
      <c r="N17" s="58"/>
      <c r="O17" s="58"/>
    </row>
    <row r="18" spans="1:15" ht="14.25" customHeight="1">
      <c r="A18" s="63" t="s">
        <v>660</v>
      </c>
      <c r="B18" s="15"/>
      <c r="C18" s="30">
        <v>15</v>
      </c>
      <c r="D18" s="64" t="s">
        <v>3990</v>
      </c>
      <c r="E18" s="15" t="s">
        <v>666</v>
      </c>
      <c r="F18" s="65" t="s">
        <v>3991</v>
      </c>
      <c r="G18" s="65" t="s">
        <v>3991</v>
      </c>
      <c r="H18" s="65" t="s">
        <v>3991</v>
      </c>
      <c r="I18" s="55" t="s">
        <v>3956</v>
      </c>
      <c r="J18" s="30"/>
      <c r="K18" s="30"/>
      <c r="L18" s="30"/>
      <c r="M18" s="30"/>
      <c r="N18" s="30"/>
      <c r="O18" s="30"/>
    </row>
    <row r="19" spans="1:15" ht="14.25" customHeight="1">
      <c r="A19" s="63" t="s">
        <v>619</v>
      </c>
      <c r="B19" s="15"/>
      <c r="C19" s="30">
        <v>16</v>
      </c>
      <c r="D19" s="64" t="s">
        <v>620</v>
      </c>
      <c r="E19" s="15" t="s">
        <v>3992</v>
      </c>
      <c r="F19" s="65" t="s">
        <v>3993</v>
      </c>
      <c r="G19" s="65" t="s">
        <v>3993</v>
      </c>
      <c r="H19" s="65" t="s">
        <v>3993</v>
      </c>
      <c r="I19" s="55" t="s">
        <v>3956</v>
      </c>
      <c r="J19" s="30"/>
      <c r="K19" s="30"/>
      <c r="L19" s="30"/>
      <c r="M19" s="30"/>
      <c r="N19" s="30"/>
      <c r="O19" s="30"/>
    </row>
    <row r="20" spans="1:15" ht="14.25" customHeight="1">
      <c r="A20" s="63" t="s">
        <v>636</v>
      </c>
      <c r="B20" s="15"/>
      <c r="C20" s="30">
        <v>17</v>
      </c>
      <c r="D20" s="64" t="s">
        <v>801</v>
      </c>
      <c r="E20" s="15" t="s">
        <v>3994</v>
      </c>
      <c r="F20" s="65" t="s">
        <v>3995</v>
      </c>
      <c r="G20" s="65" t="s">
        <v>3995</v>
      </c>
      <c r="H20" s="65" t="s">
        <v>3995</v>
      </c>
      <c r="I20" s="55" t="s">
        <v>3956</v>
      </c>
      <c r="J20" s="30"/>
      <c r="K20" s="30"/>
      <c r="L20" s="30"/>
      <c r="M20" s="30"/>
      <c r="N20" s="30"/>
      <c r="O20" s="30"/>
    </row>
    <row r="21" spans="1:15" ht="14.25" customHeight="1">
      <c r="A21" s="56" t="s">
        <v>764</v>
      </c>
      <c r="B21" s="57"/>
      <c r="C21" s="30">
        <v>18</v>
      </c>
      <c r="D21" s="59" t="s">
        <v>3996</v>
      </c>
      <c r="E21" s="57" t="s">
        <v>769</v>
      </c>
      <c r="F21" s="60" t="s">
        <v>3997</v>
      </c>
      <c r="G21" s="60" t="s">
        <v>3997</v>
      </c>
      <c r="H21" s="60" t="s">
        <v>3997</v>
      </c>
      <c r="I21" s="62" t="s">
        <v>3961</v>
      </c>
      <c r="J21" s="58"/>
      <c r="K21" s="58"/>
      <c r="L21" s="58"/>
      <c r="M21" s="58"/>
      <c r="N21" s="58"/>
      <c r="O21" s="58"/>
    </row>
    <row r="22" spans="1:15" ht="14.25" customHeight="1">
      <c r="A22" s="63" t="s">
        <v>1268</v>
      </c>
      <c r="B22" s="15"/>
      <c r="C22" s="30"/>
      <c r="D22" s="64" t="s">
        <v>1986</v>
      </c>
      <c r="E22" s="15"/>
      <c r="F22" s="65" t="s">
        <v>3997</v>
      </c>
      <c r="G22" s="65" t="s">
        <v>3997</v>
      </c>
      <c r="H22" s="65" t="s">
        <v>3997</v>
      </c>
      <c r="I22" s="55" t="s">
        <v>3956</v>
      </c>
      <c r="J22" s="30"/>
      <c r="K22" s="30">
        <v>2</v>
      </c>
      <c r="L22" s="30"/>
      <c r="M22" s="30"/>
      <c r="N22" s="30"/>
      <c r="O22" s="30"/>
    </row>
    <row r="23" spans="1:15" ht="14.25" customHeight="1">
      <c r="A23" s="56" t="s">
        <v>629</v>
      </c>
      <c r="B23" s="57"/>
      <c r="C23" s="58">
        <v>19</v>
      </c>
      <c r="D23" s="59" t="s">
        <v>3998</v>
      </c>
      <c r="E23" s="57" t="s">
        <v>60</v>
      </c>
      <c r="F23" s="60" t="s">
        <v>3999</v>
      </c>
      <c r="G23" s="60" t="s">
        <v>3999</v>
      </c>
      <c r="H23" s="60" t="s">
        <v>3999</v>
      </c>
      <c r="I23" s="62" t="s">
        <v>3961</v>
      </c>
      <c r="J23" s="58"/>
      <c r="K23" s="58"/>
      <c r="L23" s="58">
        <v>2</v>
      </c>
      <c r="M23" s="58"/>
      <c r="N23" s="58"/>
      <c r="O23" s="58"/>
    </row>
    <row r="24" spans="1:15" ht="14.25" customHeight="1">
      <c r="A24" s="56" t="s">
        <v>1392</v>
      </c>
      <c r="B24" s="57"/>
      <c r="C24" s="58">
        <v>20</v>
      </c>
      <c r="D24" s="59" t="s">
        <v>4000</v>
      </c>
      <c r="E24" s="57" t="s">
        <v>4001</v>
      </c>
      <c r="F24" s="60" t="s">
        <v>4002</v>
      </c>
      <c r="G24" s="60" t="s">
        <v>4002</v>
      </c>
      <c r="H24" s="60" t="s">
        <v>4002</v>
      </c>
      <c r="I24" s="62" t="s">
        <v>3961</v>
      </c>
      <c r="J24" s="58"/>
      <c r="K24" s="58">
        <v>3</v>
      </c>
      <c r="L24" s="58"/>
      <c r="M24" s="58"/>
      <c r="N24" s="58"/>
      <c r="O24" s="58"/>
    </row>
    <row r="25" spans="1:15" ht="14.25" customHeight="1">
      <c r="A25" s="63" t="s">
        <v>1536</v>
      </c>
      <c r="B25" s="15"/>
      <c r="C25" s="30">
        <v>21</v>
      </c>
      <c r="D25" s="64" t="s">
        <v>1543</v>
      </c>
      <c r="E25" s="15" t="s">
        <v>4003</v>
      </c>
      <c r="F25" s="65" t="s">
        <v>4004</v>
      </c>
      <c r="G25" s="65" t="s">
        <v>4004</v>
      </c>
      <c r="H25" s="65" t="s">
        <v>4004</v>
      </c>
      <c r="I25" s="55" t="s">
        <v>3956</v>
      </c>
      <c r="J25" s="30"/>
      <c r="K25" s="30"/>
      <c r="L25" s="30"/>
      <c r="M25" s="30"/>
      <c r="N25" s="30"/>
      <c r="O25" s="30"/>
    </row>
    <row r="26" spans="1:15" ht="14.25" customHeight="1">
      <c r="A26" s="63" t="s">
        <v>1099</v>
      </c>
      <c r="B26" s="15"/>
      <c r="C26" s="30">
        <v>22</v>
      </c>
      <c r="D26" s="64" t="s">
        <v>1140</v>
      </c>
      <c r="E26" s="15" t="s">
        <v>4005</v>
      </c>
      <c r="F26" s="65" t="s">
        <v>4006</v>
      </c>
      <c r="G26" s="65" t="s">
        <v>4006</v>
      </c>
      <c r="H26" s="65" t="s">
        <v>4006</v>
      </c>
      <c r="I26" s="55" t="s">
        <v>3956</v>
      </c>
      <c r="J26" s="30"/>
      <c r="K26" s="30"/>
      <c r="L26" s="30">
        <v>2</v>
      </c>
      <c r="M26" s="30"/>
      <c r="N26" s="30"/>
      <c r="O26" s="30"/>
    </row>
    <row r="27" spans="1:15" ht="14.25" customHeight="1">
      <c r="A27" s="56" t="s">
        <v>1333</v>
      </c>
      <c r="B27" s="57"/>
      <c r="C27" s="58">
        <v>23</v>
      </c>
      <c r="D27" s="59" t="s">
        <v>4007</v>
      </c>
      <c r="E27" s="57" t="s">
        <v>4008</v>
      </c>
      <c r="F27" s="60" t="s">
        <v>4009</v>
      </c>
      <c r="G27" s="60" t="s">
        <v>4009</v>
      </c>
      <c r="H27" s="60" t="s">
        <v>4009</v>
      </c>
      <c r="I27" s="62" t="s">
        <v>3961</v>
      </c>
      <c r="J27" s="58"/>
      <c r="K27" s="58"/>
      <c r="L27" s="58"/>
      <c r="M27" s="58"/>
      <c r="N27" s="58"/>
      <c r="O27" s="58"/>
    </row>
    <row r="28" spans="1:15" ht="14.25" customHeight="1">
      <c r="A28" s="63" t="s">
        <v>1620</v>
      </c>
      <c r="B28" s="15" t="s">
        <v>725</v>
      </c>
      <c r="C28" s="30">
        <v>24</v>
      </c>
      <c r="D28" s="64" t="s">
        <v>4010</v>
      </c>
      <c r="E28" s="15" t="s">
        <v>1010</v>
      </c>
      <c r="F28" s="65" t="s">
        <v>4011</v>
      </c>
      <c r="G28" s="65" t="s">
        <v>4011</v>
      </c>
      <c r="H28" s="65" t="s">
        <v>4011</v>
      </c>
      <c r="I28" s="62" t="s">
        <v>3961</v>
      </c>
      <c r="J28" s="30"/>
      <c r="K28" s="30"/>
      <c r="L28" s="30"/>
      <c r="M28" s="30"/>
      <c r="N28" s="30"/>
      <c r="O28" s="30"/>
    </row>
    <row r="29" spans="1:15" ht="14.25" customHeight="1">
      <c r="A29" s="63" t="s">
        <v>2104</v>
      </c>
      <c r="B29" s="15" t="s">
        <v>4012</v>
      </c>
      <c r="C29" s="30">
        <v>25</v>
      </c>
      <c r="D29" s="64" t="s">
        <v>4013</v>
      </c>
      <c r="E29" s="15" t="s">
        <v>4014</v>
      </c>
      <c r="F29" s="30" t="s">
        <v>4015</v>
      </c>
      <c r="G29" s="30" t="s">
        <v>4015</v>
      </c>
      <c r="H29" s="30" t="s">
        <v>4015</v>
      </c>
      <c r="I29" s="55" t="s">
        <v>3956</v>
      </c>
      <c r="J29" s="30"/>
      <c r="K29" s="30">
        <v>1</v>
      </c>
      <c r="L29" s="30"/>
      <c r="M29" s="30"/>
      <c r="N29" s="30">
        <v>1</v>
      </c>
      <c r="O29" s="30"/>
    </row>
    <row r="30" spans="1:15" ht="14.25" customHeight="1">
      <c r="A30" s="56" t="s">
        <v>997</v>
      </c>
      <c r="B30" s="57" t="s">
        <v>4016</v>
      </c>
      <c r="C30" s="58">
        <v>26</v>
      </c>
      <c r="D30" s="59" t="s">
        <v>4017</v>
      </c>
      <c r="E30" s="57" t="s">
        <v>1002</v>
      </c>
      <c r="F30" s="60" t="s">
        <v>4018</v>
      </c>
      <c r="G30" s="60" t="s">
        <v>4018</v>
      </c>
      <c r="H30" s="60" t="s">
        <v>4018</v>
      </c>
      <c r="I30" s="62" t="s">
        <v>3961</v>
      </c>
      <c r="J30" s="58"/>
      <c r="K30" s="58"/>
      <c r="L30" s="58"/>
      <c r="M30" s="58"/>
      <c r="N30" s="58"/>
      <c r="O30" s="58"/>
    </row>
    <row r="31" spans="1:15" ht="14.25" customHeight="1">
      <c r="A31" s="63" t="s">
        <v>2312</v>
      </c>
      <c r="B31" s="15" t="s">
        <v>4019</v>
      </c>
      <c r="C31" s="30">
        <v>27</v>
      </c>
      <c r="D31" s="64" t="s">
        <v>3244</v>
      </c>
      <c r="E31" s="15" t="s">
        <v>769</v>
      </c>
      <c r="F31" s="65" t="s">
        <v>4020</v>
      </c>
      <c r="G31" s="65" t="s">
        <v>4020</v>
      </c>
      <c r="H31" s="65" t="s">
        <v>4020</v>
      </c>
      <c r="I31" s="55" t="s">
        <v>3956</v>
      </c>
      <c r="J31" s="30"/>
      <c r="K31" s="30">
        <v>1</v>
      </c>
      <c r="L31" s="30">
        <v>1</v>
      </c>
      <c r="M31" s="30"/>
      <c r="N31" s="30"/>
      <c r="O31" s="30"/>
    </row>
    <row r="32" spans="1:15" ht="14.25" customHeight="1">
      <c r="A32" s="63" t="s">
        <v>2618</v>
      </c>
      <c r="B32" s="15"/>
      <c r="C32" s="30">
        <v>28</v>
      </c>
      <c r="D32" s="64" t="s">
        <v>4021</v>
      </c>
      <c r="E32" s="15" t="s">
        <v>4022</v>
      </c>
      <c r="F32" s="65" t="s">
        <v>4023</v>
      </c>
      <c r="G32" s="65" t="s">
        <v>4023</v>
      </c>
      <c r="H32" s="65" t="s">
        <v>4023</v>
      </c>
      <c r="I32" s="55" t="s">
        <v>3956</v>
      </c>
      <c r="J32" s="30"/>
      <c r="K32" s="30"/>
      <c r="L32" s="30"/>
      <c r="M32" s="30"/>
      <c r="N32" s="30"/>
      <c r="O32" s="30"/>
    </row>
    <row r="33" spans="1:15" ht="14.25" customHeight="1">
      <c r="A33" s="63" t="s">
        <v>343</v>
      </c>
      <c r="B33" s="15" t="s">
        <v>4024</v>
      </c>
      <c r="C33" s="30">
        <v>29</v>
      </c>
      <c r="D33" s="64" t="s">
        <v>221</v>
      </c>
      <c r="E33" s="15" t="s">
        <v>564</v>
      </c>
      <c r="F33" s="65" t="s">
        <v>4025</v>
      </c>
      <c r="G33" s="65" t="s">
        <v>4025</v>
      </c>
      <c r="H33" s="65" t="s">
        <v>4025</v>
      </c>
      <c r="I33" s="55" t="s">
        <v>3956</v>
      </c>
      <c r="J33" s="30"/>
      <c r="K33" s="30"/>
      <c r="L33" s="30">
        <v>1</v>
      </c>
      <c r="M33" s="30">
        <v>3</v>
      </c>
      <c r="N33" s="30"/>
      <c r="O33" s="30"/>
    </row>
    <row r="34" spans="1:15" ht="14.25" customHeight="1">
      <c r="A34" s="63" t="s">
        <v>2266</v>
      </c>
      <c r="B34" s="15"/>
      <c r="C34" s="30">
        <v>30</v>
      </c>
      <c r="D34" s="64" t="s">
        <v>2734</v>
      </c>
      <c r="E34" s="15" t="s">
        <v>166</v>
      </c>
      <c r="F34" s="65" t="s">
        <v>4026</v>
      </c>
      <c r="G34" s="65" t="s">
        <v>4026</v>
      </c>
      <c r="H34" s="65" t="s">
        <v>4026</v>
      </c>
      <c r="I34" s="55" t="s">
        <v>3956</v>
      </c>
      <c r="J34" s="30"/>
      <c r="K34" s="30"/>
      <c r="L34" s="30"/>
      <c r="M34" s="30"/>
      <c r="N34" s="30"/>
      <c r="O34" s="30"/>
    </row>
    <row r="35" spans="1:15" ht="14.25" customHeight="1">
      <c r="A35" s="63" t="s">
        <v>2637</v>
      </c>
      <c r="B35" s="15"/>
      <c r="C35" s="30">
        <v>31</v>
      </c>
      <c r="D35" s="64" t="s">
        <v>4027</v>
      </c>
      <c r="E35" s="15" t="s">
        <v>4028</v>
      </c>
      <c r="F35" s="65" t="s">
        <v>4029</v>
      </c>
      <c r="G35" s="65" t="s">
        <v>4029</v>
      </c>
      <c r="H35" s="65" t="s">
        <v>4029</v>
      </c>
      <c r="I35" s="55" t="s">
        <v>3956</v>
      </c>
      <c r="J35" s="30"/>
      <c r="K35" s="30"/>
      <c r="L35" s="30"/>
      <c r="M35" s="30"/>
      <c r="N35" s="30"/>
      <c r="O35" s="30"/>
    </row>
    <row r="36" spans="1:15" ht="14.25" customHeight="1">
      <c r="A36" s="63" t="s">
        <v>496</v>
      </c>
      <c r="B36" s="15" t="s">
        <v>4030</v>
      </c>
      <c r="C36" s="30">
        <v>20</v>
      </c>
      <c r="D36" s="64" t="s">
        <v>814</v>
      </c>
      <c r="E36" s="15" t="s">
        <v>3540</v>
      </c>
      <c r="F36" s="65" t="s">
        <v>4031</v>
      </c>
      <c r="G36" s="65" t="s">
        <v>4031</v>
      </c>
      <c r="H36" s="65" t="s">
        <v>4031</v>
      </c>
      <c r="I36" s="55" t="s">
        <v>3956</v>
      </c>
      <c r="J36" s="30"/>
      <c r="K36" s="30"/>
      <c r="L36" s="30"/>
      <c r="M36" s="30"/>
      <c r="N36" s="30">
        <v>2</v>
      </c>
      <c r="O36" s="30"/>
    </row>
    <row r="37" spans="1:15" ht="14.25" customHeight="1">
      <c r="A37" s="63" t="s">
        <v>1430</v>
      </c>
      <c r="B37" s="15" t="s">
        <v>4032</v>
      </c>
      <c r="C37" s="30">
        <v>32</v>
      </c>
      <c r="D37" s="64" t="s">
        <v>1426</v>
      </c>
      <c r="E37" s="15" t="s">
        <v>769</v>
      </c>
      <c r="F37" s="65" t="s">
        <v>4033</v>
      </c>
      <c r="G37" s="65" t="s">
        <v>4033</v>
      </c>
      <c r="H37" s="65" t="s">
        <v>4033</v>
      </c>
      <c r="I37" s="55" t="s">
        <v>3956</v>
      </c>
      <c r="J37" s="30"/>
      <c r="K37" s="30"/>
      <c r="L37" s="30"/>
      <c r="M37" s="30"/>
      <c r="N37" s="30"/>
      <c r="O37" s="30"/>
    </row>
    <row r="38" spans="1:15" ht="14.25" customHeight="1">
      <c r="A38" s="63" t="s">
        <v>2977</v>
      </c>
      <c r="B38" s="15" t="s">
        <v>4034</v>
      </c>
      <c r="C38" s="30" t="s">
        <v>4035</v>
      </c>
      <c r="D38" s="64" t="s">
        <v>4036</v>
      </c>
      <c r="E38" s="15" t="s">
        <v>73</v>
      </c>
      <c r="F38" s="65" t="s">
        <v>4037</v>
      </c>
      <c r="G38" s="65" t="s">
        <v>4037</v>
      </c>
      <c r="H38" s="65" t="s">
        <v>4037</v>
      </c>
      <c r="I38" s="55" t="s">
        <v>3956</v>
      </c>
      <c r="J38" s="30"/>
      <c r="K38" s="30"/>
      <c r="L38" s="30"/>
      <c r="M38" s="30"/>
      <c r="N38" s="30"/>
      <c r="O38" s="30"/>
    </row>
    <row r="39" spans="1:15" ht="14.25" customHeight="1">
      <c r="A39" s="63" t="s">
        <v>2966</v>
      </c>
      <c r="B39" s="15" t="s">
        <v>4038</v>
      </c>
      <c r="C39" s="30" t="s">
        <v>4039</v>
      </c>
      <c r="D39" s="64" t="s">
        <v>4040</v>
      </c>
      <c r="E39" s="15" t="s">
        <v>2971</v>
      </c>
      <c r="F39" s="65" t="s">
        <v>4041</v>
      </c>
      <c r="G39" s="65" t="s">
        <v>4041</v>
      </c>
      <c r="H39" s="65" t="s">
        <v>4041</v>
      </c>
      <c r="I39" s="55" t="s">
        <v>3956</v>
      </c>
      <c r="J39" s="30"/>
      <c r="K39" s="30"/>
      <c r="L39" s="30"/>
      <c r="M39" s="30"/>
      <c r="N39" s="30">
        <v>1</v>
      </c>
      <c r="O39" s="30"/>
    </row>
    <row r="40" spans="1:15" ht="14.25" customHeight="1">
      <c r="A40" s="63" t="s">
        <v>987</v>
      </c>
      <c r="B40" s="15" t="s">
        <v>4038</v>
      </c>
      <c r="C40" s="30" t="s">
        <v>4042</v>
      </c>
      <c r="D40" s="64" t="s">
        <v>4043</v>
      </c>
      <c r="E40" s="15" t="s">
        <v>60</v>
      </c>
      <c r="F40" s="65" t="s">
        <v>4044</v>
      </c>
      <c r="G40" s="65" t="s">
        <v>4044</v>
      </c>
      <c r="H40" s="65" t="s">
        <v>4044</v>
      </c>
      <c r="I40" s="62" t="s">
        <v>3961</v>
      </c>
      <c r="J40" s="30"/>
      <c r="K40" s="30"/>
      <c r="L40" s="30">
        <v>3</v>
      </c>
      <c r="M40" s="30">
        <v>1</v>
      </c>
      <c r="N40" s="30">
        <v>3</v>
      </c>
      <c r="O40" s="30">
        <v>1</v>
      </c>
    </row>
    <row r="41" spans="1:15" ht="14.25" customHeight="1">
      <c r="A41" s="63" t="s">
        <v>2904</v>
      </c>
      <c r="B41" s="15" t="s">
        <v>4045</v>
      </c>
      <c r="C41" s="30">
        <v>33</v>
      </c>
      <c r="D41" s="64" t="s">
        <v>4046</v>
      </c>
      <c r="E41" s="15" t="s">
        <v>1655</v>
      </c>
      <c r="F41" s="65" t="s">
        <v>4047</v>
      </c>
      <c r="G41" s="65" t="s">
        <v>4047</v>
      </c>
      <c r="H41" s="65" t="s">
        <v>4047</v>
      </c>
      <c r="I41" s="55" t="s">
        <v>3956</v>
      </c>
      <c r="J41" s="30"/>
      <c r="K41" s="30"/>
      <c r="L41" s="30"/>
      <c r="M41" s="30"/>
      <c r="N41" s="30"/>
      <c r="O41" s="30"/>
    </row>
    <row r="42" spans="1:15" ht="14.25" customHeight="1">
      <c r="A42" s="63" t="s">
        <v>2877</v>
      </c>
      <c r="B42" s="15" t="s">
        <v>4048</v>
      </c>
      <c r="C42" s="30" t="s">
        <v>4049</v>
      </c>
      <c r="D42" s="64" t="s">
        <v>3074</v>
      </c>
      <c r="E42" s="15" t="s">
        <v>1002</v>
      </c>
      <c r="F42" s="65" t="s">
        <v>4050</v>
      </c>
      <c r="G42" s="65" t="s">
        <v>4050</v>
      </c>
      <c r="H42" s="65" t="s">
        <v>4050</v>
      </c>
      <c r="I42" s="55" t="s">
        <v>3956</v>
      </c>
      <c r="J42" s="30"/>
      <c r="K42" s="30"/>
      <c r="L42" s="30"/>
      <c r="M42" s="30"/>
      <c r="N42" s="30"/>
      <c r="O42" s="30"/>
    </row>
    <row r="43" spans="1:15" ht="14.25" customHeight="1">
      <c r="A43" s="63" t="s">
        <v>812</v>
      </c>
      <c r="B43" s="15" t="s">
        <v>4051</v>
      </c>
      <c r="C43" s="30" t="s">
        <v>4052</v>
      </c>
      <c r="D43" s="64" t="s">
        <v>4053</v>
      </c>
      <c r="E43" s="15"/>
      <c r="F43" s="65" t="s">
        <v>4054</v>
      </c>
      <c r="G43" s="65" t="s">
        <v>4054</v>
      </c>
      <c r="H43" s="65" t="s">
        <v>4054</v>
      </c>
      <c r="I43" s="62" t="s">
        <v>3961</v>
      </c>
      <c r="J43" s="30"/>
      <c r="K43" s="30"/>
      <c r="L43" s="30"/>
      <c r="M43" s="30"/>
      <c r="N43" s="30"/>
      <c r="O43" s="30"/>
    </row>
    <row r="44" spans="1:15" ht="14.25" customHeight="1">
      <c r="A44" s="63" t="s">
        <v>987</v>
      </c>
      <c r="B44" s="15" t="s">
        <v>4055</v>
      </c>
      <c r="C44" s="30" t="s">
        <v>4056</v>
      </c>
      <c r="D44" s="64" t="s">
        <v>4043</v>
      </c>
      <c r="E44" s="15" t="s">
        <v>60</v>
      </c>
      <c r="F44" s="65" t="s">
        <v>4057</v>
      </c>
      <c r="G44" s="65" t="s">
        <v>4057</v>
      </c>
      <c r="H44" s="65" t="s">
        <v>4057</v>
      </c>
      <c r="I44" s="55" t="s">
        <v>3956</v>
      </c>
      <c r="J44" s="30"/>
      <c r="K44" s="30"/>
      <c r="L44" s="30"/>
      <c r="M44" s="30"/>
      <c r="N44" s="30"/>
      <c r="O44" s="30">
        <v>2</v>
      </c>
    </row>
    <row r="45" spans="1:15" ht="14.25" customHeight="1">
      <c r="A45" s="67" t="s">
        <v>2226</v>
      </c>
      <c r="B45" s="16" t="s">
        <v>4058</v>
      </c>
      <c r="C45" s="35">
        <v>34</v>
      </c>
      <c r="D45" s="68" t="s">
        <v>2227</v>
      </c>
      <c r="E45" s="16" t="s">
        <v>4059</v>
      </c>
      <c r="F45" s="69" t="s">
        <v>4060</v>
      </c>
      <c r="G45" s="69" t="s">
        <v>4060</v>
      </c>
      <c r="H45" s="69" t="s">
        <v>4060</v>
      </c>
      <c r="I45" s="70" t="s">
        <v>3956</v>
      </c>
      <c r="J45" s="35"/>
      <c r="K45" s="35"/>
      <c r="L45" s="35"/>
      <c r="M45" s="35"/>
      <c r="N45" s="35"/>
      <c r="O45" s="35"/>
    </row>
    <row r="46" spans="1:15" ht="14.25" customHeight="1">
      <c r="A46" s="30" t="s">
        <v>987</v>
      </c>
      <c r="B46" s="15" t="s">
        <v>149</v>
      </c>
      <c r="C46" s="30" t="s">
        <v>4061</v>
      </c>
      <c r="D46" s="64" t="s">
        <v>4043</v>
      </c>
      <c r="E46" s="15" t="s">
        <v>60</v>
      </c>
      <c r="F46" s="65" t="s">
        <v>4062</v>
      </c>
      <c r="G46" s="65" t="s">
        <v>4062</v>
      </c>
      <c r="H46" s="65" t="s">
        <v>4062</v>
      </c>
      <c r="I46" s="65" t="s">
        <v>3956</v>
      </c>
      <c r="J46" s="30"/>
      <c r="K46" s="30"/>
      <c r="L46" s="30"/>
      <c r="M46" s="30"/>
      <c r="N46" s="30"/>
      <c r="O46" s="30"/>
    </row>
    <row r="47" spans="1:15" ht="14.25" customHeight="1">
      <c r="A47" s="30" t="s">
        <v>2877</v>
      </c>
      <c r="B47" s="15" t="s">
        <v>4063</v>
      </c>
      <c r="C47" s="30" t="s">
        <v>4064</v>
      </c>
      <c r="D47" s="71" t="s">
        <v>3074</v>
      </c>
      <c r="E47" s="15" t="s">
        <v>4065</v>
      </c>
      <c r="F47" s="65" t="s">
        <v>4066</v>
      </c>
      <c r="G47" s="65" t="s">
        <v>4066</v>
      </c>
      <c r="H47" s="65" t="s">
        <v>4066</v>
      </c>
      <c r="I47" s="65" t="s">
        <v>3956</v>
      </c>
      <c r="J47" s="30"/>
      <c r="K47" s="30"/>
      <c r="L47" s="30"/>
      <c r="M47" s="30"/>
      <c r="N47" s="30"/>
      <c r="O47" s="30"/>
    </row>
    <row r="48" spans="1:15" ht="14.25" customHeight="1">
      <c r="A48" s="30" t="s">
        <v>3159</v>
      </c>
      <c r="B48" s="15" t="s">
        <v>4063</v>
      </c>
      <c r="C48" s="30" t="s">
        <v>4067</v>
      </c>
      <c r="D48" s="71" t="s">
        <v>4068</v>
      </c>
      <c r="E48" s="15" t="s">
        <v>4069</v>
      </c>
      <c r="F48" s="65" t="s">
        <v>4070</v>
      </c>
      <c r="G48" s="65" t="s">
        <v>4070</v>
      </c>
      <c r="H48" s="65" t="s">
        <v>4070</v>
      </c>
      <c r="I48" s="65" t="s">
        <v>3956</v>
      </c>
      <c r="J48" s="30"/>
      <c r="K48" s="30"/>
      <c r="L48" s="30"/>
      <c r="M48" s="30"/>
      <c r="N48" s="30"/>
      <c r="O48" s="30"/>
    </row>
    <row r="49" spans="1:15" ht="14.25" customHeight="1">
      <c r="A49" s="30" t="s">
        <v>2966</v>
      </c>
      <c r="B49" s="15" t="s">
        <v>4063</v>
      </c>
      <c r="C49" s="30" t="s">
        <v>4071</v>
      </c>
      <c r="D49" s="71" t="s">
        <v>4072</v>
      </c>
      <c r="E49" s="15" t="s">
        <v>2971</v>
      </c>
      <c r="F49" s="65" t="s">
        <v>4073</v>
      </c>
      <c r="G49" s="65" t="s">
        <v>4073</v>
      </c>
      <c r="H49" s="65" t="s">
        <v>4073</v>
      </c>
      <c r="I49" s="65" t="s">
        <v>3956</v>
      </c>
      <c r="J49" s="30"/>
      <c r="K49" s="30"/>
      <c r="L49" s="30"/>
      <c r="M49" s="30"/>
      <c r="N49" s="30"/>
      <c r="O49" s="30"/>
    </row>
    <row r="50" spans="1:15" ht="14.25" customHeight="1">
      <c r="A50" s="72" t="s">
        <v>1607</v>
      </c>
      <c r="B50" s="17" t="s">
        <v>4063</v>
      </c>
      <c r="C50" s="35">
        <v>36</v>
      </c>
      <c r="D50" s="73" t="s">
        <v>4074</v>
      </c>
      <c r="E50" s="16" t="s">
        <v>1613</v>
      </c>
      <c r="F50" s="69" t="s">
        <v>4075</v>
      </c>
      <c r="G50" s="69" t="s">
        <v>4075</v>
      </c>
      <c r="H50" s="69" t="s">
        <v>4075</v>
      </c>
      <c r="I50" s="70" t="s">
        <v>3956</v>
      </c>
      <c r="J50" s="16"/>
      <c r="K50" s="16"/>
      <c r="L50" s="16"/>
      <c r="M50" s="16"/>
      <c r="N50" s="16"/>
      <c r="O50" s="16"/>
    </row>
    <row r="51" spans="1:15" ht="14.25" customHeight="1">
      <c r="A51" s="72" t="s">
        <v>3236</v>
      </c>
      <c r="B51" s="17" t="s">
        <v>4076</v>
      </c>
      <c r="C51" s="35" t="s">
        <v>4077</v>
      </c>
      <c r="D51" s="73" t="s">
        <v>4078</v>
      </c>
      <c r="E51" s="16" t="s">
        <v>4079</v>
      </c>
      <c r="F51" s="69" t="s">
        <v>4080</v>
      </c>
      <c r="G51" s="69" t="s">
        <v>4080</v>
      </c>
      <c r="H51" s="69" t="s">
        <v>4080</v>
      </c>
      <c r="I51" s="70" t="s">
        <v>3956</v>
      </c>
      <c r="J51" s="16"/>
      <c r="K51" s="16"/>
      <c r="L51" s="16"/>
      <c r="M51" s="16"/>
      <c r="N51" s="16"/>
      <c r="O51" s="16"/>
    </row>
    <row r="52" spans="1:15" ht="14.25" customHeight="1">
      <c r="A52" s="72" t="s">
        <v>4081</v>
      </c>
      <c r="B52" s="17" t="s">
        <v>4082</v>
      </c>
      <c r="C52" s="35" t="s">
        <v>4083</v>
      </c>
      <c r="D52" s="73" t="s">
        <v>3340</v>
      </c>
      <c r="E52" s="16" t="s">
        <v>60</v>
      </c>
      <c r="F52" s="69" t="s">
        <v>4084</v>
      </c>
      <c r="G52" s="69" t="s">
        <v>4084</v>
      </c>
      <c r="H52" s="69" t="s">
        <v>4084</v>
      </c>
      <c r="I52" s="70" t="s">
        <v>3956</v>
      </c>
      <c r="J52" s="16"/>
      <c r="K52" s="16"/>
      <c r="L52" s="16"/>
      <c r="M52" s="16"/>
      <c r="N52" s="16"/>
      <c r="O52" s="16"/>
    </row>
    <row r="53" spans="1:15" ht="14.25" customHeight="1">
      <c r="A53" s="72"/>
      <c r="B53" s="74"/>
      <c r="C53" s="35"/>
      <c r="D53" s="73"/>
      <c r="E53" s="16"/>
      <c r="F53" s="69"/>
      <c r="G53" s="69"/>
      <c r="H53" s="69"/>
      <c r="I53" s="70"/>
      <c r="J53" s="16"/>
      <c r="K53" s="16"/>
      <c r="L53" s="16"/>
      <c r="M53" s="16"/>
      <c r="N53" s="16"/>
      <c r="O53" s="16"/>
    </row>
    <row r="54" spans="1:15" ht="14.25" customHeight="1">
      <c r="A54" s="75" t="s">
        <v>38</v>
      </c>
      <c r="B54" s="76"/>
      <c r="C54" s="77"/>
      <c r="D54" s="78"/>
      <c r="E54" s="79"/>
      <c r="F54" s="80"/>
      <c r="G54" s="80"/>
      <c r="H54" s="80"/>
      <c r="I54" s="81"/>
      <c r="J54" s="77">
        <f>SUBTOTAL(109,'Marriage Registration'!$J$2:$J$53)</f>
        <v>22</v>
      </c>
      <c r="K54" s="77">
        <f>SUBTOTAL(109,'Marriage Registration'!$K$2:$K$53)</f>
        <v>8</v>
      </c>
      <c r="L54" s="77">
        <f>SUBTOTAL(109,'Marriage Registration'!$L$2:$L$53)</f>
        <v>22</v>
      </c>
      <c r="M54" s="77">
        <f>SUBTOTAL(109,'Marriage Registration'!$M$2:$M$53)</f>
        <v>12</v>
      </c>
      <c r="N54" s="77">
        <f>SUBTOTAL(109,'Marriage Registration'!$N$2:$N$53)</f>
        <v>9</v>
      </c>
      <c r="O54" s="77">
        <f>SUBTOTAL(109,'Marriage Registration'!$O$2:$O$53)</f>
        <v>4</v>
      </c>
    </row>
    <row r="55" spans="1:15" ht="14.25" customHeight="1">
      <c r="A55" s="82"/>
      <c r="C55" s="20"/>
      <c r="D55" s="83"/>
      <c r="E55" s="19"/>
    </row>
    <row r="56" spans="1:15" ht="14.25" customHeight="1">
      <c r="A56" s="82"/>
      <c r="C56" s="20"/>
      <c r="D56" s="83"/>
      <c r="E56" s="19"/>
    </row>
    <row r="57" spans="1:15" ht="14.25" customHeight="1">
      <c r="A57" s="82"/>
      <c r="C57" s="20"/>
      <c r="D57" s="83"/>
      <c r="E57" s="19"/>
    </row>
    <row r="58" spans="1:15" ht="14.25" customHeight="1">
      <c r="A58" s="82"/>
      <c r="C58" s="20"/>
      <c r="D58" s="83"/>
      <c r="E58" s="19"/>
    </row>
    <row r="59" spans="1:15" ht="14.25" customHeight="1">
      <c r="A59" s="82"/>
      <c r="C59" s="20"/>
      <c r="D59" s="83"/>
      <c r="E59" s="19"/>
    </row>
    <row r="60" spans="1:15" ht="14.25" customHeight="1">
      <c r="A60" s="82"/>
      <c r="C60" s="20"/>
      <c r="D60" s="83"/>
      <c r="E60" s="19"/>
    </row>
    <row r="61" spans="1:15" ht="14.25" customHeight="1">
      <c r="A61" s="82"/>
      <c r="C61" s="20"/>
      <c r="D61" s="83"/>
      <c r="E61" s="19"/>
    </row>
    <row r="62" spans="1:15" ht="14.25" customHeight="1">
      <c r="A62" s="82"/>
      <c r="C62" s="20"/>
      <c r="D62" s="83"/>
      <c r="E62" s="19"/>
    </row>
    <row r="63" spans="1:15" ht="14.25" customHeight="1">
      <c r="A63" s="82"/>
      <c r="C63" s="20"/>
      <c r="D63" s="83"/>
      <c r="E63" s="19"/>
    </row>
    <row r="64" spans="1:15" ht="14.25" customHeight="1">
      <c r="A64" s="82"/>
      <c r="C64" s="20"/>
      <c r="D64" s="83"/>
      <c r="E64" s="19"/>
    </row>
    <row r="65" spans="1:5" ht="14.25" customHeight="1">
      <c r="A65" s="82"/>
      <c r="C65" s="20"/>
      <c r="D65" s="83"/>
      <c r="E65" s="19"/>
    </row>
    <row r="66" spans="1:5" ht="14.25" customHeight="1">
      <c r="A66" s="82"/>
      <c r="C66" s="20"/>
      <c r="D66" s="83"/>
      <c r="E66" s="19"/>
    </row>
    <row r="67" spans="1:5" ht="14.25" customHeight="1">
      <c r="A67" s="82"/>
      <c r="C67" s="20"/>
      <c r="D67" s="83"/>
      <c r="E67" s="19"/>
    </row>
    <row r="68" spans="1:5" ht="14.25" customHeight="1">
      <c r="A68" s="82"/>
      <c r="C68" s="20"/>
      <c r="D68" s="83"/>
      <c r="E68" s="19"/>
    </row>
    <row r="69" spans="1:5" ht="14.25" customHeight="1">
      <c r="A69" s="82"/>
      <c r="C69" s="20"/>
      <c r="D69" s="83"/>
      <c r="E69" s="19"/>
    </row>
    <row r="70" spans="1:5" ht="14.25" customHeight="1">
      <c r="A70" s="82"/>
      <c r="C70" s="20"/>
      <c r="D70" s="83"/>
      <c r="E70" s="19"/>
    </row>
    <row r="71" spans="1:5" ht="14.25" customHeight="1">
      <c r="A71" s="82"/>
      <c r="C71" s="20"/>
      <c r="D71" s="83"/>
      <c r="E71" s="19"/>
    </row>
    <row r="72" spans="1:5" ht="14.25" customHeight="1">
      <c r="A72" s="82"/>
      <c r="C72" s="20"/>
      <c r="D72" s="83"/>
      <c r="E72" s="19"/>
    </row>
    <row r="73" spans="1:5" ht="14.25" customHeight="1">
      <c r="A73" s="82"/>
      <c r="C73" s="20"/>
      <c r="D73" s="83"/>
      <c r="E73" s="19"/>
    </row>
    <row r="74" spans="1:5" ht="14.25" customHeight="1">
      <c r="A74" s="82"/>
      <c r="C74" s="20"/>
      <c r="D74" s="83"/>
      <c r="E74" s="19"/>
    </row>
    <row r="75" spans="1:5" ht="14.25" customHeight="1">
      <c r="A75" s="82"/>
      <c r="C75" s="20"/>
      <c r="D75" s="83"/>
      <c r="E75" s="19"/>
    </row>
    <row r="76" spans="1:5" ht="14.25" customHeight="1">
      <c r="A76" s="82"/>
      <c r="C76" s="20"/>
      <c r="D76" s="83"/>
      <c r="E76" s="19"/>
    </row>
    <row r="77" spans="1:5" ht="14.25" customHeight="1">
      <c r="A77" s="82"/>
      <c r="C77" s="20"/>
      <c r="D77" s="83"/>
      <c r="E77" s="19"/>
    </row>
    <row r="78" spans="1:5" ht="14.25" customHeight="1">
      <c r="A78" s="82"/>
      <c r="C78" s="20"/>
      <c r="D78" s="83"/>
      <c r="E78" s="19"/>
    </row>
    <row r="79" spans="1:5" ht="14.25" customHeight="1">
      <c r="A79" s="82"/>
      <c r="C79" s="20"/>
      <c r="D79" s="83"/>
      <c r="E79" s="19"/>
    </row>
    <row r="80" spans="1:5" ht="14.25" customHeight="1">
      <c r="A80" s="82"/>
      <c r="C80" s="20"/>
      <c r="D80" s="83"/>
      <c r="E80" s="19"/>
    </row>
    <row r="81" spans="1:5" ht="14.25" customHeight="1">
      <c r="A81" s="82"/>
      <c r="C81" s="20"/>
      <c r="D81" s="83"/>
      <c r="E81" s="19"/>
    </row>
    <row r="82" spans="1:5" ht="14.25" customHeight="1">
      <c r="A82" s="82"/>
      <c r="C82" s="20"/>
      <c r="D82" s="83"/>
      <c r="E82" s="19"/>
    </row>
    <row r="83" spans="1:5" ht="14.25" customHeight="1">
      <c r="A83" s="82"/>
      <c r="C83" s="20"/>
      <c r="D83" s="83"/>
      <c r="E83" s="19"/>
    </row>
    <row r="84" spans="1:5" ht="14.25" customHeight="1">
      <c r="A84" s="82"/>
      <c r="C84" s="20"/>
      <c r="D84" s="83"/>
      <c r="E84" s="19"/>
    </row>
    <row r="85" spans="1:5" ht="14.25" customHeight="1">
      <c r="A85" s="82"/>
      <c r="C85" s="20"/>
      <c r="D85" s="83"/>
      <c r="E85" s="19"/>
    </row>
    <row r="86" spans="1:5" ht="14.25" customHeight="1">
      <c r="A86" s="82"/>
      <c r="C86" s="20"/>
      <c r="D86" s="83"/>
      <c r="E86" s="19"/>
    </row>
    <row r="87" spans="1:5" ht="14.25" customHeight="1">
      <c r="A87" s="82"/>
      <c r="C87" s="20"/>
      <c r="D87" s="83"/>
      <c r="E87" s="19"/>
    </row>
    <row r="88" spans="1:5" ht="14.25" customHeight="1">
      <c r="A88" s="82"/>
      <c r="C88" s="20"/>
      <c r="D88" s="83"/>
      <c r="E88" s="19"/>
    </row>
    <row r="89" spans="1:5" ht="14.25" customHeight="1">
      <c r="A89" s="82"/>
      <c r="C89" s="20"/>
      <c r="D89" s="83"/>
      <c r="E89" s="19"/>
    </row>
    <row r="90" spans="1:5" ht="14.25" customHeight="1">
      <c r="A90" s="82"/>
      <c r="C90" s="20"/>
      <c r="D90" s="83"/>
      <c r="E90" s="19"/>
    </row>
    <row r="91" spans="1:5" ht="14.25" customHeight="1">
      <c r="A91" s="82"/>
      <c r="C91" s="20"/>
      <c r="D91" s="83"/>
      <c r="E91" s="19"/>
    </row>
    <row r="92" spans="1:5" ht="14.25" customHeight="1">
      <c r="A92" s="82"/>
      <c r="C92" s="20"/>
      <c r="D92" s="83"/>
      <c r="E92" s="19"/>
    </row>
    <row r="93" spans="1:5" ht="14.25" customHeight="1">
      <c r="A93" s="82"/>
      <c r="C93" s="20"/>
      <c r="D93" s="83"/>
      <c r="E93" s="19"/>
    </row>
    <row r="94" spans="1:5" ht="14.25" customHeight="1">
      <c r="A94" s="82"/>
      <c r="C94" s="20"/>
      <c r="D94" s="83"/>
      <c r="E94" s="19"/>
    </row>
    <row r="95" spans="1:5" ht="14.25" customHeight="1">
      <c r="A95" s="82"/>
      <c r="C95" s="20"/>
      <c r="D95" s="83"/>
      <c r="E95" s="19"/>
    </row>
    <row r="96" spans="1:5" ht="14.25" customHeight="1">
      <c r="A96" s="82"/>
      <c r="C96" s="20"/>
      <c r="D96" s="83"/>
      <c r="E96" s="19"/>
    </row>
    <row r="97" spans="1:5" ht="14.25" customHeight="1">
      <c r="A97" s="82"/>
      <c r="C97" s="20"/>
      <c r="D97" s="83"/>
      <c r="E97" s="19"/>
    </row>
    <row r="98" spans="1:5" ht="14.25" customHeight="1">
      <c r="A98" s="82"/>
      <c r="C98" s="20"/>
      <c r="D98" s="83"/>
      <c r="E98" s="19"/>
    </row>
    <row r="99" spans="1:5" ht="14.25" customHeight="1">
      <c r="A99" s="82"/>
      <c r="C99" s="20"/>
      <c r="D99" s="83"/>
      <c r="E99" s="19"/>
    </row>
    <row r="100" spans="1:5" ht="14.25" customHeight="1">
      <c r="A100" s="82"/>
      <c r="C100" s="20"/>
      <c r="D100" s="83"/>
      <c r="E100" s="19"/>
    </row>
    <row r="101" spans="1:5" ht="14.25" customHeight="1">
      <c r="A101" s="82"/>
      <c r="C101" s="20"/>
      <c r="D101" s="83"/>
      <c r="E101" s="19"/>
    </row>
    <row r="102" spans="1:5" ht="14.25" customHeight="1">
      <c r="A102" s="82"/>
      <c r="C102" s="20"/>
      <c r="D102" s="83"/>
      <c r="E102" s="19"/>
    </row>
    <row r="103" spans="1:5" ht="14.25" customHeight="1">
      <c r="A103" s="82"/>
      <c r="C103" s="20"/>
      <c r="D103" s="83"/>
      <c r="E103" s="19"/>
    </row>
    <row r="104" spans="1:5" ht="14.25" customHeight="1">
      <c r="A104" s="82"/>
      <c r="C104" s="20"/>
      <c r="D104" s="83"/>
      <c r="E104" s="19"/>
    </row>
    <row r="105" spans="1:5" ht="14.25" customHeight="1">
      <c r="A105" s="82"/>
      <c r="C105" s="20"/>
      <c r="D105" s="83"/>
      <c r="E105" s="19"/>
    </row>
    <row r="106" spans="1:5" ht="14.25" customHeight="1">
      <c r="A106" s="82"/>
      <c r="C106" s="20"/>
      <c r="D106" s="83"/>
      <c r="E106" s="19"/>
    </row>
    <row r="107" spans="1:5" ht="14.25" customHeight="1">
      <c r="A107" s="82"/>
      <c r="C107" s="20"/>
      <c r="D107" s="83"/>
      <c r="E107" s="19"/>
    </row>
    <row r="108" spans="1:5" ht="14.25" customHeight="1">
      <c r="A108" s="82"/>
      <c r="C108" s="20"/>
      <c r="D108" s="83"/>
      <c r="E108" s="19"/>
    </row>
    <row r="109" spans="1:5" ht="14.25" customHeight="1">
      <c r="A109" s="82"/>
      <c r="C109" s="20"/>
      <c r="D109" s="83"/>
      <c r="E109" s="19"/>
    </row>
    <row r="110" spans="1:5" ht="14.25" customHeight="1">
      <c r="A110" s="82"/>
      <c r="C110" s="20"/>
      <c r="D110" s="83"/>
      <c r="E110" s="19"/>
    </row>
    <row r="111" spans="1:5" ht="14.25" customHeight="1">
      <c r="A111" s="82"/>
      <c r="C111" s="20"/>
      <c r="D111" s="83"/>
      <c r="E111" s="19"/>
    </row>
    <row r="112" spans="1:5" ht="14.25" customHeight="1">
      <c r="A112" s="82"/>
      <c r="C112" s="20"/>
      <c r="D112" s="83"/>
      <c r="E112" s="19"/>
    </row>
    <row r="113" spans="1:5" ht="14.25" customHeight="1">
      <c r="A113" s="82"/>
      <c r="C113" s="20"/>
      <c r="D113" s="83"/>
      <c r="E113" s="19"/>
    </row>
    <row r="114" spans="1:5" ht="14.25" customHeight="1">
      <c r="A114" s="82"/>
      <c r="C114" s="20"/>
      <c r="D114" s="83"/>
      <c r="E114" s="19"/>
    </row>
    <row r="115" spans="1:5" ht="14.25" customHeight="1">
      <c r="A115" s="82"/>
      <c r="C115" s="20"/>
      <c r="D115" s="83"/>
      <c r="E115" s="19"/>
    </row>
    <row r="116" spans="1:5" ht="14.25" customHeight="1">
      <c r="A116" s="82"/>
      <c r="C116" s="20"/>
      <c r="D116" s="83"/>
      <c r="E116" s="19"/>
    </row>
    <row r="117" spans="1:5" ht="14.25" customHeight="1">
      <c r="A117" s="82"/>
      <c r="C117" s="20"/>
      <c r="D117" s="83"/>
      <c r="E117" s="19"/>
    </row>
    <row r="118" spans="1:5" ht="14.25" customHeight="1">
      <c r="A118" s="82"/>
      <c r="C118" s="20"/>
      <c r="D118" s="83"/>
      <c r="E118" s="19"/>
    </row>
    <row r="119" spans="1:5" ht="14.25" customHeight="1">
      <c r="A119" s="82"/>
      <c r="C119" s="20"/>
      <c r="D119" s="83"/>
      <c r="E119" s="19"/>
    </row>
    <row r="120" spans="1:5" ht="14.25" customHeight="1">
      <c r="A120" s="82"/>
      <c r="C120" s="20"/>
      <c r="D120" s="83"/>
      <c r="E120" s="19"/>
    </row>
    <row r="121" spans="1:5" ht="14.25" customHeight="1">
      <c r="A121" s="82"/>
      <c r="C121" s="20"/>
      <c r="D121" s="83"/>
      <c r="E121" s="19"/>
    </row>
    <row r="122" spans="1:5" ht="14.25" customHeight="1">
      <c r="A122" s="82"/>
      <c r="C122" s="20"/>
      <c r="D122" s="83"/>
      <c r="E122" s="19"/>
    </row>
    <row r="123" spans="1:5" ht="14.25" customHeight="1">
      <c r="A123" s="82"/>
      <c r="C123" s="20"/>
      <c r="D123" s="83"/>
      <c r="E123" s="19"/>
    </row>
    <row r="124" spans="1:5" ht="14.25" customHeight="1">
      <c r="A124" s="82"/>
      <c r="C124" s="20"/>
      <c r="D124" s="83"/>
      <c r="E124" s="19"/>
    </row>
    <row r="125" spans="1:5" ht="14.25" customHeight="1">
      <c r="A125" s="82"/>
      <c r="C125" s="20"/>
      <c r="D125" s="83"/>
      <c r="E125" s="19"/>
    </row>
    <row r="126" spans="1:5" ht="14.25" customHeight="1">
      <c r="A126" s="82"/>
      <c r="C126" s="20"/>
      <c r="D126" s="83"/>
      <c r="E126" s="19"/>
    </row>
    <row r="127" spans="1:5" ht="14.25" customHeight="1">
      <c r="A127" s="82"/>
      <c r="C127" s="20"/>
      <c r="D127" s="83"/>
      <c r="E127" s="19"/>
    </row>
    <row r="128" spans="1:5" ht="14.25" customHeight="1">
      <c r="A128" s="82"/>
      <c r="C128" s="20"/>
      <c r="D128" s="83"/>
      <c r="E128" s="19"/>
    </row>
    <row r="129" spans="1:5" ht="14.25" customHeight="1">
      <c r="A129" s="82"/>
      <c r="C129" s="20"/>
      <c r="D129" s="83"/>
      <c r="E129" s="19"/>
    </row>
    <row r="130" spans="1:5" ht="14.25" customHeight="1">
      <c r="A130" s="82"/>
      <c r="C130" s="20"/>
      <c r="D130" s="83"/>
      <c r="E130" s="19"/>
    </row>
    <row r="131" spans="1:5" ht="14.25" customHeight="1">
      <c r="A131" s="82"/>
      <c r="C131" s="20"/>
      <c r="D131" s="83"/>
      <c r="E131" s="19"/>
    </row>
    <row r="132" spans="1:5" ht="14.25" customHeight="1">
      <c r="A132" s="82"/>
      <c r="C132" s="20"/>
      <c r="D132" s="83"/>
      <c r="E132" s="19"/>
    </row>
    <row r="133" spans="1:5" ht="14.25" customHeight="1">
      <c r="A133" s="82"/>
      <c r="C133" s="20"/>
      <c r="D133" s="83"/>
      <c r="E133" s="19"/>
    </row>
    <row r="134" spans="1:5" ht="14.25" customHeight="1">
      <c r="A134" s="82"/>
      <c r="C134" s="20"/>
      <c r="D134" s="83"/>
      <c r="E134" s="19"/>
    </row>
    <row r="135" spans="1:5" ht="14.25" customHeight="1">
      <c r="A135" s="82"/>
      <c r="C135" s="20"/>
      <c r="D135" s="83"/>
      <c r="E135" s="19"/>
    </row>
    <row r="136" spans="1:5" ht="14.25" customHeight="1">
      <c r="A136" s="82"/>
      <c r="C136" s="20"/>
      <c r="D136" s="83"/>
      <c r="E136" s="19"/>
    </row>
    <row r="137" spans="1:5" ht="14.25" customHeight="1">
      <c r="A137" s="82"/>
      <c r="C137" s="20"/>
      <c r="D137" s="83"/>
      <c r="E137" s="19"/>
    </row>
    <row r="138" spans="1:5" ht="14.25" customHeight="1">
      <c r="A138" s="82"/>
      <c r="C138" s="20"/>
      <c r="D138" s="83"/>
      <c r="E138" s="19"/>
    </row>
    <row r="139" spans="1:5" ht="14.25" customHeight="1">
      <c r="A139" s="82"/>
      <c r="C139" s="20"/>
      <c r="D139" s="83"/>
      <c r="E139" s="19"/>
    </row>
    <row r="140" spans="1:5" ht="14.25" customHeight="1">
      <c r="A140" s="82"/>
      <c r="C140" s="20"/>
      <c r="D140" s="83"/>
      <c r="E140" s="19"/>
    </row>
    <row r="141" spans="1:5" ht="14.25" customHeight="1">
      <c r="A141" s="82"/>
      <c r="C141" s="20"/>
      <c r="D141" s="83"/>
      <c r="E141" s="19"/>
    </row>
    <row r="142" spans="1:5" ht="14.25" customHeight="1">
      <c r="A142" s="82"/>
      <c r="C142" s="20"/>
      <c r="D142" s="83"/>
      <c r="E142" s="19"/>
    </row>
    <row r="143" spans="1:5" ht="14.25" customHeight="1">
      <c r="A143" s="82"/>
      <c r="C143" s="20"/>
      <c r="D143" s="83"/>
      <c r="E143" s="19"/>
    </row>
    <row r="144" spans="1:5" ht="14.25" customHeight="1">
      <c r="A144" s="82"/>
      <c r="C144" s="20"/>
      <c r="D144" s="83"/>
      <c r="E144" s="19"/>
    </row>
    <row r="145" spans="1:5" ht="14.25" customHeight="1">
      <c r="A145" s="82"/>
      <c r="C145" s="20"/>
      <c r="D145" s="83"/>
      <c r="E145" s="19"/>
    </row>
    <row r="146" spans="1:5" ht="14.25" customHeight="1">
      <c r="A146" s="82"/>
      <c r="C146" s="20"/>
      <c r="D146" s="83"/>
      <c r="E146" s="19"/>
    </row>
    <row r="147" spans="1:5" ht="14.25" customHeight="1">
      <c r="A147" s="82"/>
      <c r="C147" s="20"/>
      <c r="D147" s="83"/>
      <c r="E147" s="19"/>
    </row>
    <row r="148" spans="1:5" ht="14.25" customHeight="1">
      <c r="A148" s="82"/>
      <c r="C148" s="20"/>
      <c r="D148" s="83"/>
      <c r="E148" s="19"/>
    </row>
    <row r="149" spans="1:5" ht="14.25" customHeight="1">
      <c r="A149" s="82"/>
      <c r="C149" s="20"/>
      <c r="D149" s="83"/>
      <c r="E149" s="19"/>
    </row>
    <row r="150" spans="1:5" ht="14.25" customHeight="1">
      <c r="A150" s="82"/>
      <c r="C150" s="20"/>
      <c r="D150" s="83"/>
      <c r="E150" s="19"/>
    </row>
    <row r="151" spans="1:5" ht="14.25" customHeight="1">
      <c r="A151" s="82"/>
      <c r="C151" s="20"/>
      <c r="D151" s="83"/>
      <c r="E151" s="19"/>
    </row>
    <row r="152" spans="1:5" ht="14.25" customHeight="1">
      <c r="A152" s="82"/>
      <c r="C152" s="20"/>
      <c r="D152" s="83"/>
      <c r="E152" s="19"/>
    </row>
    <row r="153" spans="1:5" ht="14.25" customHeight="1">
      <c r="A153" s="82"/>
      <c r="C153" s="20"/>
      <c r="D153" s="83"/>
      <c r="E153" s="19"/>
    </row>
    <row r="154" spans="1:5" ht="14.25" customHeight="1">
      <c r="A154" s="82"/>
      <c r="C154" s="20"/>
      <c r="D154" s="83"/>
      <c r="E154" s="19"/>
    </row>
    <row r="155" spans="1:5" ht="14.25" customHeight="1">
      <c r="A155" s="82"/>
      <c r="C155" s="20"/>
      <c r="D155" s="83"/>
      <c r="E155" s="19"/>
    </row>
    <row r="156" spans="1:5" ht="14.25" customHeight="1">
      <c r="A156" s="82"/>
      <c r="C156" s="20"/>
      <c r="D156" s="83"/>
      <c r="E156" s="19"/>
    </row>
    <row r="157" spans="1:5" ht="14.25" customHeight="1">
      <c r="A157" s="82"/>
      <c r="C157" s="20"/>
      <c r="D157" s="83"/>
      <c r="E157" s="19"/>
    </row>
    <row r="158" spans="1:5" ht="14.25" customHeight="1">
      <c r="A158" s="82"/>
      <c r="C158" s="20"/>
      <c r="D158" s="83"/>
      <c r="E158" s="19"/>
    </row>
    <row r="159" spans="1:5" ht="14.25" customHeight="1">
      <c r="A159" s="82"/>
      <c r="C159" s="20"/>
      <c r="D159" s="83"/>
      <c r="E159" s="19"/>
    </row>
    <row r="160" spans="1:5" ht="14.25" customHeight="1">
      <c r="A160" s="82"/>
      <c r="C160" s="20"/>
      <c r="D160" s="83"/>
      <c r="E160" s="19"/>
    </row>
    <row r="161" spans="1:5" ht="14.25" customHeight="1">
      <c r="A161" s="82"/>
      <c r="C161" s="20"/>
      <c r="D161" s="83"/>
      <c r="E161" s="19"/>
    </row>
    <row r="162" spans="1:5" ht="14.25" customHeight="1">
      <c r="A162" s="82"/>
      <c r="C162" s="20"/>
      <c r="D162" s="83"/>
      <c r="E162" s="19"/>
    </row>
    <row r="163" spans="1:5" ht="14.25" customHeight="1">
      <c r="A163" s="82"/>
      <c r="C163" s="20"/>
      <c r="D163" s="83"/>
      <c r="E163" s="19"/>
    </row>
    <row r="164" spans="1:5" ht="14.25" customHeight="1">
      <c r="A164" s="82"/>
      <c r="C164" s="20"/>
      <c r="D164" s="83"/>
      <c r="E164" s="19"/>
    </row>
    <row r="165" spans="1:5" ht="14.25" customHeight="1">
      <c r="A165" s="82"/>
      <c r="C165" s="20"/>
      <c r="D165" s="83"/>
      <c r="E165" s="19"/>
    </row>
    <row r="166" spans="1:5" ht="14.25" customHeight="1">
      <c r="A166" s="82"/>
      <c r="C166" s="20"/>
      <c r="D166" s="83"/>
      <c r="E166" s="19"/>
    </row>
    <row r="167" spans="1:5" ht="14.25" customHeight="1">
      <c r="A167" s="82"/>
      <c r="C167" s="20"/>
      <c r="D167" s="83"/>
      <c r="E167" s="19"/>
    </row>
    <row r="168" spans="1:5" ht="14.25" customHeight="1">
      <c r="A168" s="82"/>
      <c r="C168" s="20"/>
      <c r="D168" s="83"/>
      <c r="E168" s="19"/>
    </row>
    <row r="169" spans="1:5" ht="14.25" customHeight="1">
      <c r="A169" s="82"/>
      <c r="C169" s="20"/>
      <c r="D169" s="83"/>
      <c r="E169" s="19"/>
    </row>
    <row r="170" spans="1:5" ht="14.25" customHeight="1">
      <c r="A170" s="82"/>
      <c r="C170" s="20"/>
      <c r="D170" s="83"/>
      <c r="E170" s="19"/>
    </row>
    <row r="171" spans="1:5" ht="14.25" customHeight="1">
      <c r="A171" s="82"/>
      <c r="C171" s="20"/>
      <c r="D171" s="83"/>
      <c r="E171" s="19"/>
    </row>
    <row r="172" spans="1:5" ht="14.25" customHeight="1">
      <c r="A172" s="82"/>
      <c r="C172" s="20"/>
      <c r="D172" s="83"/>
      <c r="E172" s="19"/>
    </row>
    <row r="173" spans="1:5" ht="14.25" customHeight="1">
      <c r="A173" s="82"/>
      <c r="C173" s="20"/>
      <c r="D173" s="83"/>
      <c r="E173" s="19"/>
    </row>
    <row r="174" spans="1:5" ht="14.25" customHeight="1">
      <c r="A174" s="82"/>
      <c r="C174" s="20"/>
      <c r="D174" s="83"/>
      <c r="E174" s="19"/>
    </row>
    <row r="175" spans="1:5" ht="14.25" customHeight="1">
      <c r="A175" s="82"/>
      <c r="C175" s="20"/>
      <c r="D175" s="83"/>
      <c r="E175" s="19"/>
    </row>
    <row r="176" spans="1:5" ht="14.25" customHeight="1">
      <c r="A176" s="82"/>
      <c r="C176" s="20"/>
      <c r="D176" s="83"/>
      <c r="E176" s="19"/>
    </row>
    <row r="177" spans="1:5" ht="14.25" customHeight="1">
      <c r="A177" s="82"/>
      <c r="C177" s="20"/>
      <c r="D177" s="83"/>
      <c r="E177" s="19"/>
    </row>
    <row r="178" spans="1:5" ht="14.25" customHeight="1">
      <c r="A178" s="82"/>
      <c r="C178" s="20"/>
      <c r="D178" s="83"/>
      <c r="E178" s="19"/>
    </row>
    <row r="179" spans="1:5" ht="14.25" customHeight="1">
      <c r="A179" s="82"/>
      <c r="C179" s="20"/>
      <c r="D179" s="83"/>
      <c r="E179" s="19"/>
    </row>
    <row r="180" spans="1:5" ht="14.25" customHeight="1">
      <c r="A180" s="82"/>
      <c r="C180" s="20"/>
      <c r="D180" s="83"/>
      <c r="E180" s="19"/>
    </row>
    <row r="181" spans="1:5" ht="14.25" customHeight="1">
      <c r="A181" s="82"/>
      <c r="C181" s="20"/>
      <c r="D181" s="83"/>
      <c r="E181" s="19"/>
    </row>
    <row r="182" spans="1:5" ht="14.25" customHeight="1">
      <c r="A182" s="82"/>
      <c r="C182" s="20"/>
      <c r="D182" s="83"/>
      <c r="E182" s="19"/>
    </row>
    <row r="183" spans="1:5" ht="14.25" customHeight="1">
      <c r="A183" s="82"/>
      <c r="C183" s="20"/>
      <c r="D183" s="83"/>
      <c r="E183" s="19"/>
    </row>
    <row r="184" spans="1:5" ht="14.25" customHeight="1">
      <c r="A184" s="82"/>
      <c r="C184" s="20"/>
      <c r="D184" s="83"/>
      <c r="E184" s="19"/>
    </row>
    <row r="185" spans="1:5" ht="14.25" customHeight="1">
      <c r="A185" s="82"/>
      <c r="C185" s="20"/>
      <c r="D185" s="83"/>
      <c r="E185" s="19"/>
    </row>
    <row r="186" spans="1:5" ht="14.25" customHeight="1">
      <c r="A186" s="82"/>
      <c r="C186" s="20"/>
      <c r="D186" s="83"/>
      <c r="E186" s="19"/>
    </row>
    <row r="187" spans="1:5" ht="14.25" customHeight="1">
      <c r="A187" s="82"/>
      <c r="C187" s="20"/>
      <c r="D187" s="83"/>
      <c r="E187" s="19"/>
    </row>
    <row r="188" spans="1:5" ht="14.25" customHeight="1">
      <c r="A188" s="82"/>
      <c r="C188" s="20"/>
      <c r="D188" s="83"/>
      <c r="E188" s="19"/>
    </row>
    <row r="189" spans="1:5" ht="14.25" customHeight="1">
      <c r="A189" s="82"/>
      <c r="C189" s="20"/>
      <c r="D189" s="83"/>
      <c r="E189" s="19"/>
    </row>
    <row r="190" spans="1:5" ht="14.25" customHeight="1">
      <c r="A190" s="82"/>
      <c r="C190" s="20"/>
      <c r="D190" s="83"/>
      <c r="E190" s="19"/>
    </row>
    <row r="191" spans="1:5" ht="14.25" customHeight="1">
      <c r="A191" s="82"/>
      <c r="C191" s="20"/>
      <c r="D191" s="83"/>
      <c r="E191" s="19"/>
    </row>
    <row r="192" spans="1:5" ht="14.25" customHeight="1">
      <c r="A192" s="82"/>
      <c r="C192" s="20"/>
      <c r="D192" s="83"/>
      <c r="E192" s="19"/>
    </row>
    <row r="193" spans="1:5" ht="14.25" customHeight="1">
      <c r="A193" s="82"/>
      <c r="C193" s="20"/>
      <c r="D193" s="83"/>
      <c r="E193" s="19"/>
    </row>
    <row r="194" spans="1:5" ht="14.25" customHeight="1">
      <c r="A194" s="82"/>
      <c r="C194" s="20"/>
      <c r="D194" s="83"/>
      <c r="E194" s="19"/>
    </row>
    <row r="195" spans="1:5" ht="14.25" customHeight="1">
      <c r="A195" s="82"/>
      <c r="C195" s="20"/>
      <c r="D195" s="83"/>
      <c r="E195" s="19"/>
    </row>
    <row r="196" spans="1:5" ht="14.25" customHeight="1">
      <c r="A196" s="82"/>
      <c r="C196" s="20"/>
      <c r="D196" s="83"/>
      <c r="E196" s="19"/>
    </row>
    <row r="197" spans="1:5" ht="14.25" customHeight="1">
      <c r="A197" s="82"/>
      <c r="C197" s="20"/>
      <c r="D197" s="83"/>
      <c r="E197" s="19"/>
    </row>
    <row r="198" spans="1:5" ht="14.25" customHeight="1">
      <c r="A198" s="82"/>
      <c r="C198" s="20"/>
      <c r="D198" s="83"/>
      <c r="E198" s="19"/>
    </row>
    <row r="199" spans="1:5" ht="14.25" customHeight="1">
      <c r="A199" s="82"/>
      <c r="C199" s="20"/>
      <c r="D199" s="83"/>
      <c r="E199" s="19"/>
    </row>
    <row r="200" spans="1:5" ht="14.25" customHeight="1">
      <c r="A200" s="82"/>
      <c r="C200" s="20"/>
      <c r="D200" s="83"/>
      <c r="E200" s="19"/>
    </row>
    <row r="201" spans="1:5" ht="14.25" customHeight="1">
      <c r="A201" s="82"/>
      <c r="C201" s="20"/>
      <c r="D201" s="83"/>
      <c r="E201" s="19"/>
    </row>
    <row r="202" spans="1:5" ht="14.25" customHeight="1">
      <c r="A202" s="82"/>
      <c r="C202" s="20"/>
      <c r="D202" s="83"/>
      <c r="E202" s="19"/>
    </row>
    <row r="203" spans="1:5" ht="14.25" customHeight="1">
      <c r="A203" s="82"/>
      <c r="C203" s="20"/>
      <c r="D203" s="83"/>
      <c r="E203" s="19"/>
    </row>
    <row r="204" spans="1:5" ht="14.25" customHeight="1">
      <c r="A204" s="82"/>
      <c r="C204" s="20"/>
      <c r="D204" s="83"/>
      <c r="E204" s="19"/>
    </row>
    <row r="205" spans="1:5" ht="14.25" customHeight="1">
      <c r="A205" s="82"/>
      <c r="C205" s="20"/>
      <c r="D205" s="83"/>
      <c r="E205" s="19"/>
    </row>
    <row r="206" spans="1:5" ht="14.25" customHeight="1">
      <c r="A206" s="82"/>
      <c r="C206" s="20"/>
      <c r="D206" s="83"/>
      <c r="E206" s="19"/>
    </row>
    <row r="207" spans="1:5" ht="14.25" customHeight="1">
      <c r="A207" s="82"/>
      <c r="C207" s="20"/>
      <c r="D207" s="83"/>
      <c r="E207" s="19"/>
    </row>
    <row r="208" spans="1:5" ht="14.25" customHeight="1">
      <c r="A208" s="82"/>
      <c r="C208" s="20"/>
      <c r="D208" s="83"/>
      <c r="E208" s="19"/>
    </row>
    <row r="209" spans="1:5" ht="14.25" customHeight="1">
      <c r="A209" s="82"/>
      <c r="C209" s="20"/>
      <c r="D209" s="83"/>
      <c r="E209" s="19"/>
    </row>
    <row r="210" spans="1:5" ht="14.25" customHeight="1">
      <c r="A210" s="82"/>
      <c r="C210" s="20"/>
      <c r="D210" s="83"/>
      <c r="E210" s="19"/>
    </row>
    <row r="211" spans="1:5" ht="14.25" customHeight="1">
      <c r="A211" s="82"/>
      <c r="C211" s="20"/>
      <c r="D211" s="83"/>
      <c r="E211" s="19"/>
    </row>
    <row r="212" spans="1:5" ht="14.25" customHeight="1">
      <c r="A212" s="82"/>
      <c r="C212" s="20"/>
      <c r="D212" s="83"/>
      <c r="E212" s="19"/>
    </row>
    <row r="213" spans="1:5" ht="14.25" customHeight="1">
      <c r="A213" s="82"/>
      <c r="C213" s="20"/>
      <c r="D213" s="83"/>
      <c r="E213" s="19"/>
    </row>
    <row r="214" spans="1:5" ht="14.25" customHeight="1">
      <c r="A214" s="82"/>
      <c r="C214" s="20"/>
      <c r="D214" s="83"/>
      <c r="E214" s="19"/>
    </row>
    <row r="215" spans="1:5" ht="14.25" customHeight="1">
      <c r="A215" s="82"/>
      <c r="C215" s="20"/>
      <c r="D215" s="83"/>
      <c r="E215" s="19"/>
    </row>
    <row r="216" spans="1:5" ht="14.25" customHeight="1">
      <c r="A216" s="82"/>
      <c r="C216" s="20"/>
      <c r="D216" s="83"/>
      <c r="E216" s="19"/>
    </row>
    <row r="217" spans="1:5" ht="14.25" customHeight="1">
      <c r="A217" s="82"/>
      <c r="C217" s="20"/>
      <c r="D217" s="83"/>
      <c r="E217" s="19"/>
    </row>
    <row r="218" spans="1:5" ht="14.25" customHeight="1">
      <c r="A218" s="82"/>
      <c r="C218" s="20"/>
      <c r="D218" s="83"/>
      <c r="E218" s="19"/>
    </row>
    <row r="219" spans="1:5" ht="14.25" customHeight="1">
      <c r="A219" s="82"/>
      <c r="C219" s="20"/>
      <c r="D219" s="83"/>
      <c r="E219" s="19"/>
    </row>
    <row r="220" spans="1:5" ht="14.25" customHeight="1">
      <c r="A220" s="82"/>
      <c r="C220" s="20"/>
      <c r="D220" s="83"/>
      <c r="E220" s="19"/>
    </row>
    <row r="221" spans="1:5" ht="14.25" customHeight="1">
      <c r="A221" s="82"/>
      <c r="C221" s="20"/>
      <c r="D221" s="83"/>
      <c r="E221" s="19"/>
    </row>
    <row r="222" spans="1:5" ht="14.25" customHeight="1">
      <c r="A222" s="82"/>
      <c r="C222" s="20"/>
      <c r="D222" s="83"/>
      <c r="E222" s="19"/>
    </row>
    <row r="223" spans="1:5" ht="14.25" customHeight="1">
      <c r="A223" s="82"/>
      <c r="C223" s="20"/>
      <c r="D223" s="83"/>
      <c r="E223" s="19"/>
    </row>
    <row r="224" spans="1:5" ht="14.25" customHeight="1">
      <c r="A224" s="82"/>
      <c r="C224" s="20"/>
      <c r="D224" s="83"/>
      <c r="E224" s="19"/>
    </row>
    <row r="225" spans="1:5" ht="14.25" customHeight="1">
      <c r="A225" s="82"/>
      <c r="C225" s="20"/>
      <c r="D225" s="83"/>
      <c r="E225" s="19"/>
    </row>
    <row r="226" spans="1:5" ht="14.25" customHeight="1">
      <c r="A226" s="82"/>
      <c r="C226" s="20"/>
      <c r="D226" s="83"/>
      <c r="E226" s="19"/>
    </row>
    <row r="227" spans="1:5" ht="14.25" customHeight="1">
      <c r="A227" s="82"/>
      <c r="C227" s="20"/>
      <c r="D227" s="83"/>
      <c r="E227" s="19"/>
    </row>
    <row r="228" spans="1:5" ht="14.25" customHeight="1">
      <c r="A228" s="82"/>
      <c r="C228" s="20"/>
      <c r="D228" s="83"/>
      <c r="E228" s="19"/>
    </row>
    <row r="229" spans="1:5" ht="14.25" customHeight="1">
      <c r="A229" s="82"/>
      <c r="C229" s="20"/>
      <c r="D229" s="83"/>
      <c r="E229" s="19"/>
    </row>
    <row r="230" spans="1:5" ht="14.25" customHeight="1">
      <c r="A230" s="82"/>
      <c r="C230" s="20"/>
      <c r="D230" s="83"/>
      <c r="E230" s="19"/>
    </row>
    <row r="231" spans="1:5" ht="14.25" customHeight="1">
      <c r="A231" s="82"/>
      <c r="C231" s="20"/>
      <c r="D231" s="83"/>
      <c r="E231" s="19"/>
    </row>
    <row r="232" spans="1:5" ht="14.25" customHeight="1">
      <c r="A232" s="82"/>
      <c r="C232" s="20"/>
      <c r="D232" s="83"/>
      <c r="E232" s="19"/>
    </row>
    <row r="233" spans="1:5" ht="14.25" customHeight="1">
      <c r="A233" s="82"/>
      <c r="C233" s="20"/>
      <c r="D233" s="83"/>
      <c r="E233" s="19"/>
    </row>
    <row r="234" spans="1:5" ht="14.25" customHeight="1">
      <c r="A234" s="82"/>
      <c r="C234" s="20"/>
      <c r="D234" s="83"/>
      <c r="E234" s="19"/>
    </row>
    <row r="235" spans="1:5" ht="14.25" customHeight="1">
      <c r="A235" s="82"/>
      <c r="C235" s="20"/>
      <c r="D235" s="83"/>
      <c r="E235" s="19"/>
    </row>
    <row r="236" spans="1:5" ht="14.25" customHeight="1">
      <c r="A236" s="82"/>
      <c r="C236" s="20"/>
      <c r="D236" s="83"/>
      <c r="E236" s="19"/>
    </row>
    <row r="237" spans="1:5" ht="14.25" customHeight="1">
      <c r="A237" s="82"/>
      <c r="C237" s="20"/>
      <c r="D237" s="83"/>
      <c r="E237" s="19"/>
    </row>
    <row r="238" spans="1:5" ht="14.25" customHeight="1">
      <c r="A238" s="82"/>
      <c r="C238" s="20"/>
      <c r="D238" s="83"/>
      <c r="E238" s="19"/>
    </row>
    <row r="239" spans="1:5" ht="14.25" customHeight="1">
      <c r="A239" s="82"/>
      <c r="C239" s="20"/>
      <c r="D239" s="83"/>
      <c r="E239" s="19"/>
    </row>
    <row r="240" spans="1:5" ht="14.25" customHeight="1">
      <c r="A240" s="82"/>
      <c r="C240" s="20"/>
      <c r="D240" s="83"/>
      <c r="E240" s="19"/>
    </row>
    <row r="241" spans="1:5" ht="14.25" customHeight="1">
      <c r="A241" s="82"/>
      <c r="C241" s="20"/>
      <c r="D241" s="83"/>
      <c r="E241" s="19"/>
    </row>
    <row r="242" spans="1:5" ht="14.25" customHeight="1">
      <c r="A242" s="82"/>
      <c r="C242" s="20"/>
      <c r="D242" s="83"/>
      <c r="E242" s="19"/>
    </row>
    <row r="243" spans="1:5" ht="14.25" customHeight="1">
      <c r="A243" s="82"/>
      <c r="C243" s="20"/>
      <c r="D243" s="83"/>
      <c r="E243" s="19"/>
    </row>
    <row r="244" spans="1:5" ht="14.25" customHeight="1">
      <c r="A244" s="82"/>
      <c r="C244" s="20"/>
      <c r="D244" s="83"/>
      <c r="E244" s="19"/>
    </row>
    <row r="245" spans="1:5" ht="14.25" customHeight="1">
      <c r="A245" s="82"/>
      <c r="C245" s="20"/>
      <c r="D245" s="83"/>
      <c r="E245" s="19"/>
    </row>
    <row r="246" spans="1:5" ht="14.25" customHeight="1">
      <c r="A246" s="82"/>
      <c r="C246" s="20"/>
      <c r="D246" s="83"/>
      <c r="E246" s="19"/>
    </row>
    <row r="247" spans="1:5" ht="14.25" customHeight="1">
      <c r="A247" s="82"/>
      <c r="C247" s="20"/>
      <c r="D247" s="83"/>
      <c r="E247" s="19"/>
    </row>
    <row r="248" spans="1:5" ht="14.25" customHeight="1">
      <c r="A248" s="82"/>
      <c r="C248" s="20"/>
      <c r="D248" s="83"/>
      <c r="E248" s="19"/>
    </row>
    <row r="249" spans="1:5" ht="14.25" customHeight="1">
      <c r="A249" s="82"/>
      <c r="C249" s="20"/>
      <c r="D249" s="83"/>
      <c r="E249" s="19"/>
    </row>
    <row r="250" spans="1:5" ht="14.25" customHeight="1">
      <c r="A250" s="82"/>
      <c r="C250" s="20"/>
      <c r="D250" s="83"/>
      <c r="E250" s="19"/>
    </row>
    <row r="251" spans="1:5" ht="14.25" customHeight="1">
      <c r="A251" s="82"/>
      <c r="C251" s="20"/>
      <c r="D251" s="83"/>
      <c r="E251" s="19"/>
    </row>
    <row r="252" spans="1:5" ht="14.25" customHeight="1">
      <c r="A252" s="82"/>
      <c r="C252" s="20"/>
      <c r="D252" s="83"/>
      <c r="E252" s="19"/>
    </row>
    <row r="253" spans="1:5" ht="14.25" customHeight="1">
      <c r="A253" s="82"/>
      <c r="C253" s="20"/>
      <c r="D253" s="83"/>
      <c r="E253" s="19"/>
    </row>
    <row r="254" spans="1:5" ht="14.25" customHeight="1">
      <c r="A254" s="82"/>
      <c r="C254" s="20"/>
      <c r="D254" s="83"/>
      <c r="E254" s="19"/>
    </row>
    <row r="255" spans="1:5" ht="14.25" customHeight="1">
      <c r="A255" s="82"/>
      <c r="C255" s="20"/>
      <c r="D255" s="83"/>
      <c r="E255" s="19"/>
    </row>
    <row r="256" spans="1:5" ht="14.25" customHeight="1">
      <c r="A256" s="82"/>
      <c r="C256" s="20"/>
      <c r="D256" s="83"/>
      <c r="E256" s="19"/>
    </row>
    <row r="257" spans="1:5" ht="14.25" customHeight="1">
      <c r="A257" s="82"/>
      <c r="C257" s="20"/>
      <c r="D257" s="83"/>
      <c r="E257" s="19"/>
    </row>
    <row r="258" spans="1:5" ht="14.25" customHeight="1">
      <c r="A258" s="82"/>
      <c r="C258" s="20"/>
      <c r="D258" s="83"/>
      <c r="E258" s="19"/>
    </row>
    <row r="259" spans="1:5" ht="14.25" customHeight="1">
      <c r="A259" s="82"/>
      <c r="C259" s="20"/>
      <c r="D259" s="83"/>
      <c r="E259" s="19"/>
    </row>
    <row r="260" spans="1:5" ht="14.25" customHeight="1">
      <c r="A260" s="82"/>
      <c r="C260" s="20"/>
      <c r="D260" s="83"/>
      <c r="E260" s="19"/>
    </row>
    <row r="261" spans="1:5" ht="14.25" customHeight="1">
      <c r="A261" s="82"/>
      <c r="C261" s="20"/>
      <c r="D261" s="83"/>
      <c r="E261" s="19"/>
    </row>
    <row r="262" spans="1:5" ht="14.25" customHeight="1">
      <c r="A262" s="82"/>
      <c r="C262" s="20"/>
      <c r="D262" s="83"/>
      <c r="E262" s="19"/>
    </row>
    <row r="263" spans="1:5" ht="14.25" customHeight="1">
      <c r="A263" s="82"/>
      <c r="C263" s="20"/>
      <c r="D263" s="83"/>
      <c r="E263" s="19"/>
    </row>
    <row r="264" spans="1:5" ht="14.25" customHeight="1">
      <c r="A264" s="82"/>
      <c r="C264" s="20"/>
      <c r="D264" s="83"/>
      <c r="E264" s="19"/>
    </row>
    <row r="265" spans="1:5" ht="14.25" customHeight="1">
      <c r="A265" s="82"/>
      <c r="C265" s="20"/>
      <c r="D265" s="83"/>
      <c r="E265" s="19"/>
    </row>
    <row r="266" spans="1:5" ht="14.25" customHeight="1">
      <c r="A266" s="82"/>
      <c r="C266" s="20"/>
      <c r="D266" s="83"/>
      <c r="E266" s="19"/>
    </row>
    <row r="267" spans="1:5" ht="14.25" customHeight="1">
      <c r="A267" s="82"/>
      <c r="C267" s="20"/>
      <c r="D267" s="83"/>
      <c r="E267" s="19"/>
    </row>
    <row r="268" spans="1:5" ht="14.25" customHeight="1">
      <c r="A268" s="82"/>
      <c r="C268" s="20"/>
      <c r="D268" s="83"/>
      <c r="E268" s="19"/>
    </row>
    <row r="269" spans="1:5" ht="14.25" customHeight="1">
      <c r="A269" s="82"/>
      <c r="C269" s="20"/>
      <c r="D269" s="83"/>
      <c r="E269" s="19"/>
    </row>
    <row r="270" spans="1:5" ht="14.25" customHeight="1">
      <c r="A270" s="82"/>
      <c r="C270" s="20"/>
      <c r="D270" s="83"/>
      <c r="E270" s="19"/>
    </row>
    <row r="271" spans="1:5" ht="14.25" customHeight="1">
      <c r="A271" s="82"/>
      <c r="C271" s="20"/>
      <c r="D271" s="83"/>
      <c r="E271" s="19"/>
    </row>
    <row r="272" spans="1:5" ht="14.25" customHeight="1">
      <c r="A272" s="82"/>
      <c r="C272" s="20"/>
      <c r="D272" s="83"/>
      <c r="E272" s="19"/>
    </row>
    <row r="273" spans="1:5" ht="14.25" customHeight="1">
      <c r="A273" s="82"/>
      <c r="C273" s="20"/>
      <c r="D273" s="83"/>
      <c r="E273" s="19"/>
    </row>
    <row r="274" spans="1:5" ht="14.25" customHeight="1">
      <c r="A274" s="82"/>
      <c r="C274" s="20"/>
      <c r="D274" s="83"/>
      <c r="E274" s="19"/>
    </row>
    <row r="275" spans="1:5" ht="14.25" customHeight="1">
      <c r="A275" s="82"/>
      <c r="C275" s="20"/>
      <c r="D275" s="83"/>
      <c r="E275" s="19"/>
    </row>
    <row r="276" spans="1:5" ht="14.25" customHeight="1">
      <c r="A276" s="82"/>
      <c r="C276" s="20"/>
      <c r="D276" s="83"/>
      <c r="E276" s="19"/>
    </row>
    <row r="277" spans="1:5" ht="14.25" customHeight="1">
      <c r="A277" s="82"/>
      <c r="C277" s="20"/>
      <c r="D277" s="83"/>
      <c r="E277" s="19"/>
    </row>
    <row r="278" spans="1:5" ht="14.25" customHeight="1">
      <c r="A278" s="82"/>
      <c r="C278" s="20"/>
      <c r="D278" s="83"/>
      <c r="E278" s="19"/>
    </row>
    <row r="279" spans="1:5" ht="14.25" customHeight="1">
      <c r="A279" s="82"/>
      <c r="C279" s="20"/>
      <c r="D279" s="83"/>
      <c r="E279" s="19"/>
    </row>
    <row r="280" spans="1:5" ht="14.25" customHeight="1">
      <c r="A280" s="82"/>
      <c r="C280" s="20"/>
      <c r="D280" s="83"/>
      <c r="E280" s="19"/>
    </row>
    <row r="281" spans="1:5" ht="14.25" customHeight="1">
      <c r="A281" s="82"/>
      <c r="C281" s="20"/>
      <c r="D281" s="83"/>
      <c r="E281" s="19"/>
    </row>
    <row r="282" spans="1:5" ht="14.25" customHeight="1">
      <c r="A282" s="82"/>
      <c r="C282" s="20"/>
      <c r="D282" s="83"/>
      <c r="E282" s="19"/>
    </row>
    <row r="283" spans="1:5" ht="14.25" customHeight="1">
      <c r="A283" s="82"/>
      <c r="C283" s="20"/>
      <c r="D283" s="83"/>
      <c r="E283" s="19"/>
    </row>
    <row r="284" spans="1:5" ht="14.25" customHeight="1">
      <c r="A284" s="82"/>
      <c r="C284" s="20"/>
      <c r="D284" s="83"/>
      <c r="E284" s="19"/>
    </row>
    <row r="285" spans="1:5" ht="14.25" customHeight="1">
      <c r="A285" s="82"/>
      <c r="C285" s="20"/>
      <c r="D285" s="83"/>
      <c r="E285" s="19"/>
    </row>
    <row r="286" spans="1:5" ht="14.25" customHeight="1">
      <c r="A286" s="82"/>
      <c r="C286" s="20"/>
      <c r="D286" s="83"/>
      <c r="E286" s="19"/>
    </row>
    <row r="287" spans="1:5" ht="14.25" customHeight="1">
      <c r="A287" s="82"/>
      <c r="C287" s="20"/>
      <c r="D287" s="83"/>
      <c r="E287" s="19"/>
    </row>
    <row r="288" spans="1:5" ht="14.25" customHeight="1">
      <c r="A288" s="82"/>
      <c r="C288" s="20"/>
      <c r="D288" s="83"/>
      <c r="E288" s="19"/>
    </row>
    <row r="289" spans="1:5" ht="14.25" customHeight="1">
      <c r="A289" s="82"/>
      <c r="C289" s="20"/>
      <c r="D289" s="83"/>
      <c r="E289" s="19"/>
    </row>
    <row r="290" spans="1:5" ht="14.25" customHeight="1">
      <c r="A290" s="82"/>
      <c r="C290" s="20"/>
      <c r="D290" s="83"/>
      <c r="E290" s="19"/>
    </row>
    <row r="291" spans="1:5" ht="14.25" customHeight="1">
      <c r="A291" s="82"/>
      <c r="C291" s="20"/>
      <c r="D291" s="83"/>
      <c r="E291" s="19"/>
    </row>
    <row r="292" spans="1:5" ht="14.25" customHeight="1">
      <c r="A292" s="82"/>
      <c r="C292" s="20"/>
      <c r="D292" s="83"/>
      <c r="E292" s="19"/>
    </row>
    <row r="293" spans="1:5" ht="14.25" customHeight="1">
      <c r="A293" s="82"/>
      <c r="C293" s="20"/>
      <c r="D293" s="83"/>
      <c r="E293" s="19"/>
    </row>
    <row r="294" spans="1:5" ht="14.25" customHeight="1">
      <c r="A294" s="82"/>
      <c r="C294" s="20"/>
      <c r="D294" s="83"/>
      <c r="E294" s="19"/>
    </row>
    <row r="295" spans="1:5" ht="14.25" customHeight="1">
      <c r="A295" s="82"/>
      <c r="C295" s="20"/>
      <c r="D295" s="83"/>
      <c r="E295" s="19"/>
    </row>
    <row r="296" spans="1:5" ht="14.25" customHeight="1">
      <c r="A296" s="82"/>
      <c r="C296" s="20"/>
      <c r="D296" s="83"/>
      <c r="E296" s="19"/>
    </row>
    <row r="297" spans="1:5" ht="14.25" customHeight="1">
      <c r="A297" s="82"/>
      <c r="C297" s="20"/>
      <c r="D297" s="83"/>
      <c r="E297" s="19"/>
    </row>
    <row r="298" spans="1:5" ht="14.25" customHeight="1">
      <c r="A298" s="82"/>
      <c r="C298" s="20"/>
      <c r="D298" s="83"/>
      <c r="E298" s="19"/>
    </row>
    <row r="299" spans="1:5" ht="14.25" customHeight="1">
      <c r="A299" s="82"/>
      <c r="C299" s="20"/>
      <c r="D299" s="83"/>
      <c r="E299" s="19"/>
    </row>
    <row r="300" spans="1:5" ht="14.25" customHeight="1">
      <c r="A300" s="82"/>
      <c r="C300" s="20"/>
      <c r="D300" s="83"/>
      <c r="E300" s="19"/>
    </row>
    <row r="301" spans="1:5" ht="14.25" customHeight="1">
      <c r="A301" s="82"/>
      <c r="C301" s="20"/>
      <c r="D301" s="83"/>
      <c r="E301" s="19"/>
    </row>
    <row r="302" spans="1:5" ht="14.25" customHeight="1">
      <c r="A302" s="82"/>
      <c r="C302" s="20"/>
      <c r="D302" s="83"/>
      <c r="E302" s="19"/>
    </row>
    <row r="303" spans="1:5" ht="14.25" customHeight="1">
      <c r="A303" s="82"/>
      <c r="C303" s="20"/>
      <c r="D303" s="83"/>
      <c r="E303" s="19"/>
    </row>
    <row r="304" spans="1:5" ht="14.25" customHeight="1">
      <c r="A304" s="82"/>
      <c r="C304" s="20"/>
      <c r="D304" s="83"/>
      <c r="E304" s="19"/>
    </row>
    <row r="305" spans="1:5" ht="14.25" customHeight="1">
      <c r="A305" s="82"/>
      <c r="C305" s="20"/>
      <c r="D305" s="83"/>
      <c r="E305" s="19"/>
    </row>
    <row r="306" spans="1:5" ht="14.25" customHeight="1">
      <c r="A306" s="82"/>
      <c r="C306" s="20"/>
      <c r="D306" s="83"/>
      <c r="E306" s="19"/>
    </row>
    <row r="307" spans="1:5" ht="14.25" customHeight="1">
      <c r="A307" s="82"/>
      <c r="C307" s="20"/>
      <c r="D307" s="83"/>
      <c r="E307" s="19"/>
    </row>
    <row r="308" spans="1:5" ht="14.25" customHeight="1">
      <c r="A308" s="82"/>
      <c r="C308" s="20"/>
      <c r="D308" s="83"/>
      <c r="E308" s="19"/>
    </row>
    <row r="309" spans="1:5" ht="14.25" customHeight="1">
      <c r="A309" s="82"/>
      <c r="C309" s="20"/>
      <c r="D309" s="83"/>
      <c r="E309" s="19"/>
    </row>
    <row r="310" spans="1:5" ht="14.25" customHeight="1">
      <c r="A310" s="82"/>
      <c r="C310" s="20"/>
      <c r="D310" s="83"/>
      <c r="E310" s="19"/>
    </row>
    <row r="311" spans="1:5" ht="14.25" customHeight="1">
      <c r="A311" s="82"/>
      <c r="C311" s="20"/>
      <c r="D311" s="83"/>
      <c r="E311" s="19"/>
    </row>
    <row r="312" spans="1:5" ht="14.25" customHeight="1">
      <c r="A312" s="82"/>
      <c r="C312" s="20"/>
      <c r="D312" s="83"/>
      <c r="E312" s="19"/>
    </row>
    <row r="313" spans="1:5" ht="14.25" customHeight="1">
      <c r="A313" s="82"/>
      <c r="C313" s="20"/>
      <c r="D313" s="83"/>
      <c r="E313" s="19"/>
    </row>
    <row r="314" spans="1:5" ht="14.25" customHeight="1">
      <c r="A314" s="82"/>
      <c r="C314" s="20"/>
      <c r="D314" s="83"/>
      <c r="E314" s="19"/>
    </row>
    <row r="315" spans="1:5" ht="14.25" customHeight="1">
      <c r="A315" s="82"/>
      <c r="C315" s="20"/>
      <c r="D315" s="83"/>
      <c r="E315" s="19"/>
    </row>
    <row r="316" spans="1:5" ht="14.25" customHeight="1">
      <c r="A316" s="82"/>
      <c r="C316" s="20"/>
      <c r="D316" s="83"/>
      <c r="E316" s="19"/>
    </row>
    <row r="317" spans="1:5" ht="14.25" customHeight="1">
      <c r="A317" s="82"/>
      <c r="C317" s="20"/>
      <c r="D317" s="83"/>
      <c r="E317" s="19"/>
    </row>
    <row r="318" spans="1:5" ht="14.25" customHeight="1">
      <c r="A318" s="82"/>
      <c r="C318" s="20"/>
      <c r="D318" s="83"/>
      <c r="E318" s="19"/>
    </row>
    <row r="319" spans="1:5" ht="14.25" customHeight="1">
      <c r="A319" s="82"/>
      <c r="C319" s="20"/>
      <c r="D319" s="83"/>
      <c r="E319" s="19"/>
    </row>
    <row r="320" spans="1:5" ht="14.25" customHeight="1">
      <c r="A320" s="82"/>
      <c r="C320" s="20"/>
      <c r="D320" s="83"/>
      <c r="E320" s="19"/>
    </row>
    <row r="321" spans="1:5" ht="14.25" customHeight="1">
      <c r="A321" s="82"/>
      <c r="C321" s="20"/>
      <c r="D321" s="83"/>
      <c r="E321" s="19"/>
    </row>
    <row r="322" spans="1:5" ht="14.25" customHeight="1">
      <c r="A322" s="82"/>
      <c r="C322" s="20"/>
      <c r="D322" s="83"/>
      <c r="E322" s="19"/>
    </row>
    <row r="323" spans="1:5" ht="14.25" customHeight="1">
      <c r="A323" s="82"/>
      <c r="C323" s="20"/>
      <c r="D323" s="83"/>
      <c r="E323" s="19"/>
    </row>
    <row r="324" spans="1:5" ht="14.25" customHeight="1">
      <c r="A324" s="82"/>
      <c r="C324" s="20"/>
      <c r="D324" s="83"/>
      <c r="E324" s="19"/>
    </row>
    <row r="325" spans="1:5" ht="14.25" customHeight="1">
      <c r="A325" s="82"/>
      <c r="C325" s="20"/>
      <c r="D325" s="83"/>
      <c r="E325" s="19"/>
    </row>
    <row r="326" spans="1:5" ht="14.25" customHeight="1">
      <c r="A326" s="82"/>
      <c r="C326" s="20"/>
      <c r="D326" s="83"/>
      <c r="E326" s="19"/>
    </row>
    <row r="327" spans="1:5" ht="14.25" customHeight="1">
      <c r="A327" s="82"/>
      <c r="C327" s="20"/>
      <c r="D327" s="83"/>
      <c r="E327" s="19"/>
    </row>
    <row r="328" spans="1:5" ht="14.25" customHeight="1">
      <c r="A328" s="82"/>
      <c r="C328" s="20"/>
      <c r="D328" s="83"/>
      <c r="E328" s="19"/>
    </row>
    <row r="329" spans="1:5" ht="14.25" customHeight="1">
      <c r="A329" s="82"/>
      <c r="C329" s="20"/>
      <c r="D329" s="83"/>
      <c r="E329" s="19"/>
    </row>
    <row r="330" spans="1:5" ht="14.25" customHeight="1">
      <c r="A330" s="82"/>
      <c r="C330" s="20"/>
      <c r="D330" s="83"/>
      <c r="E330" s="19"/>
    </row>
    <row r="331" spans="1:5" ht="14.25" customHeight="1">
      <c r="A331" s="82"/>
      <c r="C331" s="20"/>
      <c r="D331" s="83"/>
      <c r="E331" s="19"/>
    </row>
    <row r="332" spans="1:5" ht="14.25" customHeight="1">
      <c r="A332" s="82"/>
      <c r="C332" s="20"/>
      <c r="D332" s="83"/>
      <c r="E332" s="19"/>
    </row>
    <row r="333" spans="1:5" ht="14.25" customHeight="1">
      <c r="A333" s="82"/>
      <c r="C333" s="20"/>
      <c r="D333" s="83"/>
      <c r="E333" s="19"/>
    </row>
    <row r="334" spans="1:5" ht="14.25" customHeight="1">
      <c r="A334" s="82"/>
      <c r="C334" s="20"/>
      <c r="D334" s="83"/>
      <c r="E334" s="19"/>
    </row>
    <row r="335" spans="1:5" ht="14.25" customHeight="1">
      <c r="A335" s="82"/>
      <c r="C335" s="20"/>
      <c r="D335" s="83"/>
      <c r="E335" s="19"/>
    </row>
    <row r="336" spans="1:5" ht="14.25" customHeight="1">
      <c r="A336" s="82"/>
      <c r="C336" s="20"/>
      <c r="D336" s="83"/>
      <c r="E336" s="19"/>
    </row>
    <row r="337" spans="1:5" ht="14.25" customHeight="1">
      <c r="A337" s="82"/>
      <c r="C337" s="20"/>
      <c r="D337" s="83"/>
      <c r="E337" s="19"/>
    </row>
    <row r="338" spans="1:5" ht="14.25" customHeight="1">
      <c r="A338" s="82"/>
      <c r="C338" s="20"/>
      <c r="D338" s="83"/>
      <c r="E338" s="19"/>
    </row>
    <row r="339" spans="1:5" ht="14.25" customHeight="1">
      <c r="A339" s="82"/>
      <c r="C339" s="20"/>
      <c r="D339" s="83"/>
      <c r="E339" s="19"/>
    </row>
    <row r="340" spans="1:5" ht="14.25" customHeight="1">
      <c r="A340" s="82"/>
      <c r="C340" s="20"/>
      <c r="D340" s="83"/>
      <c r="E340" s="19"/>
    </row>
    <row r="341" spans="1:5" ht="14.25" customHeight="1">
      <c r="A341" s="82"/>
      <c r="C341" s="20"/>
      <c r="D341" s="83"/>
      <c r="E341" s="19"/>
    </row>
    <row r="342" spans="1:5" ht="14.25" customHeight="1">
      <c r="A342" s="82"/>
      <c r="C342" s="20"/>
      <c r="D342" s="83"/>
      <c r="E342" s="19"/>
    </row>
    <row r="343" spans="1:5" ht="14.25" customHeight="1">
      <c r="A343" s="82"/>
      <c r="C343" s="20"/>
      <c r="D343" s="83"/>
      <c r="E343" s="19"/>
    </row>
    <row r="344" spans="1:5" ht="14.25" customHeight="1">
      <c r="A344" s="82"/>
      <c r="C344" s="20"/>
      <c r="D344" s="83"/>
      <c r="E344" s="19"/>
    </row>
    <row r="345" spans="1:5" ht="14.25" customHeight="1">
      <c r="A345" s="82"/>
      <c r="C345" s="20"/>
      <c r="D345" s="83"/>
      <c r="E345" s="19"/>
    </row>
    <row r="346" spans="1:5" ht="14.25" customHeight="1">
      <c r="A346" s="82"/>
      <c r="C346" s="20"/>
      <c r="D346" s="83"/>
      <c r="E346" s="19"/>
    </row>
    <row r="347" spans="1:5" ht="14.25" customHeight="1">
      <c r="A347" s="82"/>
      <c r="C347" s="20"/>
      <c r="D347" s="83"/>
      <c r="E347" s="19"/>
    </row>
    <row r="348" spans="1:5" ht="14.25" customHeight="1">
      <c r="A348" s="82"/>
      <c r="C348" s="20"/>
      <c r="D348" s="83"/>
      <c r="E348" s="19"/>
    </row>
    <row r="349" spans="1:5" ht="14.25" customHeight="1">
      <c r="A349" s="82"/>
      <c r="C349" s="20"/>
      <c r="D349" s="83"/>
      <c r="E349" s="19"/>
    </row>
    <row r="350" spans="1:5" ht="14.25" customHeight="1">
      <c r="A350" s="82"/>
      <c r="C350" s="20"/>
      <c r="D350" s="83"/>
      <c r="E350" s="19"/>
    </row>
    <row r="351" spans="1:5" ht="14.25" customHeight="1">
      <c r="A351" s="82"/>
      <c r="C351" s="20"/>
      <c r="D351" s="83"/>
      <c r="E351" s="19"/>
    </row>
    <row r="352" spans="1:5" ht="14.25" customHeight="1">
      <c r="A352" s="82"/>
      <c r="C352" s="20"/>
      <c r="D352" s="83"/>
      <c r="E352" s="19"/>
    </row>
    <row r="353" spans="1:5" ht="14.25" customHeight="1">
      <c r="A353" s="82"/>
      <c r="C353" s="20"/>
      <c r="D353" s="83"/>
      <c r="E353" s="19"/>
    </row>
    <row r="354" spans="1:5" ht="14.25" customHeight="1">
      <c r="A354" s="82"/>
      <c r="C354" s="20"/>
      <c r="D354" s="83"/>
      <c r="E354" s="19"/>
    </row>
    <row r="355" spans="1:5" ht="14.25" customHeight="1">
      <c r="A355" s="82"/>
      <c r="C355" s="20"/>
      <c r="D355" s="83"/>
      <c r="E355" s="19"/>
    </row>
    <row r="356" spans="1:5" ht="14.25" customHeight="1">
      <c r="A356" s="82"/>
      <c r="C356" s="20"/>
      <c r="D356" s="83"/>
      <c r="E356" s="19"/>
    </row>
    <row r="357" spans="1:5" ht="14.25" customHeight="1">
      <c r="A357" s="82"/>
      <c r="C357" s="20"/>
      <c r="D357" s="83"/>
      <c r="E357" s="19"/>
    </row>
    <row r="358" spans="1:5" ht="14.25" customHeight="1">
      <c r="A358" s="82"/>
      <c r="C358" s="20"/>
      <c r="D358" s="83"/>
      <c r="E358" s="19"/>
    </row>
    <row r="359" spans="1:5" ht="14.25" customHeight="1">
      <c r="A359" s="82"/>
      <c r="C359" s="20"/>
      <c r="D359" s="83"/>
      <c r="E359" s="19"/>
    </row>
    <row r="360" spans="1:5" ht="14.25" customHeight="1">
      <c r="A360" s="82"/>
      <c r="C360" s="20"/>
      <c r="D360" s="83"/>
      <c r="E360" s="19"/>
    </row>
    <row r="361" spans="1:5" ht="14.25" customHeight="1">
      <c r="A361" s="82"/>
      <c r="C361" s="20"/>
      <c r="D361" s="83"/>
      <c r="E361" s="19"/>
    </row>
    <row r="362" spans="1:5" ht="14.25" customHeight="1">
      <c r="A362" s="82"/>
      <c r="C362" s="20"/>
      <c r="D362" s="83"/>
      <c r="E362" s="19"/>
    </row>
    <row r="363" spans="1:5" ht="14.25" customHeight="1">
      <c r="A363" s="82"/>
      <c r="C363" s="20"/>
      <c r="D363" s="83"/>
      <c r="E363" s="19"/>
    </row>
    <row r="364" spans="1:5" ht="14.25" customHeight="1">
      <c r="A364" s="82"/>
      <c r="C364" s="20"/>
      <c r="D364" s="83"/>
      <c r="E364" s="19"/>
    </row>
    <row r="365" spans="1:5" ht="14.25" customHeight="1">
      <c r="A365" s="82"/>
      <c r="C365" s="20"/>
      <c r="D365" s="83"/>
      <c r="E365" s="19"/>
    </row>
    <row r="366" spans="1:5" ht="14.25" customHeight="1">
      <c r="A366" s="82"/>
      <c r="C366" s="20"/>
      <c r="D366" s="83"/>
      <c r="E366" s="19"/>
    </row>
    <row r="367" spans="1:5" ht="14.25" customHeight="1">
      <c r="A367" s="82"/>
      <c r="C367" s="20"/>
      <c r="D367" s="83"/>
      <c r="E367" s="19"/>
    </row>
    <row r="368" spans="1:5" ht="14.25" customHeight="1">
      <c r="A368" s="82"/>
      <c r="C368" s="20"/>
      <c r="D368" s="83"/>
      <c r="E368" s="19"/>
    </row>
    <row r="369" spans="1:5" ht="14.25" customHeight="1">
      <c r="A369" s="82"/>
      <c r="C369" s="20"/>
      <c r="D369" s="83"/>
      <c r="E369" s="19"/>
    </row>
    <row r="370" spans="1:5" ht="14.25" customHeight="1">
      <c r="A370" s="82"/>
      <c r="C370" s="20"/>
      <c r="D370" s="83"/>
      <c r="E370" s="19"/>
    </row>
    <row r="371" spans="1:5" ht="14.25" customHeight="1">
      <c r="A371" s="82"/>
      <c r="C371" s="20"/>
      <c r="D371" s="83"/>
      <c r="E371" s="19"/>
    </row>
    <row r="372" spans="1:5" ht="14.25" customHeight="1">
      <c r="A372" s="82"/>
      <c r="C372" s="20"/>
      <c r="D372" s="83"/>
      <c r="E372" s="19"/>
    </row>
    <row r="373" spans="1:5" ht="14.25" customHeight="1">
      <c r="A373" s="82"/>
      <c r="C373" s="20"/>
      <c r="D373" s="83"/>
      <c r="E373" s="19"/>
    </row>
    <row r="374" spans="1:5" ht="14.25" customHeight="1">
      <c r="A374" s="82"/>
      <c r="C374" s="20"/>
      <c r="D374" s="83"/>
      <c r="E374" s="19"/>
    </row>
    <row r="375" spans="1:5" ht="14.25" customHeight="1">
      <c r="A375" s="82"/>
      <c r="C375" s="20"/>
      <c r="D375" s="83"/>
      <c r="E375" s="19"/>
    </row>
    <row r="376" spans="1:5" ht="14.25" customHeight="1">
      <c r="A376" s="82"/>
      <c r="C376" s="20"/>
      <c r="D376" s="83"/>
      <c r="E376" s="19"/>
    </row>
    <row r="377" spans="1:5" ht="14.25" customHeight="1">
      <c r="A377" s="82"/>
      <c r="C377" s="20"/>
      <c r="D377" s="83"/>
      <c r="E377" s="19"/>
    </row>
    <row r="378" spans="1:5" ht="14.25" customHeight="1">
      <c r="A378" s="82"/>
      <c r="C378" s="20"/>
      <c r="D378" s="83"/>
      <c r="E378" s="19"/>
    </row>
    <row r="379" spans="1:5" ht="14.25" customHeight="1">
      <c r="A379" s="82"/>
      <c r="C379" s="20"/>
      <c r="D379" s="83"/>
      <c r="E379" s="19"/>
    </row>
    <row r="380" spans="1:5" ht="14.25" customHeight="1">
      <c r="A380" s="82"/>
      <c r="C380" s="20"/>
      <c r="D380" s="83"/>
      <c r="E380" s="19"/>
    </row>
    <row r="381" spans="1:5" ht="14.25" customHeight="1">
      <c r="A381" s="82"/>
      <c r="C381" s="20"/>
      <c r="D381" s="83"/>
      <c r="E381" s="19"/>
    </row>
    <row r="382" spans="1:5" ht="14.25" customHeight="1">
      <c r="A382" s="82"/>
      <c r="C382" s="20"/>
      <c r="D382" s="83"/>
      <c r="E382" s="19"/>
    </row>
    <row r="383" spans="1:5" ht="14.25" customHeight="1">
      <c r="A383" s="82"/>
      <c r="C383" s="20"/>
      <c r="D383" s="83"/>
      <c r="E383" s="19"/>
    </row>
    <row r="384" spans="1:5" ht="14.25" customHeight="1">
      <c r="A384" s="82"/>
      <c r="C384" s="20"/>
      <c r="D384" s="83"/>
      <c r="E384" s="19"/>
    </row>
    <row r="385" spans="1:5" ht="14.25" customHeight="1">
      <c r="A385" s="82"/>
      <c r="C385" s="20"/>
      <c r="D385" s="83"/>
      <c r="E385" s="19"/>
    </row>
    <row r="386" spans="1:5" ht="14.25" customHeight="1">
      <c r="A386" s="82"/>
      <c r="C386" s="20"/>
      <c r="D386" s="83"/>
      <c r="E386" s="19"/>
    </row>
    <row r="387" spans="1:5" ht="14.25" customHeight="1">
      <c r="A387" s="82"/>
      <c r="C387" s="20"/>
      <c r="D387" s="83"/>
      <c r="E387" s="19"/>
    </row>
    <row r="388" spans="1:5" ht="14.25" customHeight="1">
      <c r="A388" s="82"/>
      <c r="C388" s="20"/>
      <c r="D388" s="83"/>
      <c r="E388" s="19"/>
    </row>
    <row r="389" spans="1:5" ht="14.25" customHeight="1">
      <c r="A389" s="82"/>
      <c r="C389" s="20"/>
      <c r="D389" s="83"/>
      <c r="E389" s="19"/>
    </row>
    <row r="390" spans="1:5" ht="14.25" customHeight="1">
      <c r="A390" s="82"/>
      <c r="C390" s="20"/>
      <c r="D390" s="83"/>
      <c r="E390" s="19"/>
    </row>
    <row r="391" spans="1:5" ht="14.25" customHeight="1">
      <c r="A391" s="82"/>
      <c r="C391" s="20"/>
      <c r="D391" s="83"/>
      <c r="E391" s="19"/>
    </row>
    <row r="392" spans="1:5" ht="14.25" customHeight="1">
      <c r="A392" s="82"/>
      <c r="C392" s="20"/>
      <c r="D392" s="83"/>
      <c r="E392" s="19"/>
    </row>
    <row r="393" spans="1:5" ht="14.25" customHeight="1">
      <c r="A393" s="82"/>
      <c r="C393" s="20"/>
      <c r="D393" s="83"/>
      <c r="E393" s="19"/>
    </row>
    <row r="394" spans="1:5" ht="14.25" customHeight="1">
      <c r="A394" s="82"/>
      <c r="C394" s="20"/>
      <c r="D394" s="83"/>
      <c r="E394" s="19"/>
    </row>
    <row r="395" spans="1:5" ht="14.25" customHeight="1">
      <c r="A395" s="82"/>
      <c r="C395" s="20"/>
      <c r="D395" s="83"/>
      <c r="E395" s="19"/>
    </row>
    <row r="396" spans="1:5" ht="14.25" customHeight="1">
      <c r="A396" s="82"/>
      <c r="C396" s="20"/>
      <c r="D396" s="83"/>
      <c r="E396" s="19"/>
    </row>
    <row r="397" spans="1:5" ht="14.25" customHeight="1">
      <c r="A397" s="82"/>
      <c r="C397" s="20"/>
      <c r="D397" s="83"/>
      <c r="E397" s="19"/>
    </row>
    <row r="398" spans="1:5" ht="14.25" customHeight="1">
      <c r="A398" s="82"/>
      <c r="C398" s="20"/>
      <c r="D398" s="83"/>
      <c r="E398" s="19"/>
    </row>
    <row r="399" spans="1:5" ht="14.25" customHeight="1">
      <c r="A399" s="82"/>
      <c r="C399" s="20"/>
      <c r="D399" s="83"/>
      <c r="E399" s="19"/>
    </row>
    <row r="400" spans="1:5" ht="14.25" customHeight="1">
      <c r="A400" s="82"/>
      <c r="C400" s="20"/>
      <c r="D400" s="83"/>
      <c r="E400" s="19"/>
    </row>
    <row r="401" spans="1:5" ht="14.25" customHeight="1">
      <c r="A401" s="82"/>
      <c r="C401" s="20"/>
      <c r="D401" s="83"/>
      <c r="E401" s="19"/>
    </row>
    <row r="402" spans="1:5" ht="14.25" customHeight="1">
      <c r="A402" s="82"/>
      <c r="C402" s="20"/>
      <c r="D402" s="83"/>
      <c r="E402" s="19"/>
    </row>
    <row r="403" spans="1:5" ht="14.25" customHeight="1">
      <c r="A403" s="82"/>
      <c r="C403" s="20"/>
      <c r="D403" s="83"/>
      <c r="E403" s="19"/>
    </row>
    <row r="404" spans="1:5" ht="14.25" customHeight="1">
      <c r="A404" s="82"/>
      <c r="C404" s="20"/>
      <c r="D404" s="83"/>
      <c r="E404" s="19"/>
    </row>
    <row r="405" spans="1:5" ht="14.25" customHeight="1">
      <c r="A405" s="82"/>
      <c r="C405" s="20"/>
      <c r="D405" s="83"/>
      <c r="E405" s="19"/>
    </row>
    <row r="406" spans="1:5" ht="14.25" customHeight="1">
      <c r="A406" s="82"/>
      <c r="C406" s="20"/>
      <c r="D406" s="83"/>
      <c r="E406" s="19"/>
    </row>
    <row r="407" spans="1:5" ht="14.25" customHeight="1">
      <c r="A407" s="82"/>
      <c r="C407" s="20"/>
      <c r="D407" s="83"/>
      <c r="E407" s="19"/>
    </row>
    <row r="408" spans="1:5" ht="14.25" customHeight="1">
      <c r="A408" s="82"/>
      <c r="C408" s="20"/>
      <c r="D408" s="83"/>
      <c r="E408" s="19"/>
    </row>
    <row r="409" spans="1:5" ht="14.25" customHeight="1">
      <c r="A409" s="82"/>
      <c r="C409" s="20"/>
      <c r="D409" s="83"/>
      <c r="E409" s="19"/>
    </row>
    <row r="410" spans="1:5" ht="14.25" customHeight="1">
      <c r="A410" s="82"/>
      <c r="C410" s="20"/>
      <c r="D410" s="83"/>
      <c r="E410" s="19"/>
    </row>
    <row r="411" spans="1:5" ht="14.25" customHeight="1">
      <c r="A411" s="82"/>
      <c r="C411" s="20"/>
      <c r="D411" s="83"/>
      <c r="E411" s="19"/>
    </row>
    <row r="412" spans="1:5" ht="14.25" customHeight="1">
      <c r="A412" s="82"/>
      <c r="C412" s="20"/>
      <c r="D412" s="83"/>
      <c r="E412" s="19"/>
    </row>
    <row r="413" spans="1:5" ht="14.25" customHeight="1">
      <c r="A413" s="82"/>
      <c r="C413" s="20"/>
      <c r="D413" s="83"/>
      <c r="E413" s="19"/>
    </row>
    <row r="414" spans="1:5" ht="14.25" customHeight="1">
      <c r="A414" s="82"/>
      <c r="C414" s="20"/>
      <c r="D414" s="83"/>
      <c r="E414" s="19"/>
    </row>
    <row r="415" spans="1:5" ht="14.25" customHeight="1">
      <c r="A415" s="82"/>
      <c r="C415" s="20"/>
      <c r="D415" s="83"/>
      <c r="E415" s="19"/>
    </row>
    <row r="416" spans="1:5" ht="14.25" customHeight="1">
      <c r="A416" s="82"/>
      <c r="C416" s="20"/>
      <c r="D416" s="83"/>
      <c r="E416" s="19"/>
    </row>
    <row r="417" spans="1:5" ht="14.25" customHeight="1">
      <c r="A417" s="82"/>
      <c r="C417" s="20"/>
      <c r="D417" s="83"/>
      <c r="E417" s="19"/>
    </row>
    <row r="418" spans="1:5" ht="14.25" customHeight="1">
      <c r="A418" s="82"/>
      <c r="C418" s="20"/>
      <c r="D418" s="83"/>
      <c r="E418" s="19"/>
    </row>
    <row r="419" spans="1:5" ht="14.25" customHeight="1">
      <c r="A419" s="82"/>
      <c r="C419" s="20"/>
      <c r="D419" s="83"/>
      <c r="E419" s="19"/>
    </row>
    <row r="420" spans="1:5" ht="14.25" customHeight="1">
      <c r="A420" s="82"/>
      <c r="C420" s="20"/>
      <c r="D420" s="83"/>
      <c r="E420" s="19"/>
    </row>
    <row r="421" spans="1:5" ht="14.25" customHeight="1">
      <c r="A421" s="82"/>
      <c r="C421" s="20"/>
      <c r="D421" s="83"/>
      <c r="E421" s="19"/>
    </row>
    <row r="422" spans="1:5" ht="14.25" customHeight="1">
      <c r="A422" s="82"/>
      <c r="C422" s="20"/>
      <c r="D422" s="83"/>
      <c r="E422" s="19"/>
    </row>
    <row r="423" spans="1:5" ht="14.25" customHeight="1">
      <c r="A423" s="82"/>
      <c r="C423" s="20"/>
      <c r="D423" s="83"/>
      <c r="E423" s="19"/>
    </row>
    <row r="424" spans="1:5" ht="14.25" customHeight="1">
      <c r="A424" s="82"/>
      <c r="C424" s="20"/>
      <c r="D424" s="83"/>
      <c r="E424" s="19"/>
    </row>
    <row r="425" spans="1:5" ht="14.25" customHeight="1">
      <c r="A425" s="82"/>
      <c r="C425" s="20"/>
      <c r="D425" s="83"/>
      <c r="E425" s="19"/>
    </row>
    <row r="426" spans="1:5" ht="14.25" customHeight="1">
      <c r="A426" s="82"/>
      <c r="C426" s="20"/>
      <c r="D426" s="83"/>
      <c r="E426" s="19"/>
    </row>
    <row r="427" spans="1:5" ht="14.25" customHeight="1">
      <c r="A427" s="82"/>
      <c r="C427" s="20"/>
      <c r="D427" s="83"/>
      <c r="E427" s="19"/>
    </row>
    <row r="428" spans="1:5" ht="14.25" customHeight="1">
      <c r="A428" s="82"/>
      <c r="C428" s="20"/>
      <c r="D428" s="83"/>
      <c r="E428" s="19"/>
    </row>
    <row r="429" spans="1:5" ht="14.25" customHeight="1">
      <c r="A429" s="82"/>
      <c r="C429" s="20"/>
      <c r="D429" s="83"/>
      <c r="E429" s="19"/>
    </row>
    <row r="430" spans="1:5" ht="14.25" customHeight="1">
      <c r="A430" s="82"/>
      <c r="C430" s="20"/>
      <c r="D430" s="83"/>
      <c r="E430" s="19"/>
    </row>
    <row r="431" spans="1:5" ht="14.25" customHeight="1">
      <c r="A431" s="82"/>
      <c r="C431" s="20"/>
      <c r="D431" s="83"/>
      <c r="E431" s="19"/>
    </row>
    <row r="432" spans="1:5" ht="14.25" customHeight="1">
      <c r="A432" s="82"/>
      <c r="C432" s="20"/>
      <c r="D432" s="83"/>
      <c r="E432" s="19"/>
    </row>
    <row r="433" spans="1:5" ht="14.25" customHeight="1">
      <c r="A433" s="82"/>
      <c r="C433" s="20"/>
      <c r="D433" s="83"/>
      <c r="E433" s="19"/>
    </row>
    <row r="434" spans="1:5" ht="14.25" customHeight="1">
      <c r="A434" s="82"/>
      <c r="C434" s="20"/>
      <c r="D434" s="83"/>
      <c r="E434" s="19"/>
    </row>
    <row r="435" spans="1:5" ht="14.25" customHeight="1">
      <c r="A435" s="82"/>
      <c r="C435" s="20"/>
      <c r="D435" s="83"/>
      <c r="E435" s="19"/>
    </row>
    <row r="436" spans="1:5" ht="14.25" customHeight="1">
      <c r="A436" s="82"/>
      <c r="C436" s="20"/>
      <c r="D436" s="83"/>
      <c r="E436" s="19"/>
    </row>
    <row r="437" spans="1:5" ht="14.25" customHeight="1">
      <c r="A437" s="82"/>
      <c r="C437" s="20"/>
      <c r="D437" s="83"/>
      <c r="E437" s="19"/>
    </row>
    <row r="438" spans="1:5" ht="14.25" customHeight="1">
      <c r="A438" s="82"/>
      <c r="C438" s="20"/>
      <c r="D438" s="83"/>
      <c r="E438" s="19"/>
    </row>
    <row r="439" spans="1:5" ht="14.25" customHeight="1">
      <c r="A439" s="82"/>
      <c r="C439" s="20"/>
      <c r="D439" s="83"/>
      <c r="E439" s="19"/>
    </row>
    <row r="440" spans="1:5" ht="14.25" customHeight="1">
      <c r="A440" s="82"/>
      <c r="C440" s="20"/>
      <c r="D440" s="83"/>
      <c r="E440" s="19"/>
    </row>
    <row r="441" spans="1:5" ht="14.25" customHeight="1">
      <c r="A441" s="82"/>
      <c r="C441" s="20"/>
      <c r="D441" s="83"/>
      <c r="E441" s="19"/>
    </row>
    <row r="442" spans="1:5" ht="14.25" customHeight="1">
      <c r="A442" s="82"/>
      <c r="C442" s="20"/>
      <c r="D442" s="83"/>
      <c r="E442" s="19"/>
    </row>
    <row r="443" spans="1:5" ht="14.25" customHeight="1">
      <c r="A443" s="82"/>
      <c r="C443" s="20"/>
      <c r="D443" s="83"/>
      <c r="E443" s="19"/>
    </row>
    <row r="444" spans="1:5" ht="14.25" customHeight="1">
      <c r="A444" s="82"/>
      <c r="C444" s="20"/>
      <c r="D444" s="83"/>
      <c r="E444" s="19"/>
    </row>
    <row r="445" spans="1:5" ht="14.25" customHeight="1">
      <c r="A445" s="82"/>
      <c r="C445" s="20"/>
      <c r="D445" s="83"/>
      <c r="E445" s="19"/>
    </row>
    <row r="446" spans="1:5" ht="14.25" customHeight="1">
      <c r="A446" s="82"/>
      <c r="C446" s="20"/>
      <c r="D446" s="83"/>
      <c r="E446" s="19"/>
    </row>
    <row r="447" spans="1:5" ht="14.25" customHeight="1">
      <c r="A447" s="82"/>
      <c r="C447" s="20"/>
      <c r="D447" s="83"/>
      <c r="E447" s="19"/>
    </row>
    <row r="448" spans="1:5" ht="14.25" customHeight="1">
      <c r="A448" s="82"/>
      <c r="C448" s="20"/>
      <c r="D448" s="83"/>
      <c r="E448" s="19"/>
    </row>
    <row r="449" spans="1:5" ht="14.25" customHeight="1">
      <c r="A449" s="82"/>
      <c r="C449" s="20"/>
      <c r="D449" s="83"/>
      <c r="E449" s="19"/>
    </row>
    <row r="450" spans="1:5" ht="14.25" customHeight="1">
      <c r="A450" s="82"/>
      <c r="C450" s="20"/>
      <c r="D450" s="83"/>
      <c r="E450" s="19"/>
    </row>
    <row r="451" spans="1:5" ht="14.25" customHeight="1">
      <c r="A451" s="82"/>
      <c r="C451" s="20"/>
      <c r="D451" s="83"/>
      <c r="E451" s="19"/>
    </row>
    <row r="452" spans="1:5" ht="14.25" customHeight="1">
      <c r="A452" s="82"/>
      <c r="C452" s="20"/>
      <c r="D452" s="83"/>
      <c r="E452" s="19"/>
    </row>
    <row r="453" spans="1:5" ht="14.25" customHeight="1">
      <c r="A453" s="82"/>
      <c r="C453" s="20"/>
      <c r="D453" s="83"/>
      <c r="E453" s="19"/>
    </row>
    <row r="454" spans="1:5" ht="14.25" customHeight="1">
      <c r="A454" s="82"/>
      <c r="C454" s="20"/>
      <c r="D454" s="83"/>
      <c r="E454" s="19"/>
    </row>
    <row r="455" spans="1:5" ht="14.25" customHeight="1">
      <c r="A455" s="82"/>
      <c r="C455" s="20"/>
      <c r="D455" s="83"/>
      <c r="E455" s="19"/>
    </row>
    <row r="456" spans="1:5" ht="14.25" customHeight="1">
      <c r="A456" s="82"/>
      <c r="C456" s="20"/>
      <c r="D456" s="83"/>
      <c r="E456" s="19"/>
    </row>
    <row r="457" spans="1:5" ht="14.25" customHeight="1">
      <c r="A457" s="82"/>
      <c r="C457" s="20"/>
      <c r="D457" s="83"/>
      <c r="E457" s="19"/>
    </row>
    <row r="458" spans="1:5" ht="14.25" customHeight="1">
      <c r="A458" s="82"/>
      <c r="C458" s="20"/>
      <c r="D458" s="83"/>
      <c r="E458" s="19"/>
    </row>
    <row r="459" spans="1:5" ht="14.25" customHeight="1">
      <c r="A459" s="82"/>
      <c r="C459" s="20"/>
      <c r="D459" s="83"/>
      <c r="E459" s="19"/>
    </row>
    <row r="460" spans="1:5" ht="14.25" customHeight="1">
      <c r="A460" s="82"/>
      <c r="C460" s="20"/>
      <c r="D460" s="83"/>
      <c r="E460" s="19"/>
    </row>
    <row r="461" spans="1:5" ht="14.25" customHeight="1">
      <c r="A461" s="82"/>
      <c r="C461" s="20"/>
      <c r="D461" s="83"/>
      <c r="E461" s="19"/>
    </row>
    <row r="462" spans="1:5" ht="14.25" customHeight="1">
      <c r="A462" s="82"/>
      <c r="C462" s="20"/>
      <c r="D462" s="83"/>
      <c r="E462" s="19"/>
    </row>
    <row r="463" spans="1:5" ht="14.25" customHeight="1">
      <c r="A463" s="82"/>
      <c r="C463" s="20"/>
      <c r="D463" s="83"/>
      <c r="E463" s="19"/>
    </row>
    <row r="464" spans="1:5" ht="14.25" customHeight="1">
      <c r="A464" s="82"/>
      <c r="C464" s="20"/>
      <c r="D464" s="83"/>
      <c r="E464" s="19"/>
    </row>
    <row r="465" spans="1:5" ht="14.25" customHeight="1">
      <c r="A465" s="82"/>
      <c r="C465" s="20"/>
      <c r="D465" s="83"/>
      <c r="E465" s="19"/>
    </row>
    <row r="466" spans="1:5" ht="14.25" customHeight="1">
      <c r="A466" s="82"/>
      <c r="C466" s="20"/>
      <c r="D466" s="83"/>
      <c r="E466" s="19"/>
    </row>
    <row r="467" spans="1:5" ht="14.25" customHeight="1">
      <c r="A467" s="82"/>
      <c r="C467" s="20"/>
      <c r="D467" s="83"/>
      <c r="E467" s="19"/>
    </row>
    <row r="468" spans="1:5" ht="14.25" customHeight="1">
      <c r="A468" s="82"/>
      <c r="C468" s="20"/>
      <c r="D468" s="83"/>
      <c r="E468" s="19"/>
    </row>
    <row r="469" spans="1:5" ht="14.25" customHeight="1">
      <c r="A469" s="82"/>
      <c r="C469" s="20"/>
      <c r="D469" s="83"/>
      <c r="E469" s="19"/>
    </row>
    <row r="470" spans="1:5" ht="14.25" customHeight="1">
      <c r="A470" s="82"/>
      <c r="C470" s="20"/>
      <c r="D470" s="83"/>
      <c r="E470" s="19"/>
    </row>
    <row r="471" spans="1:5" ht="14.25" customHeight="1">
      <c r="A471" s="82"/>
      <c r="C471" s="20"/>
      <c r="D471" s="83"/>
      <c r="E471" s="19"/>
    </row>
    <row r="472" spans="1:5" ht="14.25" customHeight="1">
      <c r="A472" s="82"/>
      <c r="C472" s="20"/>
      <c r="D472" s="83"/>
      <c r="E472" s="19"/>
    </row>
    <row r="473" spans="1:5" ht="14.25" customHeight="1">
      <c r="A473" s="82"/>
      <c r="C473" s="20"/>
      <c r="D473" s="83"/>
      <c r="E473" s="19"/>
    </row>
    <row r="474" spans="1:5" ht="14.25" customHeight="1">
      <c r="A474" s="82"/>
      <c r="C474" s="20"/>
      <c r="D474" s="83"/>
      <c r="E474" s="19"/>
    </row>
    <row r="475" spans="1:5" ht="14.25" customHeight="1">
      <c r="A475" s="82"/>
      <c r="C475" s="20"/>
      <c r="D475" s="83"/>
      <c r="E475" s="19"/>
    </row>
    <row r="476" spans="1:5" ht="14.25" customHeight="1">
      <c r="A476" s="82"/>
      <c r="C476" s="20"/>
      <c r="D476" s="83"/>
      <c r="E476" s="19"/>
    </row>
    <row r="477" spans="1:5" ht="14.25" customHeight="1">
      <c r="A477" s="82"/>
      <c r="C477" s="20"/>
      <c r="D477" s="83"/>
      <c r="E477" s="19"/>
    </row>
    <row r="478" spans="1:5" ht="14.25" customHeight="1">
      <c r="A478" s="82"/>
      <c r="C478" s="20"/>
      <c r="D478" s="83"/>
      <c r="E478" s="19"/>
    </row>
    <row r="479" spans="1:5" ht="14.25" customHeight="1">
      <c r="A479" s="82"/>
      <c r="C479" s="20"/>
      <c r="D479" s="83"/>
      <c r="E479" s="19"/>
    </row>
    <row r="480" spans="1:5" ht="14.25" customHeight="1">
      <c r="A480" s="82"/>
      <c r="C480" s="20"/>
      <c r="D480" s="83"/>
      <c r="E480" s="19"/>
    </row>
    <row r="481" spans="1:5" ht="14.25" customHeight="1">
      <c r="A481" s="82"/>
      <c r="C481" s="20"/>
      <c r="D481" s="83"/>
      <c r="E481" s="19"/>
    </row>
    <row r="482" spans="1:5" ht="14.25" customHeight="1">
      <c r="A482" s="82"/>
      <c r="C482" s="20"/>
      <c r="D482" s="83"/>
      <c r="E482" s="19"/>
    </row>
    <row r="483" spans="1:5" ht="14.25" customHeight="1">
      <c r="A483" s="82"/>
      <c r="C483" s="20"/>
      <c r="D483" s="83"/>
      <c r="E483" s="19"/>
    </row>
    <row r="484" spans="1:5" ht="14.25" customHeight="1">
      <c r="A484" s="82"/>
      <c r="C484" s="20"/>
      <c r="D484" s="83"/>
      <c r="E484" s="19"/>
    </row>
    <row r="485" spans="1:5" ht="14.25" customHeight="1">
      <c r="A485" s="82"/>
      <c r="C485" s="20"/>
      <c r="D485" s="83"/>
      <c r="E485" s="19"/>
    </row>
    <row r="486" spans="1:5" ht="14.25" customHeight="1">
      <c r="A486" s="82"/>
      <c r="C486" s="20"/>
      <c r="D486" s="83"/>
      <c r="E486" s="19"/>
    </row>
    <row r="487" spans="1:5" ht="14.25" customHeight="1">
      <c r="A487" s="82"/>
      <c r="C487" s="20"/>
      <c r="D487" s="83"/>
      <c r="E487" s="19"/>
    </row>
    <row r="488" spans="1:5" ht="14.25" customHeight="1">
      <c r="A488" s="82"/>
      <c r="C488" s="20"/>
      <c r="D488" s="83"/>
      <c r="E488" s="19"/>
    </row>
    <row r="489" spans="1:5" ht="14.25" customHeight="1">
      <c r="A489" s="82"/>
      <c r="C489" s="20"/>
      <c r="D489" s="83"/>
      <c r="E489" s="19"/>
    </row>
    <row r="490" spans="1:5" ht="14.25" customHeight="1">
      <c r="A490" s="82"/>
      <c r="C490" s="20"/>
      <c r="D490" s="83"/>
      <c r="E490" s="19"/>
    </row>
    <row r="491" spans="1:5" ht="14.25" customHeight="1">
      <c r="A491" s="82"/>
      <c r="C491" s="20"/>
      <c r="D491" s="83"/>
      <c r="E491" s="19"/>
    </row>
    <row r="492" spans="1:5" ht="14.25" customHeight="1">
      <c r="A492" s="82"/>
      <c r="C492" s="20"/>
      <c r="D492" s="83"/>
      <c r="E492" s="19"/>
    </row>
    <row r="493" spans="1:5" ht="14.25" customHeight="1">
      <c r="A493" s="82"/>
      <c r="C493" s="20"/>
      <c r="D493" s="83"/>
      <c r="E493" s="19"/>
    </row>
    <row r="494" spans="1:5" ht="14.25" customHeight="1">
      <c r="A494" s="82"/>
      <c r="C494" s="20"/>
      <c r="D494" s="83"/>
      <c r="E494" s="19"/>
    </row>
    <row r="495" spans="1:5" ht="14.25" customHeight="1">
      <c r="A495" s="82"/>
      <c r="C495" s="20"/>
      <c r="D495" s="83"/>
      <c r="E495" s="19"/>
    </row>
    <row r="496" spans="1:5" ht="14.25" customHeight="1">
      <c r="A496" s="82"/>
      <c r="C496" s="20"/>
      <c r="D496" s="83"/>
      <c r="E496" s="19"/>
    </row>
    <row r="497" spans="1:5" ht="14.25" customHeight="1">
      <c r="A497" s="82"/>
      <c r="C497" s="20"/>
      <c r="D497" s="83"/>
      <c r="E497" s="19"/>
    </row>
    <row r="498" spans="1:5" ht="14.25" customHeight="1">
      <c r="A498" s="82"/>
      <c r="C498" s="20"/>
      <c r="D498" s="83"/>
      <c r="E498" s="19"/>
    </row>
    <row r="499" spans="1:5" ht="14.25" customHeight="1">
      <c r="A499" s="82"/>
      <c r="C499" s="20"/>
      <c r="D499" s="83"/>
      <c r="E499" s="19"/>
    </row>
    <row r="500" spans="1:5" ht="14.25" customHeight="1">
      <c r="A500" s="82"/>
      <c r="C500" s="20"/>
      <c r="D500" s="83"/>
      <c r="E500" s="19"/>
    </row>
    <row r="501" spans="1:5" ht="14.25" customHeight="1">
      <c r="A501" s="82"/>
      <c r="C501" s="20"/>
      <c r="D501" s="83"/>
      <c r="E501" s="19"/>
    </row>
    <row r="502" spans="1:5" ht="14.25" customHeight="1">
      <c r="A502" s="82"/>
      <c r="C502" s="20"/>
      <c r="D502" s="83"/>
      <c r="E502" s="19"/>
    </row>
    <row r="503" spans="1:5" ht="14.25" customHeight="1">
      <c r="A503" s="82"/>
      <c r="C503" s="20"/>
      <c r="D503" s="83"/>
      <c r="E503" s="19"/>
    </row>
    <row r="504" spans="1:5" ht="14.25" customHeight="1">
      <c r="A504" s="82"/>
      <c r="C504" s="20"/>
      <c r="D504" s="83"/>
      <c r="E504" s="19"/>
    </row>
    <row r="505" spans="1:5" ht="14.25" customHeight="1">
      <c r="A505" s="82"/>
      <c r="C505" s="20"/>
      <c r="D505" s="83"/>
      <c r="E505" s="19"/>
    </row>
    <row r="506" spans="1:5" ht="14.25" customHeight="1">
      <c r="A506" s="82"/>
      <c r="C506" s="20"/>
      <c r="D506" s="83"/>
      <c r="E506" s="19"/>
    </row>
    <row r="507" spans="1:5" ht="14.25" customHeight="1">
      <c r="A507" s="82"/>
      <c r="C507" s="20"/>
      <c r="D507" s="83"/>
      <c r="E507" s="19"/>
    </row>
    <row r="508" spans="1:5" ht="14.25" customHeight="1">
      <c r="A508" s="82"/>
      <c r="C508" s="20"/>
      <c r="D508" s="83"/>
      <c r="E508" s="19"/>
    </row>
    <row r="509" spans="1:5" ht="14.25" customHeight="1">
      <c r="A509" s="82"/>
      <c r="C509" s="20"/>
      <c r="D509" s="83"/>
      <c r="E509" s="19"/>
    </row>
    <row r="510" spans="1:5" ht="14.25" customHeight="1">
      <c r="A510" s="82"/>
      <c r="C510" s="20"/>
      <c r="D510" s="83"/>
      <c r="E510" s="19"/>
    </row>
    <row r="511" spans="1:5" ht="14.25" customHeight="1">
      <c r="A511" s="82"/>
      <c r="C511" s="20"/>
      <c r="D511" s="83"/>
      <c r="E511" s="19"/>
    </row>
    <row r="512" spans="1:5" ht="14.25" customHeight="1">
      <c r="A512" s="82"/>
      <c r="C512" s="20"/>
      <c r="D512" s="83"/>
      <c r="E512" s="19"/>
    </row>
    <row r="513" spans="1:5" ht="14.25" customHeight="1">
      <c r="A513" s="82"/>
      <c r="C513" s="20"/>
      <c r="D513" s="83"/>
      <c r="E513" s="19"/>
    </row>
    <row r="514" spans="1:5" ht="14.25" customHeight="1">
      <c r="A514" s="82"/>
      <c r="C514" s="20"/>
      <c r="D514" s="83"/>
      <c r="E514" s="19"/>
    </row>
    <row r="515" spans="1:5" ht="14.25" customHeight="1">
      <c r="A515" s="82"/>
      <c r="C515" s="20"/>
      <c r="D515" s="83"/>
      <c r="E515" s="19"/>
    </row>
    <row r="516" spans="1:5" ht="14.25" customHeight="1">
      <c r="A516" s="82"/>
      <c r="C516" s="20"/>
      <c r="D516" s="83"/>
      <c r="E516" s="19"/>
    </row>
    <row r="517" spans="1:5" ht="14.25" customHeight="1">
      <c r="A517" s="82"/>
      <c r="C517" s="20"/>
      <c r="D517" s="83"/>
      <c r="E517" s="19"/>
    </row>
    <row r="518" spans="1:5" ht="14.25" customHeight="1">
      <c r="A518" s="82"/>
      <c r="C518" s="20"/>
      <c r="D518" s="83"/>
      <c r="E518" s="19"/>
    </row>
    <row r="519" spans="1:5" ht="14.25" customHeight="1">
      <c r="A519" s="82"/>
      <c r="C519" s="20"/>
      <c r="D519" s="83"/>
      <c r="E519" s="19"/>
    </row>
    <row r="520" spans="1:5" ht="14.25" customHeight="1">
      <c r="A520" s="82"/>
      <c r="C520" s="20"/>
      <c r="D520" s="83"/>
      <c r="E520" s="19"/>
    </row>
    <row r="521" spans="1:5" ht="14.25" customHeight="1">
      <c r="A521" s="82"/>
      <c r="C521" s="20"/>
      <c r="D521" s="83"/>
      <c r="E521" s="19"/>
    </row>
    <row r="522" spans="1:5" ht="14.25" customHeight="1">
      <c r="A522" s="82"/>
      <c r="C522" s="20"/>
      <c r="D522" s="83"/>
      <c r="E522" s="19"/>
    </row>
    <row r="523" spans="1:5" ht="14.25" customHeight="1">
      <c r="A523" s="82"/>
      <c r="C523" s="20"/>
      <c r="D523" s="83"/>
      <c r="E523" s="19"/>
    </row>
    <row r="524" spans="1:5" ht="14.25" customHeight="1">
      <c r="A524" s="82"/>
      <c r="C524" s="20"/>
      <c r="D524" s="83"/>
      <c r="E524" s="19"/>
    </row>
    <row r="525" spans="1:5" ht="14.25" customHeight="1">
      <c r="A525" s="82"/>
      <c r="C525" s="20"/>
      <c r="D525" s="83"/>
      <c r="E525" s="19"/>
    </row>
    <row r="526" spans="1:5" ht="14.25" customHeight="1">
      <c r="A526" s="82"/>
      <c r="C526" s="20"/>
      <c r="D526" s="83"/>
      <c r="E526" s="19"/>
    </row>
    <row r="527" spans="1:5" ht="14.25" customHeight="1">
      <c r="A527" s="82"/>
      <c r="C527" s="20"/>
      <c r="D527" s="83"/>
      <c r="E527" s="19"/>
    </row>
    <row r="528" spans="1:5" ht="14.25" customHeight="1">
      <c r="A528" s="82"/>
      <c r="C528" s="20"/>
      <c r="D528" s="83"/>
      <c r="E528" s="19"/>
    </row>
    <row r="529" spans="1:5" ht="14.25" customHeight="1">
      <c r="A529" s="82"/>
      <c r="C529" s="20"/>
      <c r="D529" s="83"/>
      <c r="E529" s="19"/>
    </row>
    <row r="530" spans="1:5" ht="14.25" customHeight="1">
      <c r="A530" s="82"/>
      <c r="C530" s="20"/>
      <c r="D530" s="83"/>
      <c r="E530" s="19"/>
    </row>
    <row r="531" spans="1:5" ht="14.25" customHeight="1">
      <c r="A531" s="82"/>
      <c r="C531" s="20"/>
      <c r="D531" s="83"/>
      <c r="E531" s="19"/>
    </row>
    <row r="532" spans="1:5" ht="14.25" customHeight="1">
      <c r="A532" s="82"/>
      <c r="C532" s="20"/>
      <c r="D532" s="83"/>
      <c r="E532" s="19"/>
    </row>
    <row r="533" spans="1:5" ht="14.25" customHeight="1">
      <c r="A533" s="82"/>
      <c r="C533" s="20"/>
      <c r="D533" s="83"/>
      <c r="E533" s="19"/>
    </row>
    <row r="534" spans="1:5" ht="14.25" customHeight="1">
      <c r="A534" s="82"/>
      <c r="C534" s="20"/>
      <c r="D534" s="83"/>
      <c r="E534" s="19"/>
    </row>
    <row r="535" spans="1:5" ht="14.25" customHeight="1">
      <c r="A535" s="82"/>
      <c r="C535" s="20"/>
      <c r="D535" s="83"/>
      <c r="E535" s="19"/>
    </row>
    <row r="536" spans="1:5" ht="14.25" customHeight="1">
      <c r="A536" s="82"/>
      <c r="C536" s="20"/>
      <c r="D536" s="83"/>
      <c r="E536" s="19"/>
    </row>
    <row r="537" spans="1:5" ht="14.25" customHeight="1">
      <c r="A537" s="82"/>
      <c r="C537" s="20"/>
      <c r="D537" s="83"/>
      <c r="E537" s="19"/>
    </row>
    <row r="538" spans="1:5" ht="14.25" customHeight="1">
      <c r="A538" s="82"/>
      <c r="C538" s="20"/>
      <c r="D538" s="83"/>
      <c r="E538" s="19"/>
    </row>
    <row r="539" spans="1:5" ht="14.25" customHeight="1">
      <c r="A539" s="82"/>
      <c r="C539" s="20"/>
      <c r="D539" s="83"/>
      <c r="E539" s="19"/>
    </row>
    <row r="540" spans="1:5" ht="14.25" customHeight="1">
      <c r="A540" s="82"/>
      <c r="C540" s="20"/>
      <c r="D540" s="83"/>
      <c r="E540" s="19"/>
    </row>
    <row r="541" spans="1:5" ht="14.25" customHeight="1">
      <c r="A541" s="82"/>
      <c r="C541" s="20"/>
      <c r="D541" s="83"/>
      <c r="E541" s="19"/>
    </row>
    <row r="542" spans="1:5" ht="14.25" customHeight="1">
      <c r="A542" s="82"/>
      <c r="C542" s="20"/>
      <c r="D542" s="83"/>
      <c r="E542" s="19"/>
    </row>
    <row r="543" spans="1:5" ht="14.25" customHeight="1">
      <c r="A543" s="82"/>
      <c r="C543" s="20"/>
      <c r="D543" s="83"/>
      <c r="E543" s="19"/>
    </row>
    <row r="544" spans="1:5" ht="14.25" customHeight="1">
      <c r="A544" s="82"/>
      <c r="C544" s="20"/>
      <c r="D544" s="83"/>
      <c r="E544" s="19"/>
    </row>
    <row r="545" spans="1:5" ht="14.25" customHeight="1">
      <c r="A545" s="82"/>
      <c r="C545" s="20"/>
      <c r="D545" s="83"/>
      <c r="E545" s="19"/>
    </row>
    <row r="546" spans="1:5" ht="14.25" customHeight="1">
      <c r="A546" s="82"/>
      <c r="C546" s="20"/>
      <c r="D546" s="83"/>
      <c r="E546" s="19"/>
    </row>
    <row r="547" spans="1:5" ht="14.25" customHeight="1">
      <c r="A547" s="82"/>
      <c r="C547" s="20"/>
      <c r="D547" s="83"/>
      <c r="E547" s="19"/>
    </row>
    <row r="548" spans="1:5" ht="14.25" customHeight="1">
      <c r="A548" s="82"/>
      <c r="C548" s="20"/>
      <c r="D548" s="83"/>
      <c r="E548" s="19"/>
    </row>
    <row r="549" spans="1:5" ht="14.25" customHeight="1">
      <c r="A549" s="82"/>
      <c r="C549" s="20"/>
      <c r="D549" s="83"/>
      <c r="E549" s="19"/>
    </row>
    <row r="550" spans="1:5" ht="14.25" customHeight="1">
      <c r="A550" s="82"/>
      <c r="C550" s="20"/>
      <c r="D550" s="83"/>
      <c r="E550" s="19"/>
    </row>
    <row r="551" spans="1:5" ht="14.25" customHeight="1">
      <c r="A551" s="82"/>
      <c r="C551" s="20"/>
      <c r="D551" s="83"/>
      <c r="E551" s="19"/>
    </row>
    <row r="552" spans="1:5" ht="14.25" customHeight="1">
      <c r="A552" s="82"/>
      <c r="C552" s="20"/>
      <c r="D552" s="83"/>
      <c r="E552" s="19"/>
    </row>
    <row r="553" spans="1:5" ht="14.25" customHeight="1">
      <c r="A553" s="82"/>
      <c r="C553" s="20"/>
      <c r="D553" s="83"/>
      <c r="E553" s="19"/>
    </row>
    <row r="554" spans="1:5" ht="14.25" customHeight="1">
      <c r="A554" s="82"/>
      <c r="C554" s="20"/>
      <c r="D554" s="83"/>
      <c r="E554" s="19"/>
    </row>
    <row r="555" spans="1:5" ht="14.25" customHeight="1">
      <c r="A555" s="82"/>
      <c r="C555" s="20"/>
      <c r="D555" s="83"/>
      <c r="E555" s="19"/>
    </row>
    <row r="556" spans="1:5" ht="14.25" customHeight="1">
      <c r="A556" s="82"/>
      <c r="C556" s="20"/>
      <c r="D556" s="83"/>
      <c r="E556" s="19"/>
    </row>
    <row r="557" spans="1:5" ht="14.25" customHeight="1">
      <c r="A557" s="82"/>
      <c r="C557" s="20"/>
      <c r="D557" s="83"/>
      <c r="E557" s="19"/>
    </row>
    <row r="558" spans="1:5" ht="14.25" customHeight="1">
      <c r="A558" s="82"/>
      <c r="C558" s="20"/>
      <c r="D558" s="83"/>
      <c r="E558" s="19"/>
    </row>
    <row r="559" spans="1:5" ht="14.25" customHeight="1">
      <c r="A559" s="82"/>
      <c r="C559" s="20"/>
      <c r="D559" s="83"/>
      <c r="E559" s="19"/>
    </row>
    <row r="560" spans="1:5" ht="14.25" customHeight="1">
      <c r="A560" s="82"/>
      <c r="C560" s="20"/>
      <c r="D560" s="83"/>
      <c r="E560" s="19"/>
    </row>
    <row r="561" spans="1:5" ht="14.25" customHeight="1">
      <c r="A561" s="82"/>
      <c r="C561" s="20"/>
      <c r="D561" s="83"/>
      <c r="E561" s="19"/>
    </row>
    <row r="562" spans="1:5" ht="14.25" customHeight="1">
      <c r="A562" s="82"/>
      <c r="C562" s="20"/>
      <c r="D562" s="83"/>
      <c r="E562" s="19"/>
    </row>
    <row r="563" spans="1:5" ht="14.25" customHeight="1">
      <c r="A563" s="82"/>
      <c r="C563" s="20"/>
      <c r="D563" s="83"/>
      <c r="E563" s="19"/>
    </row>
    <row r="564" spans="1:5" ht="14.25" customHeight="1">
      <c r="A564" s="82"/>
      <c r="C564" s="20"/>
      <c r="D564" s="83"/>
      <c r="E564" s="19"/>
    </row>
    <row r="565" spans="1:5" ht="14.25" customHeight="1">
      <c r="A565" s="82"/>
      <c r="C565" s="20"/>
      <c r="D565" s="83"/>
      <c r="E565" s="19"/>
    </row>
    <row r="566" spans="1:5" ht="14.25" customHeight="1">
      <c r="A566" s="82"/>
      <c r="C566" s="20"/>
      <c r="D566" s="83"/>
      <c r="E566" s="19"/>
    </row>
    <row r="567" spans="1:5" ht="14.25" customHeight="1">
      <c r="A567" s="82"/>
      <c r="C567" s="20"/>
      <c r="D567" s="83"/>
      <c r="E567" s="19"/>
    </row>
    <row r="568" spans="1:5" ht="14.25" customHeight="1">
      <c r="A568" s="82"/>
      <c r="C568" s="20"/>
      <c r="D568" s="83"/>
      <c r="E568" s="19"/>
    </row>
    <row r="569" spans="1:5" ht="14.25" customHeight="1">
      <c r="A569" s="82"/>
      <c r="C569" s="20"/>
      <c r="D569" s="83"/>
      <c r="E569" s="19"/>
    </row>
    <row r="570" spans="1:5" ht="14.25" customHeight="1">
      <c r="A570" s="82"/>
      <c r="C570" s="20"/>
      <c r="D570" s="83"/>
      <c r="E570" s="19"/>
    </row>
    <row r="571" spans="1:5" ht="14.25" customHeight="1">
      <c r="A571" s="82"/>
      <c r="C571" s="20"/>
      <c r="D571" s="83"/>
      <c r="E571" s="19"/>
    </row>
    <row r="572" spans="1:5" ht="14.25" customHeight="1">
      <c r="A572" s="82"/>
      <c r="C572" s="20"/>
      <c r="D572" s="83"/>
      <c r="E572" s="19"/>
    </row>
    <row r="573" spans="1:5" ht="14.25" customHeight="1">
      <c r="A573" s="82"/>
      <c r="C573" s="20"/>
      <c r="D573" s="83"/>
      <c r="E573" s="19"/>
    </row>
    <row r="574" spans="1:5" ht="14.25" customHeight="1">
      <c r="A574" s="82"/>
      <c r="C574" s="20"/>
      <c r="D574" s="83"/>
      <c r="E574" s="19"/>
    </row>
    <row r="575" spans="1:5" ht="14.25" customHeight="1">
      <c r="A575" s="82"/>
      <c r="C575" s="20"/>
      <c r="D575" s="83"/>
      <c r="E575" s="19"/>
    </row>
    <row r="576" spans="1:5" ht="14.25" customHeight="1">
      <c r="A576" s="82"/>
      <c r="C576" s="20"/>
      <c r="D576" s="83"/>
      <c r="E576" s="19"/>
    </row>
    <row r="577" spans="1:5" ht="14.25" customHeight="1">
      <c r="A577" s="82"/>
      <c r="C577" s="20"/>
      <c r="D577" s="83"/>
      <c r="E577" s="19"/>
    </row>
    <row r="578" spans="1:5" ht="14.25" customHeight="1">
      <c r="A578" s="82"/>
      <c r="C578" s="20"/>
      <c r="D578" s="83"/>
      <c r="E578" s="19"/>
    </row>
    <row r="579" spans="1:5" ht="14.25" customHeight="1">
      <c r="A579" s="82"/>
      <c r="C579" s="20"/>
      <c r="D579" s="83"/>
      <c r="E579" s="19"/>
    </row>
    <row r="580" spans="1:5" ht="14.25" customHeight="1">
      <c r="A580" s="82"/>
      <c r="C580" s="20"/>
      <c r="D580" s="83"/>
      <c r="E580" s="19"/>
    </row>
    <row r="581" spans="1:5" ht="14.25" customHeight="1">
      <c r="A581" s="82"/>
      <c r="C581" s="20"/>
      <c r="D581" s="83"/>
      <c r="E581" s="19"/>
    </row>
    <row r="582" spans="1:5" ht="14.25" customHeight="1">
      <c r="A582" s="82"/>
      <c r="C582" s="20"/>
      <c r="D582" s="83"/>
      <c r="E582" s="19"/>
    </row>
    <row r="583" spans="1:5" ht="14.25" customHeight="1">
      <c r="A583" s="82"/>
      <c r="C583" s="20"/>
      <c r="D583" s="83"/>
      <c r="E583" s="19"/>
    </row>
    <row r="584" spans="1:5" ht="14.25" customHeight="1">
      <c r="A584" s="82"/>
      <c r="C584" s="20"/>
      <c r="D584" s="83"/>
      <c r="E584" s="19"/>
    </row>
    <row r="585" spans="1:5" ht="14.25" customHeight="1">
      <c r="A585" s="82"/>
      <c r="C585" s="20"/>
      <c r="D585" s="83"/>
      <c r="E585" s="19"/>
    </row>
    <row r="586" spans="1:5" ht="14.25" customHeight="1">
      <c r="A586" s="82"/>
      <c r="C586" s="20"/>
      <c r="D586" s="83"/>
      <c r="E586" s="19"/>
    </row>
    <row r="587" spans="1:5" ht="14.25" customHeight="1">
      <c r="A587" s="82"/>
      <c r="C587" s="20"/>
      <c r="D587" s="83"/>
      <c r="E587" s="19"/>
    </row>
    <row r="588" spans="1:5" ht="14.25" customHeight="1">
      <c r="A588" s="82"/>
      <c r="C588" s="20"/>
      <c r="D588" s="83"/>
      <c r="E588" s="19"/>
    </row>
    <row r="589" spans="1:5" ht="14.25" customHeight="1">
      <c r="A589" s="82"/>
      <c r="C589" s="20"/>
      <c r="D589" s="83"/>
      <c r="E589" s="19"/>
    </row>
    <row r="590" spans="1:5" ht="14.25" customHeight="1">
      <c r="A590" s="82"/>
      <c r="C590" s="20"/>
      <c r="D590" s="83"/>
      <c r="E590" s="19"/>
    </row>
    <row r="591" spans="1:5" ht="14.25" customHeight="1">
      <c r="A591" s="82"/>
      <c r="C591" s="20"/>
      <c r="D591" s="83"/>
      <c r="E591" s="19"/>
    </row>
    <row r="592" spans="1:5" ht="14.25" customHeight="1">
      <c r="A592" s="82"/>
      <c r="C592" s="20"/>
      <c r="D592" s="83"/>
      <c r="E592" s="19"/>
    </row>
    <row r="593" spans="1:5" ht="14.25" customHeight="1">
      <c r="A593" s="82"/>
      <c r="C593" s="20"/>
      <c r="D593" s="83"/>
      <c r="E593" s="19"/>
    </row>
    <row r="594" spans="1:5" ht="14.25" customHeight="1">
      <c r="A594" s="82"/>
      <c r="C594" s="20"/>
      <c r="D594" s="83"/>
      <c r="E594" s="19"/>
    </row>
    <row r="595" spans="1:5" ht="14.25" customHeight="1">
      <c r="A595" s="82"/>
      <c r="C595" s="20"/>
      <c r="D595" s="83"/>
      <c r="E595" s="19"/>
    </row>
    <row r="596" spans="1:5" ht="14.25" customHeight="1">
      <c r="A596" s="82"/>
      <c r="C596" s="20"/>
      <c r="D596" s="83"/>
      <c r="E596" s="19"/>
    </row>
    <row r="597" spans="1:5" ht="14.25" customHeight="1">
      <c r="A597" s="82"/>
      <c r="C597" s="20"/>
      <c r="D597" s="83"/>
      <c r="E597" s="19"/>
    </row>
    <row r="598" spans="1:5" ht="14.25" customHeight="1">
      <c r="A598" s="82"/>
      <c r="C598" s="20"/>
      <c r="D598" s="83"/>
      <c r="E598" s="19"/>
    </row>
    <row r="599" spans="1:5" ht="14.25" customHeight="1">
      <c r="A599" s="82"/>
      <c r="C599" s="20"/>
      <c r="D599" s="83"/>
      <c r="E599" s="19"/>
    </row>
    <row r="600" spans="1:5" ht="14.25" customHeight="1">
      <c r="A600" s="82"/>
      <c r="C600" s="20"/>
      <c r="D600" s="83"/>
      <c r="E600" s="19"/>
    </row>
    <row r="601" spans="1:5" ht="14.25" customHeight="1">
      <c r="A601" s="82"/>
      <c r="C601" s="20"/>
      <c r="D601" s="83"/>
      <c r="E601" s="19"/>
    </row>
    <row r="602" spans="1:5" ht="14.25" customHeight="1">
      <c r="A602" s="82"/>
      <c r="C602" s="20"/>
      <c r="D602" s="83"/>
      <c r="E602" s="19"/>
    </row>
    <row r="603" spans="1:5" ht="14.25" customHeight="1">
      <c r="A603" s="82"/>
      <c r="C603" s="20"/>
      <c r="D603" s="83"/>
      <c r="E603" s="19"/>
    </row>
    <row r="604" spans="1:5" ht="14.25" customHeight="1">
      <c r="A604" s="82"/>
      <c r="C604" s="20"/>
      <c r="D604" s="83"/>
      <c r="E604" s="19"/>
    </row>
    <row r="605" spans="1:5" ht="14.25" customHeight="1">
      <c r="A605" s="82"/>
      <c r="C605" s="20"/>
      <c r="D605" s="83"/>
      <c r="E605" s="19"/>
    </row>
    <row r="606" spans="1:5" ht="14.25" customHeight="1">
      <c r="A606" s="82"/>
      <c r="C606" s="20"/>
      <c r="D606" s="83"/>
      <c r="E606" s="19"/>
    </row>
    <row r="607" spans="1:5" ht="14.25" customHeight="1">
      <c r="A607" s="82"/>
      <c r="C607" s="20"/>
      <c r="D607" s="83"/>
      <c r="E607" s="19"/>
    </row>
    <row r="608" spans="1:5" ht="14.25" customHeight="1">
      <c r="A608" s="82"/>
      <c r="C608" s="20"/>
      <c r="D608" s="83"/>
      <c r="E608" s="19"/>
    </row>
    <row r="609" spans="1:5" ht="14.25" customHeight="1">
      <c r="A609" s="82"/>
      <c r="C609" s="20"/>
      <c r="D609" s="83"/>
      <c r="E609" s="19"/>
    </row>
    <row r="610" spans="1:5" ht="14.25" customHeight="1">
      <c r="A610" s="82"/>
      <c r="C610" s="20"/>
      <c r="D610" s="83"/>
      <c r="E610" s="19"/>
    </row>
    <row r="611" spans="1:5" ht="14.25" customHeight="1">
      <c r="A611" s="82"/>
      <c r="C611" s="20"/>
      <c r="D611" s="83"/>
      <c r="E611" s="19"/>
    </row>
    <row r="612" spans="1:5" ht="14.25" customHeight="1">
      <c r="A612" s="82"/>
      <c r="C612" s="20"/>
      <c r="D612" s="83"/>
      <c r="E612" s="19"/>
    </row>
    <row r="613" spans="1:5" ht="14.25" customHeight="1">
      <c r="A613" s="82"/>
      <c r="C613" s="20"/>
      <c r="D613" s="83"/>
      <c r="E613" s="19"/>
    </row>
    <row r="614" spans="1:5" ht="14.25" customHeight="1">
      <c r="A614" s="82"/>
      <c r="C614" s="20"/>
      <c r="D614" s="83"/>
      <c r="E614" s="19"/>
    </row>
    <row r="615" spans="1:5" ht="14.25" customHeight="1">
      <c r="A615" s="82"/>
      <c r="C615" s="20"/>
      <c r="D615" s="83"/>
      <c r="E615" s="19"/>
    </row>
    <row r="616" spans="1:5" ht="14.25" customHeight="1">
      <c r="A616" s="82"/>
      <c r="C616" s="20"/>
      <c r="D616" s="83"/>
      <c r="E616" s="19"/>
    </row>
    <row r="617" spans="1:5" ht="14.25" customHeight="1">
      <c r="A617" s="82"/>
      <c r="C617" s="20"/>
      <c r="D617" s="83"/>
      <c r="E617" s="19"/>
    </row>
    <row r="618" spans="1:5" ht="14.25" customHeight="1">
      <c r="A618" s="82"/>
      <c r="C618" s="20"/>
      <c r="D618" s="83"/>
      <c r="E618" s="19"/>
    </row>
    <row r="619" spans="1:5" ht="14.25" customHeight="1">
      <c r="A619" s="82"/>
      <c r="C619" s="20"/>
      <c r="D619" s="83"/>
      <c r="E619" s="19"/>
    </row>
    <row r="620" spans="1:5" ht="14.25" customHeight="1">
      <c r="A620" s="82"/>
      <c r="C620" s="20"/>
      <c r="D620" s="83"/>
      <c r="E620" s="19"/>
    </row>
    <row r="621" spans="1:5" ht="14.25" customHeight="1">
      <c r="A621" s="82"/>
      <c r="C621" s="20"/>
      <c r="D621" s="83"/>
      <c r="E621" s="19"/>
    </row>
    <row r="622" spans="1:5" ht="14.25" customHeight="1">
      <c r="A622" s="82"/>
      <c r="C622" s="20"/>
      <c r="D622" s="83"/>
      <c r="E622" s="19"/>
    </row>
    <row r="623" spans="1:5" ht="14.25" customHeight="1">
      <c r="A623" s="82"/>
      <c r="C623" s="20"/>
      <c r="D623" s="83"/>
      <c r="E623" s="19"/>
    </row>
    <row r="624" spans="1:5" ht="14.25" customHeight="1">
      <c r="A624" s="82"/>
      <c r="C624" s="20"/>
      <c r="D624" s="83"/>
      <c r="E624" s="19"/>
    </row>
    <row r="625" spans="1:5" ht="14.25" customHeight="1">
      <c r="A625" s="82"/>
      <c r="C625" s="20"/>
      <c r="D625" s="83"/>
      <c r="E625" s="19"/>
    </row>
    <row r="626" spans="1:5" ht="14.25" customHeight="1">
      <c r="A626" s="82"/>
      <c r="C626" s="20"/>
      <c r="D626" s="83"/>
      <c r="E626" s="19"/>
    </row>
    <row r="627" spans="1:5" ht="14.25" customHeight="1">
      <c r="A627" s="82"/>
      <c r="C627" s="20"/>
      <c r="D627" s="83"/>
      <c r="E627" s="19"/>
    </row>
    <row r="628" spans="1:5" ht="14.25" customHeight="1">
      <c r="A628" s="82"/>
      <c r="C628" s="20"/>
      <c r="D628" s="83"/>
      <c r="E628" s="19"/>
    </row>
    <row r="629" spans="1:5" ht="14.25" customHeight="1">
      <c r="A629" s="82"/>
      <c r="C629" s="20"/>
      <c r="D629" s="83"/>
      <c r="E629" s="19"/>
    </row>
    <row r="630" spans="1:5" ht="14.25" customHeight="1">
      <c r="A630" s="82"/>
      <c r="C630" s="20"/>
      <c r="D630" s="83"/>
      <c r="E630" s="19"/>
    </row>
    <row r="631" spans="1:5" ht="14.25" customHeight="1">
      <c r="A631" s="82"/>
      <c r="C631" s="20"/>
      <c r="D631" s="83"/>
      <c r="E631" s="19"/>
    </row>
    <row r="632" spans="1:5" ht="14.25" customHeight="1">
      <c r="A632" s="82"/>
      <c r="C632" s="20"/>
      <c r="D632" s="83"/>
      <c r="E632" s="19"/>
    </row>
    <row r="633" spans="1:5" ht="14.25" customHeight="1">
      <c r="A633" s="82"/>
      <c r="C633" s="20"/>
      <c r="D633" s="83"/>
      <c r="E633" s="19"/>
    </row>
    <row r="634" spans="1:5" ht="14.25" customHeight="1">
      <c r="A634" s="82"/>
      <c r="C634" s="20"/>
      <c r="D634" s="83"/>
      <c r="E634" s="19"/>
    </row>
    <row r="635" spans="1:5" ht="14.25" customHeight="1">
      <c r="A635" s="82"/>
      <c r="C635" s="20"/>
      <c r="D635" s="83"/>
      <c r="E635" s="19"/>
    </row>
    <row r="636" spans="1:5" ht="14.25" customHeight="1">
      <c r="A636" s="82"/>
      <c r="C636" s="20"/>
      <c r="D636" s="83"/>
      <c r="E636" s="19"/>
    </row>
    <row r="637" spans="1:5" ht="14.25" customHeight="1">
      <c r="A637" s="82"/>
      <c r="C637" s="20"/>
      <c r="D637" s="83"/>
      <c r="E637" s="19"/>
    </row>
    <row r="638" spans="1:5" ht="14.25" customHeight="1">
      <c r="A638" s="82"/>
      <c r="C638" s="20"/>
      <c r="D638" s="83"/>
      <c r="E638" s="19"/>
    </row>
    <row r="639" spans="1:5" ht="14.25" customHeight="1">
      <c r="A639" s="82"/>
      <c r="C639" s="20"/>
      <c r="D639" s="83"/>
      <c r="E639" s="19"/>
    </row>
    <row r="640" spans="1:5" ht="14.25" customHeight="1">
      <c r="A640" s="82"/>
      <c r="C640" s="20"/>
      <c r="D640" s="83"/>
      <c r="E640" s="19"/>
    </row>
    <row r="641" spans="1:5" ht="14.25" customHeight="1">
      <c r="A641" s="82"/>
      <c r="C641" s="20"/>
      <c r="D641" s="83"/>
      <c r="E641" s="19"/>
    </row>
    <row r="642" spans="1:5" ht="14.25" customHeight="1">
      <c r="A642" s="82"/>
      <c r="C642" s="20"/>
      <c r="D642" s="83"/>
      <c r="E642" s="19"/>
    </row>
    <row r="643" spans="1:5" ht="14.25" customHeight="1">
      <c r="A643" s="82"/>
      <c r="C643" s="20"/>
      <c r="D643" s="83"/>
      <c r="E643" s="19"/>
    </row>
    <row r="644" spans="1:5" ht="14.25" customHeight="1">
      <c r="A644" s="82"/>
      <c r="C644" s="20"/>
      <c r="D644" s="83"/>
      <c r="E644" s="19"/>
    </row>
    <row r="645" spans="1:5" ht="14.25" customHeight="1">
      <c r="A645" s="82"/>
      <c r="C645" s="20"/>
      <c r="D645" s="83"/>
      <c r="E645" s="19"/>
    </row>
    <row r="646" spans="1:5" ht="14.25" customHeight="1">
      <c r="A646" s="82"/>
      <c r="C646" s="20"/>
      <c r="D646" s="83"/>
      <c r="E646" s="19"/>
    </row>
    <row r="647" spans="1:5" ht="14.25" customHeight="1">
      <c r="A647" s="82"/>
      <c r="C647" s="20"/>
      <c r="D647" s="83"/>
      <c r="E647" s="19"/>
    </row>
    <row r="648" spans="1:5" ht="14.25" customHeight="1">
      <c r="A648" s="82"/>
      <c r="C648" s="20"/>
      <c r="D648" s="83"/>
      <c r="E648" s="19"/>
    </row>
    <row r="649" spans="1:5" ht="14.25" customHeight="1">
      <c r="A649" s="82"/>
      <c r="C649" s="20"/>
      <c r="D649" s="83"/>
      <c r="E649" s="19"/>
    </row>
    <row r="650" spans="1:5" ht="14.25" customHeight="1">
      <c r="A650" s="82"/>
      <c r="C650" s="20"/>
      <c r="D650" s="83"/>
      <c r="E650" s="19"/>
    </row>
    <row r="651" spans="1:5" ht="14.25" customHeight="1">
      <c r="A651" s="82"/>
      <c r="C651" s="20"/>
      <c r="D651" s="83"/>
      <c r="E651" s="19"/>
    </row>
    <row r="652" spans="1:5" ht="14.25" customHeight="1">
      <c r="A652" s="82"/>
      <c r="C652" s="20"/>
      <c r="D652" s="83"/>
      <c r="E652" s="19"/>
    </row>
    <row r="653" spans="1:5" ht="14.25" customHeight="1">
      <c r="A653" s="82"/>
      <c r="C653" s="20"/>
      <c r="D653" s="83"/>
      <c r="E653" s="19"/>
    </row>
    <row r="654" spans="1:5" ht="14.25" customHeight="1">
      <c r="A654" s="82"/>
      <c r="C654" s="20"/>
      <c r="D654" s="83"/>
      <c r="E654" s="19"/>
    </row>
    <row r="655" spans="1:5" ht="14.25" customHeight="1">
      <c r="A655" s="82"/>
      <c r="C655" s="20"/>
      <c r="D655" s="83"/>
      <c r="E655" s="19"/>
    </row>
    <row r="656" spans="1:5" ht="14.25" customHeight="1">
      <c r="A656" s="82"/>
      <c r="C656" s="20"/>
      <c r="D656" s="83"/>
      <c r="E656" s="19"/>
    </row>
    <row r="657" spans="1:5" ht="14.25" customHeight="1">
      <c r="A657" s="82"/>
      <c r="C657" s="20"/>
      <c r="D657" s="83"/>
      <c r="E657" s="19"/>
    </row>
    <row r="658" spans="1:5" ht="14.25" customHeight="1">
      <c r="A658" s="82"/>
      <c r="C658" s="20"/>
      <c r="D658" s="83"/>
      <c r="E658" s="19"/>
    </row>
    <row r="659" spans="1:5" ht="14.25" customHeight="1">
      <c r="A659" s="82"/>
      <c r="C659" s="20"/>
      <c r="D659" s="83"/>
      <c r="E659" s="19"/>
    </row>
    <row r="660" spans="1:5" ht="14.25" customHeight="1">
      <c r="A660" s="82"/>
      <c r="C660" s="20"/>
      <c r="D660" s="83"/>
      <c r="E660" s="19"/>
    </row>
    <row r="661" spans="1:5" ht="14.25" customHeight="1">
      <c r="A661" s="82"/>
      <c r="C661" s="20"/>
      <c r="D661" s="83"/>
      <c r="E661" s="19"/>
    </row>
    <row r="662" spans="1:5" ht="14.25" customHeight="1">
      <c r="A662" s="82"/>
      <c r="C662" s="20"/>
      <c r="D662" s="83"/>
      <c r="E662" s="19"/>
    </row>
    <row r="663" spans="1:5" ht="14.25" customHeight="1">
      <c r="A663" s="82"/>
      <c r="C663" s="20"/>
      <c r="D663" s="83"/>
      <c r="E663" s="19"/>
    </row>
    <row r="664" spans="1:5" ht="14.25" customHeight="1">
      <c r="A664" s="82"/>
      <c r="C664" s="20"/>
      <c r="D664" s="83"/>
      <c r="E664" s="19"/>
    </row>
    <row r="665" spans="1:5" ht="14.25" customHeight="1">
      <c r="A665" s="82"/>
      <c r="C665" s="20"/>
      <c r="D665" s="83"/>
      <c r="E665" s="19"/>
    </row>
    <row r="666" spans="1:5" ht="14.25" customHeight="1">
      <c r="A666" s="82"/>
      <c r="C666" s="20"/>
      <c r="D666" s="83"/>
      <c r="E666" s="19"/>
    </row>
    <row r="667" spans="1:5" ht="14.25" customHeight="1">
      <c r="A667" s="82"/>
      <c r="C667" s="20"/>
      <c r="D667" s="83"/>
      <c r="E667" s="19"/>
    </row>
    <row r="668" spans="1:5" ht="14.25" customHeight="1">
      <c r="A668" s="82"/>
      <c r="C668" s="20"/>
      <c r="D668" s="83"/>
      <c r="E668" s="19"/>
    </row>
    <row r="669" spans="1:5" ht="14.25" customHeight="1">
      <c r="A669" s="82"/>
      <c r="C669" s="20"/>
      <c r="D669" s="83"/>
      <c r="E669" s="19"/>
    </row>
    <row r="670" spans="1:5" ht="14.25" customHeight="1">
      <c r="A670" s="82"/>
      <c r="C670" s="20"/>
      <c r="D670" s="83"/>
      <c r="E670" s="19"/>
    </row>
    <row r="671" spans="1:5" ht="14.25" customHeight="1">
      <c r="A671" s="82"/>
      <c r="C671" s="20"/>
      <c r="D671" s="83"/>
      <c r="E671" s="19"/>
    </row>
    <row r="672" spans="1:5" ht="14.25" customHeight="1">
      <c r="A672" s="82"/>
      <c r="C672" s="20"/>
      <c r="D672" s="83"/>
      <c r="E672" s="19"/>
    </row>
    <row r="673" spans="1:5" ht="14.25" customHeight="1">
      <c r="A673" s="82"/>
      <c r="C673" s="20"/>
      <c r="D673" s="83"/>
      <c r="E673" s="19"/>
    </row>
    <row r="674" spans="1:5" ht="14.25" customHeight="1">
      <c r="A674" s="82"/>
      <c r="C674" s="20"/>
      <c r="D674" s="83"/>
      <c r="E674" s="19"/>
    </row>
    <row r="675" spans="1:5" ht="14.25" customHeight="1">
      <c r="A675" s="82"/>
      <c r="C675" s="20"/>
      <c r="D675" s="83"/>
      <c r="E675" s="19"/>
    </row>
    <row r="676" spans="1:5" ht="14.25" customHeight="1">
      <c r="A676" s="82"/>
      <c r="C676" s="20"/>
      <c r="D676" s="83"/>
      <c r="E676" s="19"/>
    </row>
    <row r="677" spans="1:5" ht="14.25" customHeight="1">
      <c r="A677" s="82"/>
      <c r="C677" s="20"/>
      <c r="D677" s="83"/>
      <c r="E677" s="19"/>
    </row>
    <row r="678" spans="1:5" ht="14.25" customHeight="1">
      <c r="A678" s="82"/>
      <c r="C678" s="20"/>
      <c r="D678" s="83"/>
      <c r="E678" s="19"/>
    </row>
    <row r="679" spans="1:5" ht="14.25" customHeight="1">
      <c r="A679" s="82"/>
      <c r="C679" s="20"/>
      <c r="D679" s="83"/>
      <c r="E679" s="19"/>
    </row>
    <row r="680" spans="1:5" ht="14.25" customHeight="1">
      <c r="A680" s="82"/>
      <c r="C680" s="20"/>
      <c r="D680" s="83"/>
      <c r="E680" s="19"/>
    </row>
    <row r="681" spans="1:5" ht="14.25" customHeight="1">
      <c r="A681" s="82"/>
      <c r="C681" s="20"/>
      <c r="D681" s="83"/>
      <c r="E681" s="19"/>
    </row>
    <row r="682" spans="1:5" ht="14.25" customHeight="1">
      <c r="A682" s="82"/>
      <c r="C682" s="20"/>
      <c r="D682" s="83"/>
      <c r="E682" s="19"/>
    </row>
    <row r="683" spans="1:5" ht="14.25" customHeight="1">
      <c r="A683" s="82"/>
      <c r="C683" s="20"/>
      <c r="D683" s="83"/>
      <c r="E683" s="19"/>
    </row>
    <row r="684" spans="1:5" ht="14.25" customHeight="1">
      <c r="A684" s="82"/>
      <c r="C684" s="20"/>
      <c r="D684" s="83"/>
      <c r="E684" s="19"/>
    </row>
    <row r="685" spans="1:5" ht="14.25" customHeight="1">
      <c r="A685" s="82"/>
      <c r="C685" s="20"/>
      <c r="D685" s="83"/>
      <c r="E685" s="19"/>
    </row>
    <row r="686" spans="1:5" ht="14.25" customHeight="1">
      <c r="A686" s="82"/>
      <c r="C686" s="20"/>
      <c r="D686" s="83"/>
      <c r="E686" s="19"/>
    </row>
    <row r="687" spans="1:5" ht="14.25" customHeight="1">
      <c r="A687" s="82"/>
      <c r="C687" s="20"/>
      <c r="D687" s="83"/>
      <c r="E687" s="19"/>
    </row>
    <row r="688" spans="1:5" ht="14.25" customHeight="1">
      <c r="A688" s="82"/>
      <c r="C688" s="20"/>
      <c r="D688" s="83"/>
      <c r="E688" s="19"/>
    </row>
    <row r="689" spans="1:5" ht="14.25" customHeight="1">
      <c r="A689" s="82"/>
      <c r="C689" s="20"/>
      <c r="D689" s="83"/>
      <c r="E689" s="19"/>
    </row>
    <row r="690" spans="1:5" ht="14.25" customHeight="1">
      <c r="A690" s="82"/>
      <c r="C690" s="20"/>
      <c r="D690" s="83"/>
      <c r="E690" s="19"/>
    </row>
    <row r="691" spans="1:5" ht="14.25" customHeight="1">
      <c r="A691" s="82"/>
      <c r="C691" s="20"/>
      <c r="D691" s="83"/>
      <c r="E691" s="19"/>
    </row>
    <row r="692" spans="1:5" ht="14.25" customHeight="1">
      <c r="A692" s="82"/>
      <c r="C692" s="20"/>
      <c r="D692" s="83"/>
      <c r="E692" s="19"/>
    </row>
    <row r="693" spans="1:5" ht="14.25" customHeight="1">
      <c r="A693" s="82"/>
      <c r="C693" s="20"/>
      <c r="D693" s="83"/>
      <c r="E693" s="19"/>
    </row>
    <row r="694" spans="1:5" ht="14.25" customHeight="1">
      <c r="A694" s="82"/>
      <c r="C694" s="20"/>
      <c r="D694" s="83"/>
      <c r="E694" s="19"/>
    </row>
    <row r="695" spans="1:5" ht="14.25" customHeight="1">
      <c r="A695" s="82"/>
      <c r="C695" s="20"/>
      <c r="D695" s="83"/>
      <c r="E695" s="19"/>
    </row>
    <row r="696" spans="1:5" ht="14.25" customHeight="1">
      <c r="A696" s="82"/>
      <c r="C696" s="20"/>
      <c r="D696" s="83"/>
      <c r="E696" s="19"/>
    </row>
    <row r="697" spans="1:5" ht="14.25" customHeight="1">
      <c r="A697" s="82"/>
      <c r="C697" s="20"/>
      <c r="D697" s="83"/>
      <c r="E697" s="19"/>
    </row>
    <row r="698" spans="1:5" ht="14.25" customHeight="1">
      <c r="A698" s="82"/>
      <c r="C698" s="20"/>
      <c r="D698" s="83"/>
      <c r="E698" s="19"/>
    </row>
    <row r="699" spans="1:5" ht="14.25" customHeight="1">
      <c r="A699" s="82"/>
      <c r="C699" s="20"/>
      <c r="D699" s="83"/>
      <c r="E699" s="19"/>
    </row>
    <row r="700" spans="1:5" ht="14.25" customHeight="1">
      <c r="A700" s="82"/>
      <c r="C700" s="20"/>
      <c r="D700" s="83"/>
      <c r="E700" s="19"/>
    </row>
    <row r="701" spans="1:5" ht="14.25" customHeight="1">
      <c r="A701" s="82"/>
      <c r="C701" s="20"/>
      <c r="D701" s="83"/>
      <c r="E701" s="19"/>
    </row>
    <row r="702" spans="1:5" ht="14.25" customHeight="1">
      <c r="A702" s="82"/>
      <c r="C702" s="20"/>
      <c r="D702" s="83"/>
      <c r="E702" s="19"/>
    </row>
    <row r="703" spans="1:5" ht="14.25" customHeight="1">
      <c r="A703" s="82"/>
      <c r="C703" s="20"/>
      <c r="D703" s="83"/>
      <c r="E703" s="19"/>
    </row>
    <row r="704" spans="1:5" ht="14.25" customHeight="1">
      <c r="A704" s="82"/>
      <c r="C704" s="20"/>
      <c r="D704" s="83"/>
      <c r="E704" s="19"/>
    </row>
    <row r="705" spans="1:5" ht="14.25" customHeight="1">
      <c r="A705" s="82"/>
      <c r="C705" s="20"/>
      <c r="D705" s="83"/>
      <c r="E705" s="19"/>
    </row>
    <row r="706" spans="1:5" ht="14.25" customHeight="1">
      <c r="A706" s="82"/>
      <c r="C706" s="20"/>
      <c r="D706" s="83"/>
      <c r="E706" s="19"/>
    </row>
    <row r="707" spans="1:5" ht="14.25" customHeight="1">
      <c r="A707" s="82"/>
      <c r="C707" s="20"/>
      <c r="D707" s="83"/>
      <c r="E707" s="19"/>
    </row>
    <row r="708" spans="1:5" ht="14.25" customHeight="1">
      <c r="A708" s="82"/>
      <c r="C708" s="20"/>
      <c r="D708" s="83"/>
      <c r="E708" s="19"/>
    </row>
    <row r="709" spans="1:5" ht="14.25" customHeight="1">
      <c r="A709" s="82"/>
      <c r="C709" s="20"/>
      <c r="D709" s="83"/>
      <c r="E709" s="19"/>
    </row>
    <row r="710" spans="1:5" ht="14.25" customHeight="1">
      <c r="A710" s="82"/>
      <c r="C710" s="20"/>
      <c r="D710" s="83"/>
      <c r="E710" s="19"/>
    </row>
    <row r="711" spans="1:5" ht="14.25" customHeight="1">
      <c r="A711" s="82"/>
      <c r="C711" s="20"/>
      <c r="D711" s="83"/>
      <c r="E711" s="19"/>
    </row>
    <row r="712" spans="1:5" ht="14.25" customHeight="1">
      <c r="A712" s="82"/>
      <c r="C712" s="20"/>
      <c r="D712" s="83"/>
      <c r="E712" s="19"/>
    </row>
    <row r="713" spans="1:5" ht="14.25" customHeight="1">
      <c r="A713" s="82"/>
      <c r="C713" s="20"/>
      <c r="D713" s="83"/>
      <c r="E713" s="19"/>
    </row>
    <row r="714" spans="1:5" ht="14.25" customHeight="1">
      <c r="A714" s="82"/>
      <c r="C714" s="20"/>
      <c r="D714" s="83"/>
      <c r="E714" s="19"/>
    </row>
    <row r="715" spans="1:5" ht="14.25" customHeight="1">
      <c r="A715" s="82"/>
      <c r="C715" s="20"/>
      <c r="D715" s="83"/>
      <c r="E715" s="19"/>
    </row>
    <row r="716" spans="1:5" ht="14.25" customHeight="1">
      <c r="A716" s="82"/>
      <c r="C716" s="20"/>
      <c r="D716" s="83"/>
      <c r="E716" s="19"/>
    </row>
    <row r="717" spans="1:5" ht="14.25" customHeight="1">
      <c r="A717" s="82"/>
      <c r="C717" s="20"/>
      <c r="D717" s="83"/>
      <c r="E717" s="19"/>
    </row>
    <row r="718" spans="1:5" ht="14.25" customHeight="1">
      <c r="A718" s="82"/>
      <c r="C718" s="20"/>
      <c r="D718" s="83"/>
      <c r="E718" s="19"/>
    </row>
    <row r="719" spans="1:5" ht="14.25" customHeight="1">
      <c r="A719" s="82"/>
      <c r="C719" s="20"/>
      <c r="D719" s="83"/>
      <c r="E719" s="19"/>
    </row>
    <row r="720" spans="1:5" ht="14.25" customHeight="1">
      <c r="A720" s="82"/>
      <c r="C720" s="20"/>
      <c r="D720" s="83"/>
      <c r="E720" s="19"/>
    </row>
    <row r="721" spans="1:5" ht="14.25" customHeight="1">
      <c r="A721" s="82"/>
      <c r="C721" s="20"/>
      <c r="D721" s="83"/>
      <c r="E721" s="19"/>
    </row>
    <row r="722" spans="1:5" ht="14.25" customHeight="1">
      <c r="A722" s="82"/>
      <c r="C722" s="20"/>
      <c r="D722" s="83"/>
      <c r="E722" s="19"/>
    </row>
    <row r="723" spans="1:5" ht="14.25" customHeight="1">
      <c r="A723" s="82"/>
      <c r="C723" s="20"/>
      <c r="D723" s="83"/>
      <c r="E723" s="19"/>
    </row>
    <row r="724" spans="1:5" ht="14.25" customHeight="1">
      <c r="A724" s="82"/>
      <c r="C724" s="20"/>
      <c r="D724" s="83"/>
      <c r="E724" s="19"/>
    </row>
    <row r="725" spans="1:5" ht="14.25" customHeight="1">
      <c r="A725" s="82"/>
      <c r="C725" s="20"/>
      <c r="D725" s="83"/>
      <c r="E725" s="19"/>
    </row>
    <row r="726" spans="1:5" ht="14.25" customHeight="1">
      <c r="A726" s="82"/>
      <c r="C726" s="20"/>
      <c r="D726" s="83"/>
      <c r="E726" s="19"/>
    </row>
    <row r="727" spans="1:5" ht="14.25" customHeight="1">
      <c r="A727" s="82"/>
      <c r="C727" s="20"/>
      <c r="D727" s="83"/>
      <c r="E727" s="19"/>
    </row>
    <row r="728" spans="1:5" ht="14.25" customHeight="1">
      <c r="A728" s="82"/>
      <c r="C728" s="20"/>
      <c r="D728" s="83"/>
      <c r="E728" s="19"/>
    </row>
    <row r="729" spans="1:5" ht="14.25" customHeight="1">
      <c r="A729" s="82"/>
      <c r="C729" s="20"/>
      <c r="D729" s="83"/>
      <c r="E729" s="19"/>
    </row>
    <row r="730" spans="1:5" ht="14.25" customHeight="1">
      <c r="A730" s="82"/>
      <c r="C730" s="20"/>
      <c r="D730" s="83"/>
      <c r="E730" s="19"/>
    </row>
    <row r="731" spans="1:5" ht="14.25" customHeight="1">
      <c r="A731" s="82"/>
      <c r="C731" s="20"/>
      <c r="D731" s="83"/>
      <c r="E731" s="19"/>
    </row>
    <row r="732" spans="1:5" ht="14.25" customHeight="1">
      <c r="A732" s="82"/>
      <c r="C732" s="20"/>
      <c r="D732" s="83"/>
      <c r="E732" s="19"/>
    </row>
    <row r="733" spans="1:5" ht="14.25" customHeight="1">
      <c r="A733" s="82"/>
      <c r="C733" s="20"/>
      <c r="D733" s="83"/>
      <c r="E733" s="19"/>
    </row>
    <row r="734" spans="1:5" ht="14.25" customHeight="1">
      <c r="A734" s="82"/>
      <c r="C734" s="20"/>
      <c r="D734" s="83"/>
      <c r="E734" s="19"/>
    </row>
    <row r="735" spans="1:5" ht="14.25" customHeight="1">
      <c r="A735" s="82"/>
      <c r="C735" s="20"/>
      <c r="D735" s="83"/>
      <c r="E735" s="19"/>
    </row>
    <row r="736" spans="1:5" ht="14.25" customHeight="1">
      <c r="A736" s="82"/>
      <c r="C736" s="20"/>
      <c r="D736" s="83"/>
      <c r="E736" s="19"/>
    </row>
    <row r="737" spans="1:5" ht="14.25" customHeight="1">
      <c r="A737" s="82"/>
      <c r="C737" s="20"/>
      <c r="D737" s="83"/>
      <c r="E737" s="19"/>
    </row>
    <row r="738" spans="1:5" ht="14.25" customHeight="1">
      <c r="A738" s="82"/>
      <c r="C738" s="20"/>
      <c r="D738" s="83"/>
      <c r="E738" s="19"/>
    </row>
    <row r="739" spans="1:5" ht="14.25" customHeight="1">
      <c r="A739" s="82"/>
      <c r="C739" s="20"/>
      <c r="D739" s="83"/>
      <c r="E739" s="19"/>
    </row>
    <row r="740" spans="1:5" ht="14.25" customHeight="1">
      <c r="A740" s="82"/>
      <c r="C740" s="20"/>
      <c r="D740" s="83"/>
      <c r="E740" s="19"/>
    </row>
    <row r="741" spans="1:5" ht="14.25" customHeight="1">
      <c r="A741" s="82"/>
      <c r="C741" s="20"/>
      <c r="D741" s="83"/>
      <c r="E741" s="19"/>
    </row>
    <row r="742" spans="1:5" ht="14.25" customHeight="1">
      <c r="A742" s="82"/>
      <c r="C742" s="20"/>
      <c r="D742" s="83"/>
      <c r="E742" s="19"/>
    </row>
    <row r="743" spans="1:5" ht="14.25" customHeight="1">
      <c r="A743" s="82"/>
      <c r="C743" s="20"/>
      <c r="D743" s="83"/>
      <c r="E743" s="19"/>
    </row>
    <row r="744" spans="1:5" ht="14.25" customHeight="1">
      <c r="A744" s="82"/>
      <c r="C744" s="20"/>
      <c r="D744" s="83"/>
      <c r="E744" s="19"/>
    </row>
    <row r="745" spans="1:5" ht="14.25" customHeight="1">
      <c r="A745" s="82"/>
      <c r="C745" s="20"/>
      <c r="D745" s="83"/>
      <c r="E745" s="19"/>
    </row>
    <row r="746" spans="1:5" ht="14.25" customHeight="1">
      <c r="A746" s="82"/>
      <c r="C746" s="20"/>
      <c r="D746" s="83"/>
      <c r="E746" s="19"/>
    </row>
    <row r="747" spans="1:5" ht="14.25" customHeight="1">
      <c r="A747" s="82"/>
      <c r="C747" s="20"/>
      <c r="D747" s="83"/>
      <c r="E747" s="19"/>
    </row>
    <row r="748" spans="1:5" ht="14.25" customHeight="1">
      <c r="A748" s="82"/>
      <c r="C748" s="20"/>
      <c r="D748" s="83"/>
      <c r="E748" s="19"/>
    </row>
    <row r="749" spans="1:5" ht="14.25" customHeight="1">
      <c r="A749" s="82"/>
      <c r="C749" s="20"/>
      <c r="D749" s="83"/>
      <c r="E749" s="19"/>
    </row>
    <row r="750" spans="1:5" ht="14.25" customHeight="1">
      <c r="A750" s="82"/>
      <c r="C750" s="20"/>
      <c r="D750" s="83"/>
      <c r="E750" s="19"/>
    </row>
    <row r="751" spans="1:5" ht="14.25" customHeight="1">
      <c r="A751" s="82"/>
      <c r="C751" s="20"/>
      <c r="D751" s="83"/>
      <c r="E751" s="19"/>
    </row>
    <row r="752" spans="1:5" ht="14.25" customHeight="1">
      <c r="A752" s="82"/>
      <c r="C752" s="20"/>
      <c r="D752" s="83"/>
      <c r="E752" s="19"/>
    </row>
    <row r="753" spans="1:5" ht="14.25" customHeight="1">
      <c r="A753" s="82"/>
      <c r="C753" s="20"/>
      <c r="D753" s="83"/>
      <c r="E753" s="19"/>
    </row>
    <row r="754" spans="1:5" ht="14.25" customHeight="1">
      <c r="A754" s="82"/>
      <c r="C754" s="20"/>
      <c r="D754" s="83"/>
      <c r="E754" s="19"/>
    </row>
    <row r="755" spans="1:5" ht="14.25" customHeight="1">
      <c r="A755" s="82"/>
      <c r="C755" s="20"/>
      <c r="D755" s="83"/>
      <c r="E755" s="19"/>
    </row>
    <row r="756" spans="1:5" ht="14.25" customHeight="1">
      <c r="A756" s="82"/>
      <c r="C756" s="20"/>
      <c r="D756" s="83"/>
      <c r="E756" s="19"/>
    </row>
    <row r="757" spans="1:5" ht="14.25" customHeight="1">
      <c r="A757" s="82"/>
      <c r="C757" s="20"/>
      <c r="D757" s="83"/>
      <c r="E757" s="19"/>
    </row>
    <row r="758" spans="1:5" ht="14.25" customHeight="1">
      <c r="A758" s="82"/>
      <c r="C758" s="20"/>
      <c r="D758" s="83"/>
      <c r="E758" s="19"/>
    </row>
    <row r="759" spans="1:5" ht="14.25" customHeight="1">
      <c r="A759" s="82"/>
      <c r="C759" s="20"/>
      <c r="D759" s="83"/>
      <c r="E759" s="19"/>
    </row>
    <row r="760" spans="1:5" ht="14.25" customHeight="1">
      <c r="A760" s="82"/>
      <c r="C760" s="20"/>
      <c r="D760" s="83"/>
      <c r="E760" s="19"/>
    </row>
    <row r="761" spans="1:5" ht="14.25" customHeight="1">
      <c r="A761" s="82"/>
      <c r="C761" s="20"/>
      <c r="D761" s="83"/>
      <c r="E761" s="19"/>
    </row>
    <row r="762" spans="1:5" ht="14.25" customHeight="1">
      <c r="A762" s="82"/>
      <c r="C762" s="20"/>
      <c r="D762" s="83"/>
      <c r="E762" s="19"/>
    </row>
    <row r="763" spans="1:5" ht="14.25" customHeight="1">
      <c r="A763" s="82"/>
      <c r="C763" s="20"/>
      <c r="D763" s="83"/>
      <c r="E763" s="19"/>
    </row>
    <row r="764" spans="1:5" ht="14.25" customHeight="1">
      <c r="A764" s="82"/>
      <c r="C764" s="20"/>
      <c r="D764" s="83"/>
      <c r="E764" s="19"/>
    </row>
    <row r="765" spans="1:5" ht="14.25" customHeight="1">
      <c r="A765" s="82"/>
      <c r="C765" s="20"/>
      <c r="D765" s="83"/>
      <c r="E765" s="19"/>
    </row>
    <row r="766" spans="1:5" ht="14.25" customHeight="1">
      <c r="A766" s="82"/>
      <c r="C766" s="20"/>
      <c r="D766" s="83"/>
      <c r="E766" s="19"/>
    </row>
    <row r="767" spans="1:5" ht="14.25" customHeight="1">
      <c r="A767" s="82"/>
      <c r="C767" s="20"/>
      <c r="D767" s="83"/>
      <c r="E767" s="19"/>
    </row>
    <row r="768" spans="1:5" ht="14.25" customHeight="1">
      <c r="A768" s="82"/>
      <c r="C768" s="20"/>
      <c r="D768" s="83"/>
      <c r="E768" s="19"/>
    </row>
    <row r="769" spans="1:5" ht="14.25" customHeight="1">
      <c r="A769" s="82"/>
      <c r="C769" s="20"/>
      <c r="D769" s="83"/>
      <c r="E769" s="19"/>
    </row>
    <row r="770" spans="1:5" ht="14.25" customHeight="1">
      <c r="A770" s="82"/>
      <c r="C770" s="20"/>
      <c r="D770" s="83"/>
      <c r="E770" s="19"/>
    </row>
    <row r="771" spans="1:5" ht="14.25" customHeight="1">
      <c r="A771" s="82"/>
      <c r="C771" s="20"/>
      <c r="D771" s="83"/>
      <c r="E771" s="19"/>
    </row>
    <row r="772" spans="1:5" ht="14.25" customHeight="1">
      <c r="A772" s="82"/>
      <c r="C772" s="20"/>
      <c r="D772" s="83"/>
      <c r="E772" s="19"/>
    </row>
    <row r="773" spans="1:5" ht="14.25" customHeight="1">
      <c r="A773" s="82"/>
      <c r="C773" s="20"/>
      <c r="D773" s="83"/>
      <c r="E773" s="19"/>
    </row>
    <row r="774" spans="1:5" ht="14.25" customHeight="1">
      <c r="A774" s="82"/>
      <c r="C774" s="20"/>
      <c r="D774" s="83"/>
      <c r="E774" s="19"/>
    </row>
    <row r="775" spans="1:5" ht="14.25" customHeight="1">
      <c r="A775" s="82"/>
      <c r="C775" s="20"/>
      <c r="D775" s="83"/>
      <c r="E775" s="19"/>
    </row>
    <row r="776" spans="1:5" ht="14.25" customHeight="1">
      <c r="A776" s="82"/>
      <c r="C776" s="20"/>
      <c r="D776" s="83"/>
      <c r="E776" s="19"/>
    </row>
    <row r="777" spans="1:5" ht="14.25" customHeight="1">
      <c r="A777" s="82"/>
      <c r="C777" s="20"/>
      <c r="D777" s="83"/>
      <c r="E777" s="19"/>
    </row>
    <row r="778" spans="1:5" ht="14.25" customHeight="1">
      <c r="A778" s="82"/>
      <c r="C778" s="20"/>
      <c r="D778" s="83"/>
      <c r="E778" s="19"/>
    </row>
    <row r="779" spans="1:5" ht="14.25" customHeight="1">
      <c r="A779" s="82"/>
      <c r="C779" s="20"/>
      <c r="D779" s="83"/>
      <c r="E779" s="19"/>
    </row>
    <row r="780" spans="1:5" ht="14.25" customHeight="1">
      <c r="A780" s="82"/>
      <c r="C780" s="20"/>
      <c r="D780" s="83"/>
      <c r="E780" s="19"/>
    </row>
    <row r="781" spans="1:5" ht="14.25" customHeight="1">
      <c r="A781" s="82"/>
      <c r="C781" s="20"/>
      <c r="D781" s="83"/>
      <c r="E781" s="19"/>
    </row>
    <row r="782" spans="1:5" ht="14.25" customHeight="1">
      <c r="A782" s="82"/>
      <c r="C782" s="20"/>
      <c r="D782" s="83"/>
      <c r="E782" s="19"/>
    </row>
    <row r="783" spans="1:5" ht="14.25" customHeight="1">
      <c r="A783" s="82"/>
      <c r="C783" s="20"/>
      <c r="D783" s="83"/>
      <c r="E783" s="19"/>
    </row>
    <row r="784" spans="1:5" ht="14.25" customHeight="1">
      <c r="A784" s="82"/>
      <c r="C784" s="20"/>
      <c r="D784" s="83"/>
      <c r="E784" s="19"/>
    </row>
    <row r="785" spans="1:5" ht="14.25" customHeight="1">
      <c r="A785" s="82"/>
      <c r="C785" s="20"/>
      <c r="D785" s="83"/>
      <c r="E785" s="19"/>
    </row>
    <row r="786" spans="1:5" ht="14.25" customHeight="1">
      <c r="A786" s="82"/>
      <c r="C786" s="20"/>
      <c r="D786" s="83"/>
      <c r="E786" s="19"/>
    </row>
    <row r="787" spans="1:5" ht="14.25" customHeight="1">
      <c r="A787" s="82"/>
      <c r="C787" s="20"/>
      <c r="D787" s="83"/>
      <c r="E787" s="19"/>
    </row>
    <row r="788" spans="1:5" ht="14.25" customHeight="1">
      <c r="A788" s="82"/>
      <c r="C788" s="20"/>
      <c r="D788" s="83"/>
      <c r="E788" s="19"/>
    </row>
    <row r="789" spans="1:5" ht="14.25" customHeight="1">
      <c r="A789" s="82"/>
      <c r="C789" s="20"/>
      <c r="D789" s="83"/>
      <c r="E789" s="19"/>
    </row>
    <row r="790" spans="1:5" ht="14.25" customHeight="1">
      <c r="A790" s="82"/>
      <c r="C790" s="20"/>
      <c r="D790" s="83"/>
      <c r="E790" s="19"/>
    </row>
    <row r="791" spans="1:5" ht="14.25" customHeight="1">
      <c r="A791" s="82"/>
      <c r="C791" s="20"/>
      <c r="D791" s="83"/>
      <c r="E791" s="19"/>
    </row>
    <row r="792" spans="1:5" ht="14.25" customHeight="1">
      <c r="A792" s="82"/>
      <c r="C792" s="20"/>
      <c r="D792" s="83"/>
      <c r="E792" s="19"/>
    </row>
    <row r="793" spans="1:5" ht="14.25" customHeight="1">
      <c r="A793" s="82"/>
      <c r="C793" s="20"/>
      <c r="D793" s="83"/>
      <c r="E793" s="19"/>
    </row>
    <row r="794" spans="1:5" ht="14.25" customHeight="1">
      <c r="A794" s="82"/>
      <c r="C794" s="20"/>
      <c r="D794" s="83"/>
      <c r="E794" s="19"/>
    </row>
    <row r="795" spans="1:5" ht="14.25" customHeight="1">
      <c r="A795" s="82"/>
      <c r="C795" s="20"/>
      <c r="D795" s="83"/>
      <c r="E795" s="19"/>
    </row>
    <row r="796" spans="1:5" ht="14.25" customHeight="1">
      <c r="A796" s="82"/>
      <c r="C796" s="20"/>
      <c r="D796" s="83"/>
      <c r="E796" s="19"/>
    </row>
    <row r="797" spans="1:5" ht="14.25" customHeight="1">
      <c r="A797" s="82"/>
      <c r="C797" s="20"/>
      <c r="D797" s="83"/>
      <c r="E797" s="19"/>
    </row>
    <row r="798" spans="1:5" ht="14.25" customHeight="1">
      <c r="A798" s="82"/>
      <c r="C798" s="20"/>
      <c r="D798" s="83"/>
      <c r="E798" s="19"/>
    </row>
    <row r="799" spans="1:5" ht="14.25" customHeight="1">
      <c r="A799" s="82"/>
      <c r="C799" s="20"/>
      <c r="D799" s="83"/>
      <c r="E799" s="19"/>
    </row>
    <row r="800" spans="1:5" ht="14.25" customHeight="1">
      <c r="A800" s="82"/>
      <c r="C800" s="20"/>
      <c r="D800" s="83"/>
      <c r="E800" s="19"/>
    </row>
    <row r="801" spans="1:5" ht="14.25" customHeight="1">
      <c r="A801" s="82"/>
      <c r="C801" s="20"/>
      <c r="D801" s="83"/>
      <c r="E801" s="19"/>
    </row>
    <row r="802" spans="1:5" ht="14.25" customHeight="1">
      <c r="A802" s="82"/>
      <c r="C802" s="20"/>
      <c r="D802" s="83"/>
      <c r="E802" s="19"/>
    </row>
    <row r="803" spans="1:5" ht="14.25" customHeight="1">
      <c r="A803" s="82"/>
      <c r="C803" s="20"/>
      <c r="D803" s="83"/>
      <c r="E803" s="19"/>
    </row>
    <row r="804" spans="1:5" ht="14.25" customHeight="1">
      <c r="A804" s="82"/>
      <c r="C804" s="20"/>
      <c r="D804" s="83"/>
      <c r="E804" s="19"/>
    </row>
    <row r="805" spans="1:5" ht="14.25" customHeight="1">
      <c r="A805" s="82"/>
      <c r="C805" s="20"/>
      <c r="D805" s="83"/>
      <c r="E805" s="19"/>
    </row>
    <row r="806" spans="1:5" ht="14.25" customHeight="1">
      <c r="A806" s="82"/>
      <c r="C806" s="20"/>
      <c r="D806" s="83"/>
      <c r="E806" s="19"/>
    </row>
    <row r="807" spans="1:5" ht="14.25" customHeight="1">
      <c r="A807" s="82"/>
      <c r="C807" s="20"/>
      <c r="D807" s="83"/>
      <c r="E807" s="19"/>
    </row>
    <row r="808" spans="1:5" ht="14.25" customHeight="1">
      <c r="A808" s="82"/>
      <c r="C808" s="20"/>
      <c r="D808" s="83"/>
      <c r="E808" s="19"/>
    </row>
    <row r="809" spans="1:5" ht="14.25" customHeight="1">
      <c r="A809" s="82"/>
      <c r="C809" s="20"/>
      <c r="D809" s="83"/>
      <c r="E809" s="19"/>
    </row>
    <row r="810" spans="1:5" ht="14.25" customHeight="1">
      <c r="A810" s="82"/>
      <c r="C810" s="20"/>
      <c r="D810" s="83"/>
      <c r="E810" s="19"/>
    </row>
    <row r="811" spans="1:5" ht="14.25" customHeight="1">
      <c r="A811" s="82"/>
      <c r="C811" s="20"/>
      <c r="D811" s="83"/>
      <c r="E811" s="19"/>
    </row>
    <row r="812" spans="1:5" ht="14.25" customHeight="1">
      <c r="A812" s="82"/>
      <c r="C812" s="20"/>
      <c r="D812" s="83"/>
      <c r="E812" s="19"/>
    </row>
    <row r="813" spans="1:5" ht="14.25" customHeight="1">
      <c r="A813" s="82"/>
      <c r="C813" s="20"/>
      <c r="D813" s="83"/>
      <c r="E813" s="19"/>
    </row>
    <row r="814" spans="1:5" ht="14.25" customHeight="1">
      <c r="A814" s="82"/>
      <c r="C814" s="20"/>
      <c r="D814" s="83"/>
      <c r="E814" s="19"/>
    </row>
    <row r="815" spans="1:5" ht="14.25" customHeight="1">
      <c r="A815" s="82"/>
      <c r="C815" s="20"/>
      <c r="D815" s="83"/>
      <c r="E815" s="19"/>
    </row>
    <row r="816" spans="1:5" ht="14.25" customHeight="1">
      <c r="A816" s="82"/>
      <c r="C816" s="20"/>
      <c r="D816" s="83"/>
      <c r="E816" s="19"/>
    </row>
    <row r="817" spans="1:5" ht="14.25" customHeight="1">
      <c r="A817" s="82"/>
      <c r="C817" s="20"/>
      <c r="D817" s="83"/>
      <c r="E817" s="19"/>
    </row>
    <row r="818" spans="1:5" ht="14.25" customHeight="1">
      <c r="A818" s="82"/>
      <c r="C818" s="20"/>
      <c r="D818" s="83"/>
      <c r="E818" s="19"/>
    </row>
    <row r="819" spans="1:5" ht="14.25" customHeight="1">
      <c r="A819" s="82"/>
      <c r="C819" s="20"/>
      <c r="D819" s="83"/>
      <c r="E819" s="19"/>
    </row>
    <row r="820" spans="1:5" ht="14.25" customHeight="1">
      <c r="A820" s="82"/>
      <c r="C820" s="20"/>
      <c r="D820" s="83"/>
      <c r="E820" s="19"/>
    </row>
    <row r="821" spans="1:5" ht="14.25" customHeight="1">
      <c r="A821" s="82"/>
      <c r="C821" s="20"/>
      <c r="D821" s="83"/>
      <c r="E821" s="19"/>
    </row>
    <row r="822" spans="1:5" ht="14.25" customHeight="1">
      <c r="A822" s="82"/>
      <c r="C822" s="20"/>
      <c r="D822" s="83"/>
      <c r="E822" s="19"/>
    </row>
    <row r="823" spans="1:5" ht="14.25" customHeight="1">
      <c r="A823" s="82"/>
      <c r="C823" s="20"/>
      <c r="D823" s="83"/>
      <c r="E823" s="19"/>
    </row>
    <row r="824" spans="1:5" ht="14.25" customHeight="1">
      <c r="A824" s="82"/>
      <c r="C824" s="20"/>
      <c r="D824" s="83"/>
      <c r="E824" s="19"/>
    </row>
    <row r="825" spans="1:5" ht="14.25" customHeight="1">
      <c r="A825" s="82"/>
      <c r="C825" s="20"/>
      <c r="D825" s="83"/>
      <c r="E825" s="19"/>
    </row>
    <row r="826" spans="1:5" ht="14.25" customHeight="1">
      <c r="A826" s="82"/>
      <c r="C826" s="20"/>
      <c r="D826" s="83"/>
      <c r="E826" s="19"/>
    </row>
    <row r="827" spans="1:5" ht="14.25" customHeight="1">
      <c r="A827" s="82"/>
      <c r="C827" s="20"/>
      <c r="D827" s="83"/>
      <c r="E827" s="19"/>
    </row>
    <row r="828" spans="1:5" ht="14.25" customHeight="1">
      <c r="A828" s="82"/>
      <c r="C828" s="20"/>
      <c r="D828" s="83"/>
      <c r="E828" s="19"/>
    </row>
    <row r="829" spans="1:5" ht="14.25" customHeight="1">
      <c r="A829" s="82"/>
      <c r="C829" s="20"/>
      <c r="D829" s="83"/>
      <c r="E829" s="19"/>
    </row>
    <row r="830" spans="1:5" ht="14.25" customHeight="1">
      <c r="A830" s="82"/>
      <c r="C830" s="20"/>
      <c r="D830" s="83"/>
      <c r="E830" s="19"/>
    </row>
    <row r="831" spans="1:5" ht="14.25" customHeight="1">
      <c r="A831" s="82"/>
      <c r="C831" s="20"/>
      <c r="D831" s="83"/>
      <c r="E831" s="19"/>
    </row>
    <row r="832" spans="1:5" ht="14.25" customHeight="1">
      <c r="A832" s="82"/>
      <c r="C832" s="20"/>
      <c r="D832" s="83"/>
      <c r="E832" s="19"/>
    </row>
    <row r="833" spans="1:5" ht="14.25" customHeight="1">
      <c r="A833" s="82"/>
      <c r="C833" s="20"/>
      <c r="D833" s="83"/>
      <c r="E833" s="19"/>
    </row>
    <row r="834" spans="1:5" ht="14.25" customHeight="1">
      <c r="A834" s="82"/>
      <c r="C834" s="20"/>
      <c r="D834" s="83"/>
      <c r="E834" s="19"/>
    </row>
    <row r="835" spans="1:5" ht="14.25" customHeight="1">
      <c r="A835" s="82"/>
      <c r="C835" s="20"/>
      <c r="D835" s="83"/>
      <c r="E835" s="19"/>
    </row>
    <row r="836" spans="1:5" ht="14.25" customHeight="1">
      <c r="A836" s="82"/>
      <c r="C836" s="20"/>
      <c r="D836" s="83"/>
      <c r="E836" s="19"/>
    </row>
    <row r="837" spans="1:5" ht="14.25" customHeight="1">
      <c r="A837" s="82"/>
      <c r="C837" s="20"/>
      <c r="D837" s="83"/>
      <c r="E837" s="19"/>
    </row>
    <row r="838" spans="1:5" ht="14.25" customHeight="1">
      <c r="A838" s="82"/>
      <c r="C838" s="20"/>
      <c r="D838" s="83"/>
      <c r="E838" s="19"/>
    </row>
    <row r="839" spans="1:5" ht="14.25" customHeight="1">
      <c r="A839" s="82"/>
      <c r="C839" s="20"/>
      <c r="D839" s="83"/>
      <c r="E839" s="19"/>
    </row>
    <row r="840" spans="1:5" ht="14.25" customHeight="1">
      <c r="A840" s="82"/>
      <c r="C840" s="20"/>
      <c r="D840" s="83"/>
      <c r="E840" s="19"/>
    </row>
    <row r="841" spans="1:5" ht="14.25" customHeight="1">
      <c r="A841" s="82"/>
      <c r="C841" s="20"/>
      <c r="D841" s="83"/>
      <c r="E841" s="19"/>
    </row>
    <row r="842" spans="1:5" ht="14.25" customHeight="1">
      <c r="A842" s="82"/>
      <c r="C842" s="20"/>
      <c r="D842" s="83"/>
      <c r="E842" s="19"/>
    </row>
    <row r="843" spans="1:5" ht="14.25" customHeight="1">
      <c r="A843" s="82"/>
      <c r="C843" s="20"/>
      <c r="D843" s="83"/>
      <c r="E843" s="19"/>
    </row>
    <row r="844" spans="1:5" ht="14.25" customHeight="1">
      <c r="A844" s="82"/>
      <c r="C844" s="20"/>
      <c r="D844" s="83"/>
      <c r="E844" s="19"/>
    </row>
    <row r="845" spans="1:5" ht="14.25" customHeight="1">
      <c r="A845" s="82"/>
      <c r="C845" s="20"/>
      <c r="D845" s="83"/>
      <c r="E845" s="19"/>
    </row>
    <row r="846" spans="1:5" ht="14.25" customHeight="1">
      <c r="A846" s="82"/>
      <c r="C846" s="20"/>
      <c r="D846" s="83"/>
      <c r="E846" s="19"/>
    </row>
    <row r="847" spans="1:5" ht="14.25" customHeight="1">
      <c r="A847" s="82"/>
      <c r="C847" s="20"/>
      <c r="D847" s="83"/>
      <c r="E847" s="19"/>
    </row>
    <row r="848" spans="1:5" ht="14.25" customHeight="1">
      <c r="A848" s="82"/>
      <c r="C848" s="20"/>
      <c r="D848" s="83"/>
      <c r="E848" s="19"/>
    </row>
    <row r="849" spans="1:5" ht="14.25" customHeight="1">
      <c r="A849" s="82"/>
      <c r="C849" s="20"/>
      <c r="D849" s="83"/>
      <c r="E849" s="19"/>
    </row>
    <row r="850" spans="1:5" ht="14.25" customHeight="1">
      <c r="A850" s="82"/>
      <c r="C850" s="20"/>
      <c r="D850" s="83"/>
      <c r="E850" s="19"/>
    </row>
    <row r="851" spans="1:5" ht="14.25" customHeight="1">
      <c r="A851" s="82"/>
      <c r="C851" s="20"/>
      <c r="D851" s="83"/>
      <c r="E851" s="19"/>
    </row>
    <row r="852" spans="1:5" ht="14.25" customHeight="1">
      <c r="A852" s="82"/>
      <c r="C852" s="20"/>
      <c r="D852" s="83"/>
      <c r="E852" s="19"/>
    </row>
    <row r="853" spans="1:5" ht="14.25" customHeight="1">
      <c r="A853" s="82"/>
      <c r="C853" s="20"/>
      <c r="D853" s="83"/>
      <c r="E853" s="19"/>
    </row>
    <row r="854" spans="1:5" ht="14.25" customHeight="1">
      <c r="A854" s="82"/>
      <c r="C854" s="20"/>
      <c r="D854" s="83"/>
      <c r="E854" s="19"/>
    </row>
    <row r="855" spans="1:5" ht="14.25" customHeight="1">
      <c r="A855" s="82"/>
      <c r="C855" s="20"/>
      <c r="D855" s="83"/>
      <c r="E855" s="19"/>
    </row>
    <row r="856" spans="1:5" ht="14.25" customHeight="1">
      <c r="A856" s="82"/>
      <c r="C856" s="20"/>
      <c r="D856" s="83"/>
      <c r="E856" s="19"/>
    </row>
    <row r="857" spans="1:5" ht="14.25" customHeight="1">
      <c r="A857" s="82"/>
      <c r="C857" s="20"/>
      <c r="D857" s="83"/>
      <c r="E857" s="19"/>
    </row>
    <row r="858" spans="1:5" ht="14.25" customHeight="1">
      <c r="A858" s="82"/>
      <c r="C858" s="20"/>
      <c r="D858" s="83"/>
      <c r="E858" s="19"/>
    </row>
    <row r="859" spans="1:5" ht="14.25" customHeight="1">
      <c r="A859" s="82"/>
      <c r="C859" s="20"/>
      <c r="D859" s="83"/>
      <c r="E859" s="19"/>
    </row>
    <row r="860" spans="1:5" ht="14.25" customHeight="1">
      <c r="A860" s="82"/>
      <c r="C860" s="20"/>
      <c r="D860" s="83"/>
      <c r="E860" s="19"/>
    </row>
    <row r="861" spans="1:5" ht="14.25" customHeight="1">
      <c r="A861" s="82"/>
      <c r="C861" s="20"/>
      <c r="D861" s="83"/>
      <c r="E861" s="19"/>
    </row>
    <row r="862" spans="1:5" ht="14.25" customHeight="1">
      <c r="A862" s="82"/>
      <c r="C862" s="20"/>
      <c r="D862" s="83"/>
      <c r="E862" s="19"/>
    </row>
    <row r="863" spans="1:5" ht="14.25" customHeight="1">
      <c r="A863" s="82"/>
      <c r="C863" s="20"/>
      <c r="D863" s="83"/>
      <c r="E863" s="19"/>
    </row>
    <row r="864" spans="1:5" ht="14.25" customHeight="1">
      <c r="A864" s="82"/>
      <c r="C864" s="20"/>
      <c r="D864" s="83"/>
      <c r="E864" s="19"/>
    </row>
    <row r="865" spans="1:5" ht="14.25" customHeight="1">
      <c r="A865" s="82"/>
      <c r="C865" s="20"/>
      <c r="D865" s="83"/>
      <c r="E865" s="19"/>
    </row>
    <row r="866" spans="1:5" ht="14.25" customHeight="1">
      <c r="A866" s="82"/>
      <c r="C866" s="20"/>
      <c r="D866" s="83"/>
      <c r="E866" s="19"/>
    </row>
    <row r="867" spans="1:5" ht="14.25" customHeight="1">
      <c r="A867" s="82"/>
      <c r="C867" s="20"/>
      <c r="D867" s="83"/>
      <c r="E867" s="19"/>
    </row>
    <row r="868" spans="1:5" ht="14.25" customHeight="1">
      <c r="A868" s="82"/>
      <c r="C868" s="20"/>
      <c r="D868" s="83"/>
      <c r="E868" s="19"/>
    </row>
    <row r="869" spans="1:5" ht="14.25" customHeight="1">
      <c r="A869" s="82"/>
      <c r="C869" s="20"/>
      <c r="D869" s="83"/>
      <c r="E869" s="19"/>
    </row>
    <row r="870" spans="1:5" ht="14.25" customHeight="1">
      <c r="A870" s="82"/>
      <c r="C870" s="20"/>
      <c r="D870" s="83"/>
      <c r="E870" s="19"/>
    </row>
    <row r="871" spans="1:5" ht="14.25" customHeight="1">
      <c r="A871" s="82"/>
      <c r="C871" s="20"/>
      <c r="D871" s="83"/>
      <c r="E871" s="19"/>
    </row>
    <row r="872" spans="1:5" ht="14.25" customHeight="1">
      <c r="A872" s="82"/>
      <c r="C872" s="20"/>
      <c r="D872" s="83"/>
      <c r="E872" s="19"/>
    </row>
    <row r="873" spans="1:5" ht="14.25" customHeight="1">
      <c r="A873" s="82"/>
      <c r="C873" s="20"/>
      <c r="D873" s="83"/>
      <c r="E873" s="19"/>
    </row>
    <row r="874" spans="1:5" ht="14.25" customHeight="1">
      <c r="A874" s="82"/>
      <c r="C874" s="20"/>
      <c r="D874" s="83"/>
      <c r="E874" s="19"/>
    </row>
    <row r="875" spans="1:5" ht="14.25" customHeight="1">
      <c r="A875" s="82"/>
      <c r="C875" s="20"/>
      <c r="D875" s="83"/>
      <c r="E875" s="19"/>
    </row>
    <row r="876" spans="1:5" ht="14.25" customHeight="1">
      <c r="A876" s="82"/>
      <c r="C876" s="20"/>
      <c r="D876" s="83"/>
      <c r="E876" s="19"/>
    </row>
    <row r="877" spans="1:5" ht="14.25" customHeight="1">
      <c r="A877" s="82"/>
      <c r="C877" s="20"/>
      <c r="D877" s="83"/>
      <c r="E877" s="19"/>
    </row>
    <row r="878" spans="1:5" ht="14.25" customHeight="1">
      <c r="A878" s="82"/>
      <c r="C878" s="20"/>
      <c r="D878" s="83"/>
      <c r="E878" s="19"/>
    </row>
    <row r="879" spans="1:5" ht="14.25" customHeight="1">
      <c r="A879" s="82"/>
      <c r="C879" s="20"/>
      <c r="D879" s="83"/>
      <c r="E879" s="19"/>
    </row>
    <row r="880" spans="1:5" ht="14.25" customHeight="1">
      <c r="A880" s="82"/>
      <c r="C880" s="20"/>
      <c r="D880" s="83"/>
      <c r="E880" s="19"/>
    </row>
    <row r="881" spans="1:5" ht="14.25" customHeight="1">
      <c r="A881" s="82"/>
      <c r="C881" s="20"/>
      <c r="D881" s="83"/>
      <c r="E881" s="19"/>
    </row>
    <row r="882" spans="1:5" ht="14.25" customHeight="1">
      <c r="A882" s="82"/>
      <c r="C882" s="20"/>
      <c r="D882" s="83"/>
      <c r="E882" s="19"/>
    </row>
    <row r="883" spans="1:5" ht="14.25" customHeight="1">
      <c r="A883" s="82"/>
      <c r="C883" s="20"/>
      <c r="D883" s="83"/>
      <c r="E883" s="19"/>
    </row>
    <row r="884" spans="1:5" ht="14.25" customHeight="1">
      <c r="A884" s="82"/>
      <c r="C884" s="20"/>
      <c r="D884" s="83"/>
      <c r="E884" s="19"/>
    </row>
    <row r="885" spans="1:5" ht="14.25" customHeight="1">
      <c r="A885" s="82"/>
      <c r="C885" s="20"/>
      <c r="D885" s="83"/>
      <c r="E885" s="19"/>
    </row>
    <row r="886" spans="1:5" ht="14.25" customHeight="1">
      <c r="A886" s="82"/>
      <c r="C886" s="20"/>
      <c r="D886" s="83"/>
      <c r="E886" s="19"/>
    </row>
    <row r="887" spans="1:5" ht="14.25" customHeight="1">
      <c r="A887" s="82"/>
      <c r="C887" s="20"/>
      <c r="D887" s="83"/>
      <c r="E887" s="19"/>
    </row>
    <row r="888" spans="1:5" ht="14.25" customHeight="1">
      <c r="A888" s="82"/>
      <c r="C888" s="20"/>
      <c r="D888" s="83"/>
      <c r="E888" s="19"/>
    </row>
    <row r="889" spans="1:5" ht="14.25" customHeight="1">
      <c r="A889" s="82"/>
      <c r="C889" s="20"/>
      <c r="D889" s="83"/>
      <c r="E889" s="19"/>
    </row>
    <row r="890" spans="1:5" ht="14.25" customHeight="1">
      <c r="A890" s="82"/>
      <c r="C890" s="20"/>
      <c r="D890" s="83"/>
      <c r="E890" s="19"/>
    </row>
    <row r="891" spans="1:5" ht="14.25" customHeight="1">
      <c r="A891" s="82"/>
      <c r="C891" s="20"/>
      <c r="D891" s="83"/>
      <c r="E891" s="19"/>
    </row>
    <row r="892" spans="1:5" ht="14.25" customHeight="1">
      <c r="A892" s="82"/>
      <c r="C892" s="20"/>
      <c r="D892" s="83"/>
      <c r="E892" s="19"/>
    </row>
    <row r="893" spans="1:5" ht="14.25" customHeight="1">
      <c r="A893" s="82"/>
      <c r="C893" s="20"/>
      <c r="D893" s="83"/>
      <c r="E893" s="19"/>
    </row>
    <row r="894" spans="1:5" ht="14.25" customHeight="1">
      <c r="A894" s="82"/>
      <c r="C894" s="20"/>
      <c r="D894" s="83"/>
      <c r="E894" s="19"/>
    </row>
    <row r="895" spans="1:5" ht="14.25" customHeight="1">
      <c r="A895" s="82"/>
      <c r="C895" s="20"/>
      <c r="D895" s="83"/>
      <c r="E895" s="19"/>
    </row>
    <row r="896" spans="1:5" ht="14.25" customHeight="1">
      <c r="A896" s="82"/>
      <c r="C896" s="20"/>
      <c r="D896" s="83"/>
      <c r="E896" s="19"/>
    </row>
    <row r="897" spans="1:5" ht="14.25" customHeight="1">
      <c r="A897" s="82"/>
      <c r="C897" s="20"/>
      <c r="D897" s="83"/>
      <c r="E897" s="19"/>
    </row>
    <row r="898" spans="1:5" ht="14.25" customHeight="1">
      <c r="A898" s="82"/>
      <c r="C898" s="20"/>
      <c r="D898" s="83"/>
      <c r="E898" s="19"/>
    </row>
    <row r="899" spans="1:5" ht="14.25" customHeight="1">
      <c r="A899" s="82"/>
      <c r="C899" s="20"/>
      <c r="D899" s="83"/>
      <c r="E899" s="19"/>
    </row>
    <row r="900" spans="1:5" ht="14.25" customHeight="1">
      <c r="A900" s="82"/>
      <c r="C900" s="20"/>
      <c r="D900" s="83"/>
      <c r="E900" s="19"/>
    </row>
    <row r="901" spans="1:5" ht="14.25" customHeight="1">
      <c r="A901" s="82"/>
      <c r="C901" s="20"/>
      <c r="D901" s="83"/>
      <c r="E901" s="19"/>
    </row>
    <row r="902" spans="1:5" ht="14.25" customHeight="1">
      <c r="A902" s="82"/>
      <c r="C902" s="20"/>
      <c r="D902" s="83"/>
      <c r="E902" s="19"/>
    </row>
    <row r="903" spans="1:5" ht="14.25" customHeight="1">
      <c r="A903" s="82"/>
      <c r="C903" s="20"/>
      <c r="D903" s="83"/>
      <c r="E903" s="19"/>
    </row>
    <row r="904" spans="1:5" ht="14.25" customHeight="1">
      <c r="A904" s="82"/>
      <c r="C904" s="20"/>
      <c r="D904" s="83"/>
      <c r="E904" s="19"/>
    </row>
    <row r="905" spans="1:5" ht="14.25" customHeight="1">
      <c r="A905" s="82"/>
      <c r="C905" s="20"/>
      <c r="D905" s="83"/>
      <c r="E905" s="19"/>
    </row>
    <row r="906" spans="1:5" ht="14.25" customHeight="1">
      <c r="A906" s="82"/>
      <c r="C906" s="20"/>
      <c r="D906" s="83"/>
      <c r="E906" s="19"/>
    </row>
    <row r="907" spans="1:5" ht="14.25" customHeight="1">
      <c r="A907" s="82"/>
      <c r="C907" s="20"/>
      <c r="D907" s="83"/>
      <c r="E907" s="19"/>
    </row>
    <row r="908" spans="1:5" ht="14.25" customHeight="1">
      <c r="A908" s="82"/>
      <c r="C908" s="20"/>
      <c r="D908" s="83"/>
      <c r="E908" s="19"/>
    </row>
    <row r="909" spans="1:5" ht="14.25" customHeight="1">
      <c r="A909" s="82"/>
      <c r="C909" s="20"/>
      <c r="D909" s="83"/>
      <c r="E909" s="19"/>
    </row>
    <row r="910" spans="1:5" ht="14.25" customHeight="1">
      <c r="A910" s="82"/>
      <c r="C910" s="20"/>
      <c r="D910" s="83"/>
      <c r="E910" s="19"/>
    </row>
    <row r="911" spans="1:5" ht="14.25" customHeight="1">
      <c r="A911" s="82"/>
      <c r="C911" s="20"/>
      <c r="D911" s="83"/>
      <c r="E911" s="19"/>
    </row>
    <row r="912" spans="1:5" ht="14.25" customHeight="1">
      <c r="A912" s="82"/>
      <c r="C912" s="20"/>
      <c r="D912" s="83"/>
      <c r="E912" s="19"/>
    </row>
    <row r="913" spans="1:5" ht="14.25" customHeight="1">
      <c r="A913" s="82"/>
      <c r="C913" s="20"/>
      <c r="D913" s="83"/>
      <c r="E913" s="19"/>
    </row>
    <row r="914" spans="1:5" ht="14.25" customHeight="1">
      <c r="A914" s="82"/>
      <c r="C914" s="20"/>
      <c r="D914" s="83"/>
      <c r="E914" s="19"/>
    </row>
    <row r="915" spans="1:5" ht="14.25" customHeight="1">
      <c r="A915" s="82"/>
      <c r="C915" s="20"/>
      <c r="D915" s="83"/>
      <c r="E915" s="19"/>
    </row>
    <row r="916" spans="1:5" ht="14.25" customHeight="1">
      <c r="A916" s="82"/>
      <c r="C916" s="20"/>
      <c r="D916" s="83"/>
      <c r="E916" s="19"/>
    </row>
    <row r="917" spans="1:5" ht="14.25" customHeight="1">
      <c r="A917" s="82"/>
      <c r="C917" s="20"/>
      <c r="D917" s="83"/>
      <c r="E917" s="19"/>
    </row>
    <row r="918" spans="1:5" ht="14.25" customHeight="1">
      <c r="A918" s="82"/>
      <c r="C918" s="20"/>
      <c r="D918" s="83"/>
      <c r="E918" s="19"/>
    </row>
    <row r="919" spans="1:5" ht="14.25" customHeight="1">
      <c r="A919" s="82"/>
      <c r="C919" s="20"/>
      <c r="D919" s="83"/>
      <c r="E919" s="19"/>
    </row>
    <row r="920" spans="1:5" ht="14.25" customHeight="1">
      <c r="A920" s="82"/>
      <c r="C920" s="20"/>
      <c r="D920" s="83"/>
      <c r="E920" s="19"/>
    </row>
    <row r="921" spans="1:5" ht="14.25" customHeight="1">
      <c r="A921" s="82"/>
      <c r="C921" s="20"/>
      <c r="D921" s="83"/>
      <c r="E921" s="19"/>
    </row>
    <row r="922" spans="1:5" ht="14.25" customHeight="1">
      <c r="A922" s="82"/>
      <c r="C922" s="20"/>
      <c r="D922" s="83"/>
      <c r="E922" s="19"/>
    </row>
    <row r="923" spans="1:5" ht="14.25" customHeight="1">
      <c r="A923" s="82"/>
      <c r="C923" s="20"/>
      <c r="D923" s="83"/>
      <c r="E923" s="19"/>
    </row>
    <row r="924" spans="1:5" ht="14.25" customHeight="1">
      <c r="A924" s="82"/>
      <c r="C924" s="20"/>
      <c r="D924" s="83"/>
      <c r="E924" s="19"/>
    </row>
    <row r="925" spans="1:5" ht="14.25" customHeight="1">
      <c r="A925" s="82"/>
      <c r="C925" s="20"/>
      <c r="D925" s="83"/>
      <c r="E925" s="19"/>
    </row>
    <row r="926" spans="1:5" ht="14.25" customHeight="1">
      <c r="A926" s="82"/>
      <c r="C926" s="20"/>
      <c r="D926" s="83"/>
      <c r="E926" s="19"/>
    </row>
    <row r="927" spans="1:5" ht="14.25" customHeight="1">
      <c r="A927" s="82"/>
      <c r="C927" s="20"/>
      <c r="D927" s="83"/>
      <c r="E927" s="19"/>
    </row>
    <row r="928" spans="1:5" ht="14.25" customHeight="1">
      <c r="A928" s="82"/>
      <c r="C928" s="20"/>
      <c r="D928" s="83"/>
      <c r="E928" s="19"/>
    </row>
    <row r="929" spans="1:5" ht="14.25" customHeight="1">
      <c r="A929" s="82"/>
      <c r="C929" s="20"/>
      <c r="D929" s="83"/>
      <c r="E929" s="19"/>
    </row>
    <row r="930" spans="1:5" ht="14.25" customHeight="1">
      <c r="A930" s="82"/>
      <c r="C930" s="20"/>
      <c r="D930" s="83"/>
      <c r="E930" s="19"/>
    </row>
    <row r="931" spans="1:5" ht="14.25" customHeight="1">
      <c r="A931" s="82"/>
      <c r="C931" s="20"/>
      <c r="D931" s="83"/>
      <c r="E931" s="19"/>
    </row>
    <row r="932" spans="1:5" ht="14.25" customHeight="1">
      <c r="A932" s="82"/>
      <c r="C932" s="20"/>
      <c r="D932" s="83"/>
      <c r="E932" s="19"/>
    </row>
    <row r="933" spans="1:5" ht="14.25" customHeight="1">
      <c r="A933" s="82"/>
      <c r="C933" s="20"/>
      <c r="D933" s="83"/>
      <c r="E933" s="19"/>
    </row>
    <row r="934" spans="1:5" ht="14.25" customHeight="1">
      <c r="A934" s="82"/>
      <c r="C934" s="20"/>
      <c r="D934" s="83"/>
      <c r="E934" s="19"/>
    </row>
    <row r="935" spans="1:5" ht="14.25" customHeight="1">
      <c r="A935" s="82"/>
      <c r="C935" s="20"/>
      <c r="D935" s="83"/>
      <c r="E935" s="19"/>
    </row>
    <row r="936" spans="1:5" ht="14.25" customHeight="1">
      <c r="A936" s="82"/>
      <c r="C936" s="20"/>
      <c r="D936" s="83"/>
      <c r="E936" s="19"/>
    </row>
    <row r="937" spans="1:5" ht="14.25" customHeight="1">
      <c r="A937" s="82"/>
      <c r="C937" s="20"/>
      <c r="D937" s="83"/>
      <c r="E937" s="19"/>
    </row>
    <row r="938" spans="1:5" ht="14.25" customHeight="1">
      <c r="A938" s="82"/>
      <c r="C938" s="20"/>
      <c r="D938" s="83"/>
      <c r="E938" s="19"/>
    </row>
    <row r="939" spans="1:5" ht="14.25" customHeight="1">
      <c r="A939" s="82"/>
      <c r="C939" s="20"/>
      <c r="D939" s="83"/>
      <c r="E939" s="19"/>
    </row>
    <row r="940" spans="1:5" ht="14.25" customHeight="1">
      <c r="A940" s="82"/>
      <c r="C940" s="20"/>
      <c r="D940" s="83"/>
      <c r="E940" s="19"/>
    </row>
    <row r="941" spans="1:5" ht="14.25" customHeight="1">
      <c r="A941" s="82"/>
      <c r="C941" s="20"/>
      <c r="D941" s="83"/>
      <c r="E941" s="19"/>
    </row>
    <row r="942" spans="1:5" ht="14.25" customHeight="1">
      <c r="A942" s="82"/>
      <c r="C942" s="20"/>
      <c r="D942" s="83"/>
      <c r="E942" s="19"/>
    </row>
    <row r="943" spans="1:5" ht="14.25" customHeight="1">
      <c r="A943" s="82"/>
      <c r="C943" s="20"/>
      <c r="D943" s="83"/>
      <c r="E943" s="19"/>
    </row>
    <row r="944" spans="1:5" ht="14.25" customHeight="1">
      <c r="A944" s="82"/>
      <c r="C944" s="20"/>
      <c r="D944" s="83"/>
      <c r="E944" s="19"/>
    </row>
    <row r="945" spans="1:5" ht="14.25" customHeight="1">
      <c r="A945" s="82"/>
      <c r="C945" s="20"/>
      <c r="D945" s="83"/>
      <c r="E945" s="19"/>
    </row>
    <row r="946" spans="1:5" ht="14.25" customHeight="1">
      <c r="A946" s="82"/>
      <c r="C946" s="20"/>
      <c r="D946" s="83"/>
      <c r="E946" s="19"/>
    </row>
    <row r="947" spans="1:5" ht="14.25" customHeight="1">
      <c r="A947" s="82"/>
      <c r="C947" s="20"/>
      <c r="D947" s="83"/>
      <c r="E947" s="19"/>
    </row>
    <row r="948" spans="1:5" ht="14.25" customHeight="1">
      <c r="A948" s="82"/>
      <c r="C948" s="20"/>
      <c r="D948" s="83"/>
      <c r="E948" s="19"/>
    </row>
    <row r="949" spans="1:5" ht="14.25" customHeight="1">
      <c r="A949" s="82"/>
      <c r="C949" s="20"/>
      <c r="D949" s="83"/>
      <c r="E949" s="19"/>
    </row>
    <row r="950" spans="1:5" ht="14.25" customHeight="1">
      <c r="A950" s="82"/>
      <c r="C950" s="20"/>
      <c r="D950" s="83"/>
      <c r="E950" s="19"/>
    </row>
    <row r="951" spans="1:5" ht="14.25" customHeight="1">
      <c r="A951" s="82"/>
      <c r="C951" s="20"/>
      <c r="D951" s="83"/>
      <c r="E951" s="19"/>
    </row>
    <row r="952" spans="1:5" ht="14.25" customHeight="1">
      <c r="A952" s="82"/>
      <c r="C952" s="20"/>
      <c r="D952" s="83"/>
      <c r="E952" s="19"/>
    </row>
    <row r="953" spans="1:5" ht="14.25" customHeight="1">
      <c r="A953" s="82"/>
      <c r="C953" s="20"/>
      <c r="D953" s="83"/>
      <c r="E953" s="19"/>
    </row>
    <row r="954" spans="1:5" ht="14.25" customHeight="1">
      <c r="A954" s="82"/>
      <c r="C954" s="20"/>
      <c r="D954" s="83"/>
      <c r="E954" s="19"/>
    </row>
    <row r="955" spans="1:5" ht="14.25" customHeight="1">
      <c r="A955" s="82"/>
      <c r="C955" s="20"/>
      <c r="D955" s="83"/>
      <c r="E955" s="19"/>
    </row>
    <row r="956" spans="1:5" ht="14.25" customHeight="1">
      <c r="A956" s="82"/>
      <c r="C956" s="20"/>
      <c r="D956" s="83"/>
      <c r="E956" s="19"/>
    </row>
    <row r="957" spans="1:5" ht="14.25" customHeight="1">
      <c r="A957" s="82"/>
      <c r="C957" s="20"/>
      <c r="D957" s="83"/>
      <c r="E957" s="19"/>
    </row>
    <row r="958" spans="1:5" ht="14.25" customHeight="1">
      <c r="A958" s="82"/>
      <c r="C958" s="20"/>
      <c r="D958" s="83"/>
      <c r="E958" s="19"/>
    </row>
    <row r="959" spans="1:5" ht="14.25" customHeight="1">
      <c r="A959" s="82"/>
      <c r="C959" s="20"/>
      <c r="D959" s="83"/>
      <c r="E959" s="19"/>
    </row>
    <row r="960" spans="1:5" ht="14.25" customHeight="1">
      <c r="A960" s="82"/>
      <c r="C960" s="20"/>
      <c r="D960" s="83"/>
      <c r="E960" s="19"/>
    </row>
    <row r="961" spans="1:5" ht="14.25" customHeight="1">
      <c r="A961" s="82"/>
      <c r="C961" s="20"/>
      <c r="D961" s="83"/>
      <c r="E961" s="19"/>
    </row>
    <row r="962" spans="1:5" ht="14.25" customHeight="1">
      <c r="A962" s="82"/>
      <c r="C962" s="20"/>
      <c r="D962" s="83"/>
      <c r="E962" s="19"/>
    </row>
    <row r="963" spans="1:5" ht="14.25" customHeight="1">
      <c r="A963" s="82"/>
      <c r="C963" s="20"/>
      <c r="D963" s="83"/>
      <c r="E963" s="19"/>
    </row>
    <row r="964" spans="1:5" ht="14.25" customHeight="1">
      <c r="A964" s="82"/>
      <c r="C964" s="20"/>
      <c r="D964" s="83"/>
      <c r="E964" s="19"/>
    </row>
    <row r="965" spans="1:5" ht="14.25" customHeight="1">
      <c r="A965" s="82"/>
      <c r="C965" s="20"/>
      <c r="D965" s="83"/>
      <c r="E965" s="19"/>
    </row>
    <row r="966" spans="1:5" ht="14.25" customHeight="1">
      <c r="A966" s="82"/>
      <c r="C966" s="20"/>
      <c r="D966" s="83"/>
      <c r="E966" s="19"/>
    </row>
    <row r="967" spans="1:5" ht="14.25" customHeight="1">
      <c r="A967" s="82"/>
      <c r="C967" s="20"/>
      <c r="D967" s="83"/>
      <c r="E967" s="19"/>
    </row>
    <row r="968" spans="1:5" ht="14.25" customHeight="1">
      <c r="A968" s="82"/>
      <c r="C968" s="20"/>
      <c r="D968" s="83"/>
      <c r="E968" s="19"/>
    </row>
    <row r="969" spans="1:5" ht="14.25" customHeight="1">
      <c r="A969" s="82"/>
      <c r="C969" s="20"/>
      <c r="D969" s="83"/>
      <c r="E969" s="19"/>
    </row>
    <row r="970" spans="1:5" ht="14.25" customHeight="1">
      <c r="A970" s="82"/>
      <c r="C970" s="20"/>
      <c r="D970" s="83"/>
      <c r="E970" s="19"/>
    </row>
    <row r="971" spans="1:5" ht="14.25" customHeight="1">
      <c r="A971" s="82"/>
      <c r="C971" s="20"/>
      <c r="D971" s="83"/>
      <c r="E971" s="19"/>
    </row>
    <row r="972" spans="1:5" ht="14.25" customHeight="1">
      <c r="A972" s="82"/>
      <c r="C972" s="20"/>
      <c r="D972" s="83"/>
      <c r="E972" s="19"/>
    </row>
    <row r="973" spans="1:5" ht="14.25" customHeight="1">
      <c r="A973" s="82"/>
      <c r="C973" s="20"/>
      <c r="D973" s="83"/>
      <c r="E973" s="19"/>
    </row>
    <row r="974" spans="1:5" ht="14.25" customHeight="1">
      <c r="A974" s="82"/>
      <c r="C974" s="20"/>
      <c r="D974" s="83"/>
      <c r="E974" s="19"/>
    </row>
    <row r="975" spans="1:5" ht="14.25" customHeight="1">
      <c r="A975" s="82"/>
      <c r="C975" s="20"/>
      <c r="D975" s="83"/>
      <c r="E975" s="19"/>
    </row>
    <row r="976" spans="1:5" ht="14.25" customHeight="1">
      <c r="A976" s="82"/>
      <c r="C976" s="20"/>
      <c r="D976" s="83"/>
      <c r="E976" s="19"/>
    </row>
    <row r="977" spans="1:5" ht="14.25" customHeight="1">
      <c r="A977" s="82"/>
      <c r="C977" s="20"/>
      <c r="D977" s="83"/>
      <c r="E977" s="19"/>
    </row>
    <row r="978" spans="1:5" ht="14.25" customHeight="1">
      <c r="A978" s="82"/>
      <c r="C978" s="20"/>
      <c r="D978" s="83"/>
      <c r="E978" s="19"/>
    </row>
    <row r="979" spans="1:5" ht="14.25" customHeight="1">
      <c r="A979" s="82"/>
      <c r="C979" s="20"/>
      <c r="D979" s="83"/>
      <c r="E979" s="19"/>
    </row>
    <row r="980" spans="1:5" ht="14.25" customHeight="1">
      <c r="A980" s="82"/>
      <c r="C980" s="20"/>
      <c r="D980" s="83"/>
      <c r="E980" s="19"/>
    </row>
    <row r="981" spans="1:5" ht="14.25" customHeight="1">
      <c r="A981" s="82"/>
      <c r="C981" s="20"/>
      <c r="D981" s="83"/>
      <c r="E981" s="19"/>
    </row>
    <row r="982" spans="1:5" ht="14.25" customHeight="1">
      <c r="A982" s="82"/>
      <c r="C982" s="20"/>
      <c r="D982" s="83"/>
      <c r="E982" s="19"/>
    </row>
    <row r="983" spans="1:5" ht="14.25" customHeight="1">
      <c r="A983" s="82"/>
      <c r="C983" s="20"/>
      <c r="D983" s="83"/>
      <c r="E983" s="19"/>
    </row>
    <row r="984" spans="1:5" ht="14.25" customHeight="1">
      <c r="A984" s="82"/>
      <c r="C984" s="20"/>
      <c r="D984" s="83"/>
      <c r="E984" s="19"/>
    </row>
    <row r="985" spans="1:5" ht="14.25" customHeight="1">
      <c r="A985" s="82"/>
      <c r="C985" s="20"/>
      <c r="D985" s="83"/>
      <c r="E985" s="19"/>
    </row>
    <row r="986" spans="1:5" ht="14.25" customHeight="1">
      <c r="A986" s="82"/>
      <c r="C986" s="20"/>
      <c r="D986" s="83"/>
      <c r="E986" s="19"/>
    </row>
    <row r="987" spans="1:5" ht="14.25" customHeight="1">
      <c r="A987" s="82"/>
      <c r="C987" s="20"/>
      <c r="D987" s="83"/>
      <c r="E987" s="19"/>
    </row>
    <row r="988" spans="1:5" ht="14.25" customHeight="1">
      <c r="A988" s="82"/>
      <c r="C988" s="20"/>
      <c r="D988" s="83"/>
      <c r="E988" s="19"/>
    </row>
    <row r="989" spans="1:5" ht="14.25" customHeight="1">
      <c r="A989" s="82"/>
      <c r="C989" s="20"/>
      <c r="D989" s="83"/>
      <c r="E989" s="19"/>
    </row>
    <row r="990" spans="1:5" ht="14.25" customHeight="1">
      <c r="A990" s="82"/>
      <c r="C990" s="20"/>
      <c r="D990" s="83"/>
      <c r="E990" s="19"/>
    </row>
    <row r="991" spans="1:5" ht="14.25" customHeight="1">
      <c r="A991" s="82"/>
      <c r="C991" s="20"/>
      <c r="D991" s="83"/>
      <c r="E991" s="19"/>
    </row>
    <row r="992" spans="1:5" ht="14.25" customHeight="1">
      <c r="A992" s="82"/>
      <c r="C992" s="20"/>
      <c r="D992" s="83"/>
      <c r="E992" s="19"/>
    </row>
    <row r="993" spans="1:5" ht="14.25" customHeight="1">
      <c r="A993" s="82"/>
      <c r="C993" s="20"/>
      <c r="D993" s="83"/>
      <c r="E993" s="19"/>
    </row>
    <row r="994" spans="1:5" ht="14.25" customHeight="1">
      <c r="A994" s="82"/>
      <c r="C994" s="20"/>
      <c r="D994" s="83"/>
      <c r="E994" s="19"/>
    </row>
    <row r="995" spans="1:5" ht="14.25" customHeight="1">
      <c r="A995" s="82"/>
      <c r="C995" s="20"/>
      <c r="D995" s="83"/>
      <c r="E995" s="19"/>
    </row>
    <row r="996" spans="1:5" ht="14.25" customHeight="1">
      <c r="A996" s="82"/>
      <c r="C996" s="20"/>
      <c r="D996" s="83"/>
      <c r="E996" s="19"/>
    </row>
    <row r="997" spans="1:5" ht="14.25" customHeight="1">
      <c r="A997" s="82"/>
      <c r="C997" s="20"/>
      <c r="D997" s="83"/>
      <c r="E997" s="19"/>
    </row>
    <row r="998" spans="1:5" ht="14.25" customHeight="1">
      <c r="A998" s="82"/>
      <c r="C998" s="20"/>
      <c r="D998" s="83"/>
      <c r="E998" s="19"/>
    </row>
    <row r="999" spans="1:5" ht="14.25" customHeight="1">
      <c r="A999" s="82"/>
      <c r="C999" s="20"/>
      <c r="D999" s="83"/>
      <c r="E999" s="19"/>
    </row>
    <row r="1000" spans="1:5" ht="14.25" customHeight="1">
      <c r="A1000" s="82"/>
      <c r="C1000" s="20"/>
      <c r="D1000" s="83"/>
      <c r="E1000" s="19"/>
    </row>
  </sheetData>
  <pageMargins left="0.7" right="0.7" top="0.75" bottom="0.75" header="0" footer="0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 Details for ACID Pastor</vt:lpstr>
      <vt:lpstr>D.O.S</vt:lpstr>
      <vt:lpstr>Marriage Registration</vt:lpstr>
      <vt:lpstr>Sheet1</vt:lpstr>
      <vt:lpstr>'All Details for ACID Pastor'!Print_Titles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 DIOCESE</dc:creator>
  <cp:lastModifiedBy>hp</cp:lastModifiedBy>
  <cp:lastPrinted>2004-12-31T18:47:38Z</cp:lastPrinted>
  <dcterms:created xsi:type="dcterms:W3CDTF">2024-01-30T10:57:07Z</dcterms:created>
  <dcterms:modified xsi:type="dcterms:W3CDTF">2004-12-31T18:49:55Z</dcterms:modified>
</cp:coreProperties>
</file>